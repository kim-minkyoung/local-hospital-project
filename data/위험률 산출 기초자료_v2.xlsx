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user\Desktop\"/>
    </mc:Choice>
  </mc:AlternateContent>
  <xr:revisionPtr revIDLastSave="0" documentId="13_ncr:1_{33C585EA-1376-4F33-93E4-C2F4CD90B6DC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지역별 유출률" sheetId="1" r:id="rId1"/>
    <sheet name="시도 요약" sheetId="2" r:id="rId2"/>
    <sheet name="원천데이터" sheetId="3" r:id="rId3"/>
    <sheet name="검증" sheetId="4" r:id="rId4"/>
    <sheet name="메타데이터" sheetId="5" r:id="rId5"/>
    <sheet name="보험개발원 위험률" sheetId="6" r:id="rId6"/>
    <sheet name="보험개발원 위험률(1세)" sheetId="7" r:id="rId7"/>
    <sheet name="계리기호" sheetId="8" r:id="rId8"/>
    <sheet name="NHIS 내원횟수" sheetId="9" r:id="rId9"/>
    <sheet name="연납보험료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87" i="10" l="1"/>
  <c r="X87" i="10"/>
  <c r="S87" i="10"/>
  <c r="N87" i="10"/>
  <c r="I87" i="10"/>
  <c r="D87" i="10"/>
  <c r="E3" i="10"/>
  <c r="F20" i="9"/>
  <c r="E20" i="9"/>
  <c r="F19" i="9"/>
  <c r="E19" i="9"/>
  <c r="E18" i="9"/>
  <c r="F18" i="9" s="1"/>
  <c r="E17" i="9"/>
  <c r="F17" i="9" s="1"/>
  <c r="E16" i="9"/>
  <c r="F16" i="9" s="1"/>
  <c r="L8" i="9" s="1"/>
  <c r="E15" i="9"/>
  <c r="F15" i="9" s="1"/>
  <c r="F14" i="9"/>
  <c r="E14" i="9"/>
  <c r="E13" i="9"/>
  <c r="F13" i="9" s="1"/>
  <c r="E12" i="9"/>
  <c r="F12" i="9" s="1"/>
  <c r="E11" i="9"/>
  <c r="F11" i="9" s="1"/>
  <c r="E10" i="9"/>
  <c r="F10" i="9" s="1"/>
  <c r="E9" i="9"/>
  <c r="F9" i="9" s="1"/>
  <c r="E8" i="9"/>
  <c r="F8" i="9" s="1"/>
  <c r="E7" i="9"/>
  <c r="F7" i="9" s="1"/>
  <c r="F6" i="9"/>
  <c r="L6" i="9" s="1"/>
  <c r="E6" i="9"/>
  <c r="AU75" i="8"/>
  <c r="AT73" i="8"/>
  <c r="B66" i="8"/>
  <c r="M61" i="8"/>
  <c r="AJ60" i="8"/>
  <c r="AT49" i="8"/>
  <c r="AV49" i="8" s="1"/>
  <c r="N45" i="8"/>
  <c r="Y43" i="8"/>
  <c r="BE42" i="8"/>
  <c r="BG42" i="8" s="1"/>
  <c r="Y41" i="8"/>
  <c r="X38" i="8"/>
  <c r="C37" i="8"/>
  <c r="M32" i="8"/>
  <c r="O32" i="8" s="1"/>
  <c r="BE31" i="8"/>
  <c r="O30" i="8"/>
  <c r="Y29" i="8"/>
  <c r="C28" i="8"/>
  <c r="AU27" i="8"/>
  <c r="C27" i="8"/>
  <c r="M26" i="8"/>
  <c r="O26" i="8" s="1"/>
  <c r="BF24" i="8"/>
  <c r="AJ24" i="8"/>
  <c r="BE23" i="8"/>
  <c r="BG23" i="8" s="1"/>
  <c r="N23" i="8"/>
  <c r="AI22" i="8"/>
  <c r="AK22" i="8" s="1"/>
  <c r="BF21" i="8"/>
  <c r="N21" i="8"/>
  <c r="BG20" i="8"/>
  <c r="AT20" i="8"/>
  <c r="AV20" i="8" s="1"/>
  <c r="Y20" i="8"/>
  <c r="Y19" i="8"/>
  <c r="X19" i="8"/>
  <c r="Z19" i="8" s="1"/>
  <c r="AJ17" i="8"/>
  <c r="M17" i="8"/>
  <c r="O17" i="8" s="1"/>
  <c r="N16" i="8"/>
  <c r="N15" i="8"/>
  <c r="B15" i="8"/>
  <c r="D15" i="8" s="1"/>
  <c r="AT14" i="8"/>
  <c r="AV14" i="8" s="1"/>
  <c r="N14" i="8"/>
  <c r="BE13" i="8"/>
  <c r="AT13" i="8"/>
  <c r="AV13" i="8" s="1"/>
  <c r="Y13" i="8"/>
  <c r="X13" i="8"/>
  <c r="Z13" i="8" s="1"/>
  <c r="M13" i="8"/>
  <c r="O13" i="8" s="1"/>
  <c r="BF12" i="8"/>
  <c r="Y12" i="8"/>
  <c r="AT11" i="8"/>
  <c r="AV11" i="8" s="1"/>
  <c r="M11" i="8"/>
  <c r="O11" i="8" s="1"/>
  <c r="AU10" i="8"/>
  <c r="AJ10" i="8"/>
  <c r="AI10" i="8"/>
  <c r="N10" i="8"/>
  <c r="C10" i="8"/>
  <c r="AU9" i="8"/>
  <c r="X9" i="8"/>
  <c r="C9" i="8"/>
  <c r="BG8" i="8"/>
  <c r="BE8" i="8"/>
  <c r="AT8" i="8"/>
  <c r="Y8" i="8"/>
  <c r="Z8" i="8" s="1"/>
  <c r="M8" i="8"/>
  <c r="O8" i="8" s="1"/>
  <c r="B8" i="8"/>
  <c r="D8" i="8" s="1"/>
  <c r="BJ7" i="8"/>
  <c r="BH7" i="8"/>
  <c r="AW7" i="8"/>
  <c r="AL7" i="8"/>
  <c r="AK7" i="8"/>
  <c r="AI7" i="8"/>
  <c r="AA7" i="8"/>
  <c r="X7" i="8"/>
  <c r="R7" i="8"/>
  <c r="P7" i="8"/>
  <c r="G7" i="8"/>
  <c r="E7" i="8"/>
  <c r="E3" i="8"/>
  <c r="E451" i="7"/>
  <c r="BF87" i="8" s="1"/>
  <c r="D451" i="7"/>
  <c r="AU87" i="8" s="1"/>
  <c r="E450" i="7"/>
  <c r="BF86" i="8" s="1"/>
  <c r="D450" i="7"/>
  <c r="AU86" i="8" s="1"/>
  <c r="E449" i="7"/>
  <c r="BF85" i="8" s="1"/>
  <c r="D449" i="7"/>
  <c r="AU85" i="8" s="1"/>
  <c r="E448" i="7"/>
  <c r="BF84" i="8" s="1"/>
  <c r="D448" i="7"/>
  <c r="AU84" i="8" s="1"/>
  <c r="E447" i="7"/>
  <c r="BF83" i="8" s="1"/>
  <c r="D447" i="7"/>
  <c r="AU83" i="8" s="1"/>
  <c r="E446" i="7"/>
  <c r="BF82" i="8" s="1"/>
  <c r="D446" i="7"/>
  <c r="AU82" i="8" s="1"/>
  <c r="E445" i="7"/>
  <c r="BF81" i="8" s="1"/>
  <c r="D445" i="7"/>
  <c r="AU81" i="8" s="1"/>
  <c r="E444" i="7"/>
  <c r="BF80" i="8" s="1"/>
  <c r="D444" i="7"/>
  <c r="AU80" i="8" s="1"/>
  <c r="E443" i="7"/>
  <c r="BF79" i="8" s="1"/>
  <c r="D443" i="7"/>
  <c r="AU79" i="8" s="1"/>
  <c r="E442" i="7"/>
  <c r="BF78" i="8" s="1"/>
  <c r="D442" i="7"/>
  <c r="AU78" i="8" s="1"/>
  <c r="E441" i="7"/>
  <c r="BF77" i="8" s="1"/>
  <c r="D441" i="7"/>
  <c r="AU77" i="8" s="1"/>
  <c r="E440" i="7"/>
  <c r="BF76" i="8" s="1"/>
  <c r="D440" i="7"/>
  <c r="AU76" i="8" s="1"/>
  <c r="E439" i="7"/>
  <c r="BF75" i="8" s="1"/>
  <c r="D439" i="7"/>
  <c r="E438" i="7"/>
  <c r="BF74" i="8" s="1"/>
  <c r="D438" i="7"/>
  <c r="AU74" i="8" s="1"/>
  <c r="E437" i="7"/>
  <c r="BF73" i="8" s="1"/>
  <c r="D437" i="7"/>
  <c r="AU73" i="8" s="1"/>
  <c r="E436" i="7"/>
  <c r="BF72" i="8" s="1"/>
  <c r="D436" i="7"/>
  <c r="AU72" i="8" s="1"/>
  <c r="E435" i="7"/>
  <c r="BF71" i="8" s="1"/>
  <c r="D435" i="7"/>
  <c r="AU71" i="8" s="1"/>
  <c r="E434" i="7"/>
  <c r="BF70" i="8" s="1"/>
  <c r="D434" i="7"/>
  <c r="AU70" i="8" s="1"/>
  <c r="E433" i="7"/>
  <c r="BF69" i="8" s="1"/>
  <c r="D433" i="7"/>
  <c r="AU69" i="8" s="1"/>
  <c r="E432" i="7"/>
  <c r="BF68" i="8" s="1"/>
  <c r="D432" i="7"/>
  <c r="AU68" i="8" s="1"/>
  <c r="E431" i="7"/>
  <c r="BF67" i="8" s="1"/>
  <c r="D431" i="7"/>
  <c r="AU67" i="8" s="1"/>
  <c r="E430" i="7"/>
  <c r="BF66" i="8" s="1"/>
  <c r="D430" i="7"/>
  <c r="AU66" i="8" s="1"/>
  <c r="E429" i="7"/>
  <c r="BF65" i="8" s="1"/>
  <c r="D429" i="7"/>
  <c r="AU65" i="8" s="1"/>
  <c r="E428" i="7"/>
  <c r="BF64" i="8" s="1"/>
  <c r="D428" i="7"/>
  <c r="AU64" i="8" s="1"/>
  <c r="E427" i="7"/>
  <c r="BF63" i="8" s="1"/>
  <c r="D427" i="7"/>
  <c r="AU63" i="8" s="1"/>
  <c r="E426" i="7"/>
  <c r="BF62" i="8" s="1"/>
  <c r="D426" i="7"/>
  <c r="AU62" i="8" s="1"/>
  <c r="E425" i="7"/>
  <c r="BF61" i="8" s="1"/>
  <c r="D425" i="7"/>
  <c r="AU61" i="8" s="1"/>
  <c r="E424" i="7"/>
  <c r="BF60" i="8" s="1"/>
  <c r="D424" i="7"/>
  <c r="AU60" i="8" s="1"/>
  <c r="E423" i="7"/>
  <c r="BF59" i="8" s="1"/>
  <c r="D423" i="7"/>
  <c r="AU59" i="8" s="1"/>
  <c r="E422" i="7"/>
  <c r="BF58" i="8" s="1"/>
  <c r="D422" i="7"/>
  <c r="AU58" i="8" s="1"/>
  <c r="E421" i="7"/>
  <c r="BF57" i="8" s="1"/>
  <c r="D421" i="7"/>
  <c r="AU57" i="8" s="1"/>
  <c r="E420" i="7"/>
  <c r="BF56" i="8" s="1"/>
  <c r="D420" i="7"/>
  <c r="AU56" i="8" s="1"/>
  <c r="E419" i="7"/>
  <c r="BF55" i="8" s="1"/>
  <c r="D419" i="7"/>
  <c r="AU55" i="8" s="1"/>
  <c r="E418" i="7"/>
  <c r="BF54" i="8" s="1"/>
  <c r="D418" i="7"/>
  <c r="AU54" i="8" s="1"/>
  <c r="E417" i="7"/>
  <c r="BF53" i="8" s="1"/>
  <c r="D417" i="7"/>
  <c r="AU53" i="8" s="1"/>
  <c r="E416" i="7"/>
  <c r="BF52" i="8" s="1"/>
  <c r="D416" i="7"/>
  <c r="AU52" i="8" s="1"/>
  <c r="E415" i="7"/>
  <c r="BF51" i="8" s="1"/>
  <c r="D415" i="7"/>
  <c r="AU51" i="8" s="1"/>
  <c r="E414" i="7"/>
  <c r="BF50" i="8" s="1"/>
  <c r="D414" i="7"/>
  <c r="AU50" i="8" s="1"/>
  <c r="E413" i="7"/>
  <c r="BF49" i="8" s="1"/>
  <c r="D413" i="7"/>
  <c r="AU49" i="8" s="1"/>
  <c r="E412" i="7"/>
  <c r="BF48" i="8" s="1"/>
  <c r="D412" i="7"/>
  <c r="AU48" i="8" s="1"/>
  <c r="E411" i="7"/>
  <c r="BF47" i="8" s="1"/>
  <c r="D411" i="7"/>
  <c r="AU47" i="8" s="1"/>
  <c r="E410" i="7"/>
  <c r="BF46" i="8" s="1"/>
  <c r="D410" i="7"/>
  <c r="AU46" i="8" s="1"/>
  <c r="E409" i="7"/>
  <c r="BF45" i="8" s="1"/>
  <c r="D409" i="7"/>
  <c r="AU45" i="8" s="1"/>
  <c r="E408" i="7"/>
  <c r="BF44" i="8" s="1"/>
  <c r="D408" i="7"/>
  <c r="AU44" i="8" s="1"/>
  <c r="E407" i="7"/>
  <c r="BF43" i="8" s="1"/>
  <c r="D407" i="7"/>
  <c r="AU43" i="8" s="1"/>
  <c r="E406" i="7"/>
  <c r="BF42" i="8" s="1"/>
  <c r="D406" i="7"/>
  <c r="AU42" i="8" s="1"/>
  <c r="E405" i="7"/>
  <c r="BF41" i="8" s="1"/>
  <c r="D405" i="7"/>
  <c r="AU41" i="8" s="1"/>
  <c r="E404" i="7"/>
  <c r="BF40" i="8" s="1"/>
  <c r="D404" i="7"/>
  <c r="AU40" i="8" s="1"/>
  <c r="E403" i="7"/>
  <c r="BF39" i="8" s="1"/>
  <c r="D403" i="7"/>
  <c r="AU39" i="8" s="1"/>
  <c r="E402" i="7"/>
  <c r="BF38" i="8" s="1"/>
  <c r="D402" i="7"/>
  <c r="AU38" i="8" s="1"/>
  <c r="E401" i="7"/>
  <c r="BF37" i="8" s="1"/>
  <c r="D401" i="7"/>
  <c r="AU37" i="8" s="1"/>
  <c r="E400" i="7"/>
  <c r="BF36" i="8" s="1"/>
  <c r="D400" i="7"/>
  <c r="AU36" i="8" s="1"/>
  <c r="E399" i="7"/>
  <c r="BF35" i="8" s="1"/>
  <c r="D399" i="7"/>
  <c r="AU35" i="8" s="1"/>
  <c r="E398" i="7"/>
  <c r="BF34" i="8" s="1"/>
  <c r="D398" i="7"/>
  <c r="AU34" i="8" s="1"/>
  <c r="E397" i="7"/>
  <c r="BF33" i="8" s="1"/>
  <c r="D397" i="7"/>
  <c r="AU33" i="8" s="1"/>
  <c r="E396" i="7"/>
  <c r="BF32" i="8" s="1"/>
  <c r="D396" i="7"/>
  <c r="AU32" i="8" s="1"/>
  <c r="E395" i="7"/>
  <c r="BF31" i="8" s="1"/>
  <c r="D395" i="7"/>
  <c r="AU31" i="8" s="1"/>
  <c r="E394" i="7"/>
  <c r="BF30" i="8" s="1"/>
  <c r="D394" i="7"/>
  <c r="AU30" i="8" s="1"/>
  <c r="E393" i="7"/>
  <c r="BF29" i="8" s="1"/>
  <c r="D393" i="7"/>
  <c r="AU29" i="8" s="1"/>
  <c r="E392" i="7"/>
  <c r="BF28" i="8" s="1"/>
  <c r="D392" i="7"/>
  <c r="AU28" i="8" s="1"/>
  <c r="E391" i="7"/>
  <c r="BF27" i="8" s="1"/>
  <c r="D391" i="7"/>
  <c r="E390" i="7"/>
  <c r="BF26" i="8" s="1"/>
  <c r="D390" i="7"/>
  <c r="AU26" i="8" s="1"/>
  <c r="E389" i="7"/>
  <c r="BF25" i="8" s="1"/>
  <c r="D389" i="7"/>
  <c r="AU25" i="8" s="1"/>
  <c r="E388" i="7"/>
  <c r="D388" i="7"/>
  <c r="AU24" i="8" s="1"/>
  <c r="E387" i="7"/>
  <c r="BF23" i="8" s="1"/>
  <c r="D387" i="7"/>
  <c r="AU23" i="8" s="1"/>
  <c r="E386" i="7"/>
  <c r="BF22" i="8" s="1"/>
  <c r="D386" i="7"/>
  <c r="AU22" i="8" s="1"/>
  <c r="E385" i="7"/>
  <c r="D385" i="7"/>
  <c r="AU21" i="8" s="1"/>
  <c r="E384" i="7"/>
  <c r="BF20" i="8" s="1"/>
  <c r="D384" i="7"/>
  <c r="AU20" i="8" s="1"/>
  <c r="E383" i="7"/>
  <c r="BF19" i="8" s="1"/>
  <c r="D383" i="7"/>
  <c r="AU19" i="8" s="1"/>
  <c r="E382" i="7"/>
  <c r="BF18" i="8" s="1"/>
  <c r="D382" i="7"/>
  <c r="AU18" i="8" s="1"/>
  <c r="E381" i="7"/>
  <c r="BF17" i="8" s="1"/>
  <c r="D381" i="7"/>
  <c r="AU17" i="8" s="1"/>
  <c r="E380" i="7"/>
  <c r="BF16" i="8" s="1"/>
  <c r="D380" i="7"/>
  <c r="AU16" i="8" s="1"/>
  <c r="E379" i="7"/>
  <c r="BF15" i="8" s="1"/>
  <c r="D379" i="7"/>
  <c r="AU15" i="8" s="1"/>
  <c r="E378" i="7"/>
  <c r="BF14" i="8" s="1"/>
  <c r="D378" i="7"/>
  <c r="AU14" i="8" s="1"/>
  <c r="E377" i="7"/>
  <c r="BF13" i="8" s="1"/>
  <c r="D377" i="7"/>
  <c r="AU13" i="8" s="1"/>
  <c r="E376" i="7"/>
  <c r="D376" i="7"/>
  <c r="AU12" i="8" s="1"/>
  <c r="E375" i="7"/>
  <c r="BF11" i="8" s="1"/>
  <c r="D375" i="7"/>
  <c r="AU11" i="8" s="1"/>
  <c r="E374" i="7"/>
  <c r="BF10" i="8" s="1"/>
  <c r="D374" i="7"/>
  <c r="E373" i="7"/>
  <c r="BF9" i="8" s="1"/>
  <c r="D373" i="7"/>
  <c r="E372" i="7"/>
  <c r="BF8" i="8" s="1"/>
  <c r="D372" i="7"/>
  <c r="AU8" i="8" s="1"/>
  <c r="E371" i="7"/>
  <c r="BF7" i="8" s="1"/>
  <c r="D371" i="7"/>
  <c r="AU7" i="8" s="1"/>
  <c r="E370" i="7"/>
  <c r="AJ87" i="8" s="1"/>
  <c r="D370" i="7"/>
  <c r="Y87" i="8" s="1"/>
  <c r="E369" i="7"/>
  <c r="AJ86" i="8" s="1"/>
  <c r="D369" i="7"/>
  <c r="Y86" i="8" s="1"/>
  <c r="E368" i="7"/>
  <c r="AJ85" i="8" s="1"/>
  <c r="D368" i="7"/>
  <c r="Y85" i="8" s="1"/>
  <c r="E367" i="7"/>
  <c r="AJ84" i="8" s="1"/>
  <c r="D367" i="7"/>
  <c r="Y84" i="8" s="1"/>
  <c r="E366" i="7"/>
  <c r="AJ83" i="8" s="1"/>
  <c r="D366" i="7"/>
  <c r="Y83" i="8" s="1"/>
  <c r="E365" i="7"/>
  <c r="AJ82" i="8" s="1"/>
  <c r="D365" i="7"/>
  <c r="Y82" i="8" s="1"/>
  <c r="E364" i="7"/>
  <c r="AJ81" i="8" s="1"/>
  <c r="D364" i="7"/>
  <c r="Y81" i="8" s="1"/>
  <c r="E363" i="7"/>
  <c r="AJ80" i="8" s="1"/>
  <c r="D363" i="7"/>
  <c r="Y80" i="8" s="1"/>
  <c r="E362" i="7"/>
  <c r="AJ79" i="8" s="1"/>
  <c r="D362" i="7"/>
  <c r="Y79" i="8" s="1"/>
  <c r="E361" i="7"/>
  <c r="AJ78" i="8" s="1"/>
  <c r="D361" i="7"/>
  <c r="Y78" i="8" s="1"/>
  <c r="E360" i="7"/>
  <c r="AJ77" i="8" s="1"/>
  <c r="D360" i="7"/>
  <c r="Y77" i="8" s="1"/>
  <c r="E359" i="7"/>
  <c r="AJ76" i="8" s="1"/>
  <c r="D359" i="7"/>
  <c r="Y76" i="8" s="1"/>
  <c r="E358" i="7"/>
  <c r="AJ75" i="8" s="1"/>
  <c r="D358" i="7"/>
  <c r="Y75" i="8" s="1"/>
  <c r="E357" i="7"/>
  <c r="AJ74" i="8" s="1"/>
  <c r="D357" i="7"/>
  <c r="Y74" i="8" s="1"/>
  <c r="E356" i="7"/>
  <c r="AJ73" i="8" s="1"/>
  <c r="D356" i="7"/>
  <c r="Y73" i="8" s="1"/>
  <c r="E355" i="7"/>
  <c r="AJ72" i="8" s="1"/>
  <c r="D355" i="7"/>
  <c r="Y72" i="8" s="1"/>
  <c r="E354" i="7"/>
  <c r="AJ71" i="8" s="1"/>
  <c r="D354" i="7"/>
  <c r="Y71" i="8" s="1"/>
  <c r="E353" i="7"/>
  <c r="AJ70" i="8" s="1"/>
  <c r="D353" i="7"/>
  <c r="Y70" i="8" s="1"/>
  <c r="E352" i="7"/>
  <c r="AJ69" i="8" s="1"/>
  <c r="D352" i="7"/>
  <c r="Y69" i="8" s="1"/>
  <c r="E351" i="7"/>
  <c r="AJ68" i="8" s="1"/>
  <c r="D351" i="7"/>
  <c r="Y68" i="8" s="1"/>
  <c r="E350" i="7"/>
  <c r="AJ67" i="8" s="1"/>
  <c r="D350" i="7"/>
  <c r="Y67" i="8" s="1"/>
  <c r="E349" i="7"/>
  <c r="AJ66" i="8" s="1"/>
  <c r="D349" i="7"/>
  <c r="Y66" i="8" s="1"/>
  <c r="E348" i="7"/>
  <c r="AJ65" i="8" s="1"/>
  <c r="D348" i="7"/>
  <c r="Y65" i="8" s="1"/>
  <c r="E347" i="7"/>
  <c r="AJ64" i="8" s="1"/>
  <c r="D347" i="7"/>
  <c r="Y64" i="8" s="1"/>
  <c r="E346" i="7"/>
  <c r="AJ63" i="8" s="1"/>
  <c r="D346" i="7"/>
  <c r="Y63" i="8" s="1"/>
  <c r="E345" i="7"/>
  <c r="AJ62" i="8" s="1"/>
  <c r="D345" i="7"/>
  <c r="Y62" i="8" s="1"/>
  <c r="E344" i="7"/>
  <c r="AJ61" i="8" s="1"/>
  <c r="D344" i="7"/>
  <c r="Y61" i="8" s="1"/>
  <c r="E343" i="7"/>
  <c r="D343" i="7"/>
  <c r="Y60" i="8" s="1"/>
  <c r="E342" i="7"/>
  <c r="AJ59" i="8" s="1"/>
  <c r="D342" i="7"/>
  <c r="Y59" i="8" s="1"/>
  <c r="E341" i="7"/>
  <c r="AJ58" i="8" s="1"/>
  <c r="D341" i="7"/>
  <c r="Y58" i="8" s="1"/>
  <c r="E340" i="7"/>
  <c r="AJ57" i="8" s="1"/>
  <c r="D340" i="7"/>
  <c r="Y57" i="8" s="1"/>
  <c r="E339" i="7"/>
  <c r="AJ56" i="8" s="1"/>
  <c r="D339" i="7"/>
  <c r="Y56" i="8" s="1"/>
  <c r="E338" i="7"/>
  <c r="AJ55" i="8" s="1"/>
  <c r="D338" i="7"/>
  <c r="Y55" i="8" s="1"/>
  <c r="E337" i="7"/>
  <c r="AJ54" i="8" s="1"/>
  <c r="D337" i="7"/>
  <c r="Y54" i="8" s="1"/>
  <c r="E336" i="7"/>
  <c r="AJ53" i="8" s="1"/>
  <c r="D336" i="7"/>
  <c r="Y53" i="8" s="1"/>
  <c r="E335" i="7"/>
  <c r="AJ52" i="8" s="1"/>
  <c r="D335" i="7"/>
  <c r="Y52" i="8" s="1"/>
  <c r="E334" i="7"/>
  <c r="AJ51" i="8" s="1"/>
  <c r="D334" i="7"/>
  <c r="Y51" i="8" s="1"/>
  <c r="E333" i="7"/>
  <c r="AJ50" i="8" s="1"/>
  <c r="D333" i="7"/>
  <c r="Y50" i="8" s="1"/>
  <c r="E332" i="7"/>
  <c r="AJ49" i="8" s="1"/>
  <c r="D332" i="7"/>
  <c r="Y49" i="8" s="1"/>
  <c r="E331" i="7"/>
  <c r="AJ48" i="8" s="1"/>
  <c r="D331" i="7"/>
  <c r="Y48" i="8" s="1"/>
  <c r="E330" i="7"/>
  <c r="AJ47" i="8" s="1"/>
  <c r="D330" i="7"/>
  <c r="Y47" i="8" s="1"/>
  <c r="E329" i="7"/>
  <c r="AJ46" i="8" s="1"/>
  <c r="D329" i="7"/>
  <c r="Y46" i="8" s="1"/>
  <c r="E328" i="7"/>
  <c r="AJ45" i="8" s="1"/>
  <c r="D328" i="7"/>
  <c r="Y45" i="8" s="1"/>
  <c r="E327" i="7"/>
  <c r="AJ44" i="8" s="1"/>
  <c r="D327" i="7"/>
  <c r="Y44" i="8" s="1"/>
  <c r="E326" i="7"/>
  <c r="AJ43" i="8" s="1"/>
  <c r="D326" i="7"/>
  <c r="E325" i="7"/>
  <c r="AJ42" i="8" s="1"/>
  <c r="D325" i="7"/>
  <c r="Y42" i="8" s="1"/>
  <c r="E324" i="7"/>
  <c r="AJ41" i="8" s="1"/>
  <c r="D324" i="7"/>
  <c r="E323" i="7"/>
  <c r="AJ40" i="8" s="1"/>
  <c r="D323" i="7"/>
  <c r="Y40" i="8" s="1"/>
  <c r="E322" i="7"/>
  <c r="AJ39" i="8" s="1"/>
  <c r="D322" i="7"/>
  <c r="Y39" i="8" s="1"/>
  <c r="E321" i="7"/>
  <c r="AJ38" i="8" s="1"/>
  <c r="D321" i="7"/>
  <c r="Y38" i="8" s="1"/>
  <c r="E320" i="7"/>
  <c r="AJ37" i="8" s="1"/>
  <c r="D320" i="7"/>
  <c r="Y37" i="8" s="1"/>
  <c r="E319" i="7"/>
  <c r="AJ36" i="8" s="1"/>
  <c r="D319" i="7"/>
  <c r="Y36" i="8" s="1"/>
  <c r="E318" i="7"/>
  <c r="AJ35" i="8" s="1"/>
  <c r="D318" i="7"/>
  <c r="Y35" i="8" s="1"/>
  <c r="E317" i="7"/>
  <c r="AJ34" i="8" s="1"/>
  <c r="D317" i="7"/>
  <c r="Y34" i="8" s="1"/>
  <c r="E316" i="7"/>
  <c r="AJ33" i="8" s="1"/>
  <c r="D316" i="7"/>
  <c r="Y33" i="8" s="1"/>
  <c r="E315" i="7"/>
  <c r="AJ32" i="8" s="1"/>
  <c r="D315" i="7"/>
  <c r="Y32" i="8" s="1"/>
  <c r="E314" i="7"/>
  <c r="AJ31" i="8" s="1"/>
  <c r="D314" i="7"/>
  <c r="Y31" i="8" s="1"/>
  <c r="E313" i="7"/>
  <c r="AJ30" i="8" s="1"/>
  <c r="D313" i="7"/>
  <c r="Y30" i="8" s="1"/>
  <c r="E312" i="7"/>
  <c r="AJ29" i="8" s="1"/>
  <c r="D312" i="7"/>
  <c r="E311" i="7"/>
  <c r="AJ28" i="8" s="1"/>
  <c r="D311" i="7"/>
  <c r="Y28" i="8" s="1"/>
  <c r="E310" i="7"/>
  <c r="AJ27" i="8" s="1"/>
  <c r="D310" i="7"/>
  <c r="Y27" i="8" s="1"/>
  <c r="E309" i="7"/>
  <c r="AJ26" i="8" s="1"/>
  <c r="D309" i="7"/>
  <c r="Y26" i="8" s="1"/>
  <c r="E308" i="7"/>
  <c r="AJ25" i="8" s="1"/>
  <c r="D308" i="7"/>
  <c r="Y25" i="8" s="1"/>
  <c r="E307" i="7"/>
  <c r="D307" i="7"/>
  <c r="Y24" i="8" s="1"/>
  <c r="E306" i="7"/>
  <c r="AJ23" i="8" s="1"/>
  <c r="D306" i="7"/>
  <c r="Y23" i="8" s="1"/>
  <c r="E305" i="7"/>
  <c r="AJ22" i="8" s="1"/>
  <c r="D305" i="7"/>
  <c r="Y22" i="8" s="1"/>
  <c r="E304" i="7"/>
  <c r="AJ21" i="8" s="1"/>
  <c r="D304" i="7"/>
  <c r="Y21" i="8" s="1"/>
  <c r="E303" i="7"/>
  <c r="AJ20" i="8" s="1"/>
  <c r="D303" i="7"/>
  <c r="E302" i="7"/>
  <c r="AJ19" i="8" s="1"/>
  <c r="D302" i="7"/>
  <c r="E301" i="7"/>
  <c r="AJ18" i="8" s="1"/>
  <c r="D301" i="7"/>
  <c r="Y18" i="8" s="1"/>
  <c r="E300" i="7"/>
  <c r="D300" i="7"/>
  <c r="Y17" i="8" s="1"/>
  <c r="E299" i="7"/>
  <c r="AJ16" i="8" s="1"/>
  <c r="D299" i="7"/>
  <c r="Y16" i="8" s="1"/>
  <c r="E298" i="7"/>
  <c r="AJ15" i="8" s="1"/>
  <c r="D298" i="7"/>
  <c r="Y15" i="8" s="1"/>
  <c r="E297" i="7"/>
  <c r="AJ14" i="8" s="1"/>
  <c r="D297" i="7"/>
  <c r="Y14" i="8" s="1"/>
  <c r="E296" i="7"/>
  <c r="AJ13" i="8" s="1"/>
  <c r="D296" i="7"/>
  <c r="E295" i="7"/>
  <c r="AJ12" i="8" s="1"/>
  <c r="D295" i="7"/>
  <c r="E294" i="7"/>
  <c r="AJ11" i="8" s="1"/>
  <c r="D294" i="7"/>
  <c r="Y11" i="8" s="1"/>
  <c r="E293" i="7"/>
  <c r="D293" i="7"/>
  <c r="Y10" i="8" s="1"/>
  <c r="E292" i="7"/>
  <c r="AJ9" i="8" s="1"/>
  <c r="AK9" i="8" s="1"/>
  <c r="D292" i="7"/>
  <c r="Y9" i="8" s="1"/>
  <c r="E291" i="7"/>
  <c r="AJ8" i="8" s="1"/>
  <c r="D291" i="7"/>
  <c r="E290" i="7"/>
  <c r="AJ7" i="8" s="1"/>
  <c r="D290" i="7"/>
  <c r="Y7" i="8" s="1"/>
  <c r="E289" i="7"/>
  <c r="N87" i="8" s="1"/>
  <c r="D289" i="7"/>
  <c r="C87" i="8" s="1"/>
  <c r="E288" i="7"/>
  <c r="N86" i="8" s="1"/>
  <c r="D288" i="7"/>
  <c r="C86" i="8" s="1"/>
  <c r="E287" i="7"/>
  <c r="N85" i="8" s="1"/>
  <c r="D287" i="7"/>
  <c r="C85" i="8" s="1"/>
  <c r="E286" i="7"/>
  <c r="N84" i="8" s="1"/>
  <c r="D286" i="7"/>
  <c r="C84" i="8" s="1"/>
  <c r="E285" i="7"/>
  <c r="N83" i="8" s="1"/>
  <c r="D285" i="7"/>
  <c r="C83" i="8" s="1"/>
  <c r="E284" i="7"/>
  <c r="N82" i="8" s="1"/>
  <c r="D284" i="7"/>
  <c r="C82" i="8" s="1"/>
  <c r="E283" i="7"/>
  <c r="N81" i="8" s="1"/>
  <c r="D283" i="7"/>
  <c r="C81" i="8" s="1"/>
  <c r="E282" i="7"/>
  <c r="N80" i="8" s="1"/>
  <c r="D282" i="7"/>
  <c r="C80" i="8" s="1"/>
  <c r="E281" i="7"/>
  <c r="N79" i="8" s="1"/>
  <c r="D281" i="7"/>
  <c r="C79" i="8" s="1"/>
  <c r="E280" i="7"/>
  <c r="N78" i="8" s="1"/>
  <c r="D280" i="7"/>
  <c r="C78" i="8" s="1"/>
  <c r="E279" i="7"/>
  <c r="N77" i="8" s="1"/>
  <c r="D279" i="7"/>
  <c r="C77" i="8" s="1"/>
  <c r="E278" i="7"/>
  <c r="N76" i="8" s="1"/>
  <c r="D278" i="7"/>
  <c r="C76" i="8" s="1"/>
  <c r="E277" i="7"/>
  <c r="N75" i="8" s="1"/>
  <c r="D277" i="7"/>
  <c r="C75" i="8" s="1"/>
  <c r="E276" i="7"/>
  <c r="N74" i="8" s="1"/>
  <c r="D276" i="7"/>
  <c r="C74" i="8" s="1"/>
  <c r="E275" i="7"/>
  <c r="N73" i="8" s="1"/>
  <c r="D275" i="7"/>
  <c r="C73" i="8" s="1"/>
  <c r="E274" i="7"/>
  <c r="N72" i="8" s="1"/>
  <c r="D274" i="7"/>
  <c r="C72" i="8" s="1"/>
  <c r="E273" i="7"/>
  <c r="N71" i="8" s="1"/>
  <c r="D273" i="7"/>
  <c r="C71" i="8" s="1"/>
  <c r="E272" i="7"/>
  <c r="N70" i="8" s="1"/>
  <c r="D272" i="7"/>
  <c r="C70" i="8" s="1"/>
  <c r="E271" i="7"/>
  <c r="N69" i="8" s="1"/>
  <c r="D271" i="7"/>
  <c r="C69" i="8" s="1"/>
  <c r="E270" i="7"/>
  <c r="N68" i="8" s="1"/>
  <c r="D270" i="7"/>
  <c r="C68" i="8" s="1"/>
  <c r="E269" i="7"/>
  <c r="N67" i="8" s="1"/>
  <c r="D269" i="7"/>
  <c r="C67" i="8" s="1"/>
  <c r="E268" i="7"/>
  <c r="N66" i="8" s="1"/>
  <c r="D268" i="7"/>
  <c r="C66" i="8" s="1"/>
  <c r="E267" i="7"/>
  <c r="N65" i="8" s="1"/>
  <c r="D267" i="7"/>
  <c r="C65" i="8" s="1"/>
  <c r="E266" i="7"/>
  <c r="N64" i="8" s="1"/>
  <c r="D266" i="7"/>
  <c r="C64" i="8" s="1"/>
  <c r="E265" i="7"/>
  <c r="N63" i="8" s="1"/>
  <c r="D265" i="7"/>
  <c r="C63" i="8" s="1"/>
  <c r="E264" i="7"/>
  <c r="N62" i="8" s="1"/>
  <c r="D264" i="7"/>
  <c r="C62" i="8" s="1"/>
  <c r="E263" i="7"/>
  <c r="N61" i="8" s="1"/>
  <c r="D263" i="7"/>
  <c r="C61" i="8" s="1"/>
  <c r="E262" i="7"/>
  <c r="N60" i="8" s="1"/>
  <c r="D262" i="7"/>
  <c r="C60" i="8" s="1"/>
  <c r="E261" i="7"/>
  <c r="N59" i="8" s="1"/>
  <c r="D261" i="7"/>
  <c r="C59" i="8" s="1"/>
  <c r="E260" i="7"/>
  <c r="N58" i="8" s="1"/>
  <c r="D260" i="7"/>
  <c r="C58" i="8" s="1"/>
  <c r="E259" i="7"/>
  <c r="N57" i="8" s="1"/>
  <c r="D259" i="7"/>
  <c r="C57" i="8" s="1"/>
  <c r="E258" i="7"/>
  <c r="N56" i="8" s="1"/>
  <c r="D258" i="7"/>
  <c r="C56" i="8" s="1"/>
  <c r="E257" i="7"/>
  <c r="N55" i="8" s="1"/>
  <c r="D257" i="7"/>
  <c r="C55" i="8" s="1"/>
  <c r="E256" i="7"/>
  <c r="N54" i="8" s="1"/>
  <c r="D256" i="7"/>
  <c r="C54" i="8" s="1"/>
  <c r="E255" i="7"/>
  <c r="N53" i="8" s="1"/>
  <c r="D255" i="7"/>
  <c r="C53" i="8" s="1"/>
  <c r="E254" i="7"/>
  <c r="N52" i="8" s="1"/>
  <c r="D254" i="7"/>
  <c r="C52" i="8" s="1"/>
  <c r="E253" i="7"/>
  <c r="N51" i="8" s="1"/>
  <c r="D253" i="7"/>
  <c r="C51" i="8" s="1"/>
  <c r="E252" i="7"/>
  <c r="N50" i="8" s="1"/>
  <c r="D252" i="7"/>
  <c r="C50" i="8" s="1"/>
  <c r="E251" i="7"/>
  <c r="N49" i="8" s="1"/>
  <c r="D251" i="7"/>
  <c r="C49" i="8" s="1"/>
  <c r="E250" i="7"/>
  <c r="N48" i="8" s="1"/>
  <c r="D250" i="7"/>
  <c r="C48" i="8" s="1"/>
  <c r="E249" i="7"/>
  <c r="N47" i="8" s="1"/>
  <c r="D249" i="7"/>
  <c r="C47" i="8" s="1"/>
  <c r="E248" i="7"/>
  <c r="N46" i="8" s="1"/>
  <c r="D248" i="7"/>
  <c r="C46" i="8" s="1"/>
  <c r="E247" i="7"/>
  <c r="D247" i="7"/>
  <c r="C45" i="8" s="1"/>
  <c r="E246" i="7"/>
  <c r="N44" i="8" s="1"/>
  <c r="D246" i="7"/>
  <c r="C44" i="8" s="1"/>
  <c r="E245" i="7"/>
  <c r="N43" i="8" s="1"/>
  <c r="D245" i="7"/>
  <c r="C43" i="8" s="1"/>
  <c r="E244" i="7"/>
  <c r="N42" i="8" s="1"/>
  <c r="D244" i="7"/>
  <c r="C42" i="8" s="1"/>
  <c r="E243" i="7"/>
  <c r="N41" i="8" s="1"/>
  <c r="D243" i="7"/>
  <c r="C41" i="8" s="1"/>
  <c r="E242" i="7"/>
  <c r="N40" i="8" s="1"/>
  <c r="D242" i="7"/>
  <c r="C40" i="8" s="1"/>
  <c r="E241" i="7"/>
  <c r="N39" i="8" s="1"/>
  <c r="D241" i="7"/>
  <c r="C39" i="8" s="1"/>
  <c r="E240" i="7"/>
  <c r="N38" i="8" s="1"/>
  <c r="D240" i="7"/>
  <c r="C38" i="8" s="1"/>
  <c r="E239" i="7"/>
  <c r="N37" i="8" s="1"/>
  <c r="D239" i="7"/>
  <c r="E238" i="7"/>
  <c r="N36" i="8" s="1"/>
  <c r="D238" i="7"/>
  <c r="C36" i="8" s="1"/>
  <c r="E237" i="7"/>
  <c r="N35" i="8" s="1"/>
  <c r="D237" i="7"/>
  <c r="C35" i="8" s="1"/>
  <c r="E236" i="7"/>
  <c r="N34" i="8" s="1"/>
  <c r="D236" i="7"/>
  <c r="C34" i="8" s="1"/>
  <c r="E235" i="7"/>
  <c r="N33" i="8" s="1"/>
  <c r="D235" i="7"/>
  <c r="C33" i="8" s="1"/>
  <c r="E234" i="7"/>
  <c r="N32" i="8" s="1"/>
  <c r="D234" i="7"/>
  <c r="C32" i="8" s="1"/>
  <c r="E233" i="7"/>
  <c r="N31" i="8" s="1"/>
  <c r="D233" i="7"/>
  <c r="C31" i="8" s="1"/>
  <c r="E232" i="7"/>
  <c r="N30" i="8" s="1"/>
  <c r="D232" i="7"/>
  <c r="C30" i="8" s="1"/>
  <c r="E231" i="7"/>
  <c r="N29" i="8" s="1"/>
  <c r="D231" i="7"/>
  <c r="C29" i="8" s="1"/>
  <c r="E230" i="7"/>
  <c r="N28" i="8" s="1"/>
  <c r="D230" i="7"/>
  <c r="E229" i="7"/>
  <c r="N27" i="8" s="1"/>
  <c r="D229" i="7"/>
  <c r="E228" i="7"/>
  <c r="N26" i="8" s="1"/>
  <c r="D228" i="7"/>
  <c r="C26" i="8" s="1"/>
  <c r="E227" i="7"/>
  <c r="N25" i="8" s="1"/>
  <c r="D227" i="7"/>
  <c r="C25" i="8" s="1"/>
  <c r="E226" i="7"/>
  <c r="N24" i="8" s="1"/>
  <c r="D226" i="7"/>
  <c r="C24" i="8" s="1"/>
  <c r="E225" i="7"/>
  <c r="D225" i="7"/>
  <c r="C23" i="8" s="1"/>
  <c r="E224" i="7"/>
  <c r="N22" i="8" s="1"/>
  <c r="D224" i="7"/>
  <c r="C22" i="8" s="1"/>
  <c r="E223" i="7"/>
  <c r="D223" i="7"/>
  <c r="C21" i="8" s="1"/>
  <c r="E222" i="7"/>
  <c r="N20" i="8" s="1"/>
  <c r="D222" i="7"/>
  <c r="C20" i="8" s="1"/>
  <c r="E221" i="7"/>
  <c r="N19" i="8" s="1"/>
  <c r="D221" i="7"/>
  <c r="C19" i="8" s="1"/>
  <c r="E220" i="7"/>
  <c r="N18" i="8" s="1"/>
  <c r="D220" i="7"/>
  <c r="C18" i="8" s="1"/>
  <c r="E219" i="7"/>
  <c r="N17" i="8" s="1"/>
  <c r="D219" i="7"/>
  <c r="C17" i="8" s="1"/>
  <c r="E218" i="7"/>
  <c r="D218" i="7"/>
  <c r="C16" i="8" s="1"/>
  <c r="E217" i="7"/>
  <c r="D217" i="7"/>
  <c r="C15" i="8" s="1"/>
  <c r="E216" i="7"/>
  <c r="D216" i="7"/>
  <c r="C14" i="8" s="1"/>
  <c r="E215" i="7"/>
  <c r="N13" i="8" s="1"/>
  <c r="D215" i="7"/>
  <c r="C13" i="8" s="1"/>
  <c r="E214" i="7"/>
  <c r="N12" i="8" s="1"/>
  <c r="D214" i="7"/>
  <c r="C12" i="8" s="1"/>
  <c r="E213" i="7"/>
  <c r="N11" i="8" s="1"/>
  <c r="D213" i="7"/>
  <c r="C11" i="8" s="1"/>
  <c r="E212" i="7"/>
  <c r="D212" i="7"/>
  <c r="E211" i="7"/>
  <c r="N9" i="8" s="1"/>
  <c r="D211" i="7"/>
  <c r="E210" i="7"/>
  <c r="N8" i="8" s="1"/>
  <c r="D210" i="7"/>
  <c r="C8" i="8" s="1"/>
  <c r="E209" i="7"/>
  <c r="N7" i="8" s="1"/>
  <c r="D209" i="7"/>
  <c r="C7" i="8" s="1"/>
  <c r="E208" i="7"/>
  <c r="D208" i="7"/>
  <c r="E207" i="7"/>
  <c r="D207" i="7"/>
  <c r="E206" i="7"/>
  <c r="D206" i="7"/>
  <c r="E205" i="7"/>
  <c r="D205" i="7"/>
  <c r="E204" i="7"/>
  <c r="D204" i="7"/>
  <c r="E203" i="7"/>
  <c r="D203" i="7"/>
  <c r="E202" i="7"/>
  <c r="D202" i="7"/>
  <c r="E201" i="7"/>
  <c r="D201" i="7"/>
  <c r="E200" i="7"/>
  <c r="D200" i="7"/>
  <c r="E199" i="7"/>
  <c r="D199" i="7"/>
  <c r="E198" i="7"/>
  <c r="D198" i="7"/>
  <c r="E197" i="7"/>
  <c r="D197" i="7"/>
  <c r="E196" i="7"/>
  <c r="D196" i="7"/>
  <c r="E195" i="7"/>
  <c r="D195" i="7"/>
  <c r="E194" i="7"/>
  <c r="D194" i="7"/>
  <c r="E193" i="7"/>
  <c r="D193" i="7"/>
  <c r="E192" i="7"/>
  <c r="D192" i="7"/>
  <c r="E191" i="7"/>
  <c r="D191" i="7"/>
  <c r="E190" i="7"/>
  <c r="D190" i="7"/>
  <c r="E189" i="7"/>
  <c r="D189" i="7"/>
  <c r="E188" i="7"/>
  <c r="D188" i="7"/>
  <c r="E187" i="7"/>
  <c r="D187" i="7"/>
  <c r="E186" i="7"/>
  <c r="D186" i="7"/>
  <c r="E185" i="7"/>
  <c r="D185" i="7"/>
  <c r="E184" i="7"/>
  <c r="D184" i="7"/>
  <c r="E183" i="7"/>
  <c r="D183" i="7"/>
  <c r="E182" i="7"/>
  <c r="D182" i="7"/>
  <c r="E181" i="7"/>
  <c r="D181" i="7"/>
  <c r="E180" i="7"/>
  <c r="D180" i="7"/>
  <c r="E179" i="7"/>
  <c r="D179" i="7"/>
  <c r="E178" i="7"/>
  <c r="D178" i="7"/>
  <c r="E177" i="7"/>
  <c r="D177" i="7"/>
  <c r="E176" i="7"/>
  <c r="D176" i="7"/>
  <c r="E175" i="7"/>
  <c r="D175" i="7"/>
  <c r="E174" i="7"/>
  <c r="D174" i="7"/>
  <c r="E173" i="7"/>
  <c r="D173" i="7"/>
  <c r="E172" i="7"/>
  <c r="D172" i="7"/>
  <c r="E171" i="7"/>
  <c r="D171" i="7"/>
  <c r="E170" i="7"/>
  <c r="D170" i="7"/>
  <c r="E169" i="7"/>
  <c r="D169" i="7"/>
  <c r="E168" i="7"/>
  <c r="D168" i="7"/>
  <c r="E167" i="7"/>
  <c r="D167" i="7"/>
  <c r="E166" i="7"/>
  <c r="D166" i="7"/>
  <c r="E165" i="7"/>
  <c r="D165" i="7"/>
  <c r="E164" i="7"/>
  <c r="D164" i="7"/>
  <c r="E163" i="7"/>
  <c r="D163" i="7"/>
  <c r="E162" i="7"/>
  <c r="D162" i="7"/>
  <c r="E161" i="7"/>
  <c r="D161" i="7"/>
  <c r="E160" i="7"/>
  <c r="D160" i="7"/>
  <c r="E159" i="7"/>
  <c r="D159" i="7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X68" i="8" s="1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M59" i="8" s="1"/>
  <c r="O59" i="8" s="1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M44" i="8" s="1"/>
  <c r="O44" i="8" s="1"/>
  <c r="D44" i="7"/>
  <c r="E43" i="7"/>
  <c r="D43" i="7"/>
  <c r="X43" i="8" s="1"/>
  <c r="E42" i="7"/>
  <c r="D42" i="7"/>
  <c r="E41" i="7"/>
  <c r="D41" i="7"/>
  <c r="E40" i="7"/>
  <c r="D40" i="7"/>
  <c r="E39" i="7"/>
  <c r="D39" i="7"/>
  <c r="E38" i="7"/>
  <c r="BE38" i="8" s="1"/>
  <c r="BG38" i="8" s="1"/>
  <c r="D38" i="7"/>
  <c r="E37" i="7"/>
  <c r="M37" i="8" s="1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X31" i="8" s="1"/>
  <c r="Z31" i="8" s="1"/>
  <c r="E30" i="7"/>
  <c r="M30" i="8" s="1"/>
  <c r="D30" i="7"/>
  <c r="E29" i="7"/>
  <c r="D29" i="7"/>
  <c r="E28" i="7"/>
  <c r="D28" i="7"/>
  <c r="E27" i="7"/>
  <c r="D27" i="7"/>
  <c r="E26" i="7"/>
  <c r="D26" i="7"/>
  <c r="E25" i="7"/>
  <c r="BE25" i="8" s="1"/>
  <c r="BG25" i="8" s="1"/>
  <c r="D25" i="7"/>
  <c r="E24" i="7"/>
  <c r="AI24" i="8" s="1"/>
  <c r="AK24" i="8" s="1"/>
  <c r="D24" i="7"/>
  <c r="E23" i="7"/>
  <c r="D23" i="7"/>
  <c r="E22" i="7"/>
  <c r="BE22" i="8" s="1"/>
  <c r="BG22" i="8" s="1"/>
  <c r="D22" i="7"/>
  <c r="E21" i="7"/>
  <c r="D21" i="7"/>
  <c r="E20" i="7"/>
  <c r="BE20" i="8" s="1"/>
  <c r="D20" i="7"/>
  <c r="X20" i="8" s="1"/>
  <c r="E19" i="7"/>
  <c r="AI19" i="8" s="1"/>
  <c r="AK19" i="8" s="1"/>
  <c r="D19" i="7"/>
  <c r="E18" i="7"/>
  <c r="D18" i="7"/>
  <c r="E17" i="7"/>
  <c r="D17" i="7"/>
  <c r="E16" i="7"/>
  <c r="D16" i="7"/>
  <c r="E15" i="7"/>
  <c r="AI15" i="8" s="1"/>
  <c r="D15" i="7"/>
  <c r="E14" i="7"/>
  <c r="BE14" i="8" s="1"/>
  <c r="BG14" i="8" s="1"/>
  <c r="D14" i="7"/>
  <c r="X14" i="8" s="1"/>
  <c r="E13" i="7"/>
  <c r="AI13" i="8" s="1"/>
  <c r="AK13" i="8" s="1"/>
  <c r="D13" i="7"/>
  <c r="B13" i="8" s="1"/>
  <c r="D13" i="8" s="1"/>
  <c r="E12" i="7"/>
  <c r="M12" i="8" s="1"/>
  <c r="D12" i="7"/>
  <c r="E11" i="7"/>
  <c r="BE11" i="8" s="1"/>
  <c r="BG11" i="8" s="1"/>
  <c r="D11" i="7"/>
  <c r="X11" i="8" s="1"/>
  <c r="Z11" i="8" s="1"/>
  <c r="E10" i="7"/>
  <c r="M10" i="8" s="1"/>
  <c r="O10" i="8" s="1"/>
  <c r="D10" i="7"/>
  <c r="E9" i="7"/>
  <c r="AI9" i="8" s="1"/>
  <c r="D9" i="7"/>
  <c r="E8" i="7"/>
  <c r="AI8" i="8" s="1"/>
  <c r="D8" i="7"/>
  <c r="X8" i="8" s="1"/>
  <c r="E7" i="7"/>
  <c r="BE7" i="8" s="1"/>
  <c r="D7" i="7"/>
  <c r="AT7" i="8" s="1"/>
  <c r="AV7" i="8" s="1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G3730" i="3"/>
  <c r="G3729" i="3"/>
  <c r="G3728" i="3"/>
  <c r="G3727" i="3"/>
  <c r="G3726" i="3"/>
  <c r="G3725" i="3"/>
  <c r="G3724" i="3"/>
  <c r="G3723" i="3"/>
  <c r="G3722" i="3"/>
  <c r="G3721" i="3"/>
  <c r="Q274" i="1" s="1"/>
  <c r="G3720" i="3"/>
  <c r="Q273" i="1" s="1"/>
  <c r="G3719" i="3"/>
  <c r="G3718" i="3"/>
  <c r="G3717" i="3"/>
  <c r="G3716" i="3"/>
  <c r="G3715" i="3"/>
  <c r="G3714" i="3"/>
  <c r="Q267" i="1" s="1"/>
  <c r="G3713" i="3"/>
  <c r="G3712" i="3"/>
  <c r="G3711" i="3"/>
  <c r="G3710" i="3"/>
  <c r="G3709" i="3"/>
  <c r="Q262" i="1" s="1"/>
  <c r="G3708" i="3"/>
  <c r="Q261" i="1" s="1"/>
  <c r="G3707" i="3"/>
  <c r="G3706" i="3"/>
  <c r="G3705" i="3"/>
  <c r="G3704" i="3"/>
  <c r="G3703" i="3"/>
  <c r="G3702" i="3"/>
  <c r="Q255" i="1" s="1"/>
  <c r="G3701" i="3"/>
  <c r="G3700" i="3"/>
  <c r="G3699" i="3"/>
  <c r="G3698" i="3"/>
  <c r="G3697" i="3"/>
  <c r="Q250" i="1" s="1"/>
  <c r="G3696" i="3"/>
  <c r="Q249" i="1" s="1"/>
  <c r="G3695" i="3"/>
  <c r="G3694" i="3"/>
  <c r="G3693" i="3"/>
  <c r="G3692" i="3"/>
  <c r="G3691" i="3"/>
  <c r="G3690" i="3"/>
  <c r="Q243" i="1" s="1"/>
  <c r="G3689" i="3"/>
  <c r="G3688" i="3"/>
  <c r="G3687" i="3"/>
  <c r="G3686" i="3"/>
  <c r="G3685" i="3"/>
  <c r="G3684" i="3"/>
  <c r="Q236" i="1" s="1"/>
  <c r="G3683" i="3"/>
  <c r="G3682" i="3"/>
  <c r="G3681" i="3"/>
  <c r="Q20" i="2" s="1"/>
  <c r="G3680" i="3"/>
  <c r="G3679" i="3"/>
  <c r="G3678" i="3"/>
  <c r="G3677" i="3"/>
  <c r="G3676" i="3"/>
  <c r="G3675" i="3"/>
  <c r="G3674" i="3"/>
  <c r="G3673" i="3"/>
  <c r="G3672" i="3"/>
  <c r="Q224" i="1" s="1"/>
  <c r="G3671" i="3"/>
  <c r="G3670" i="3"/>
  <c r="G3669" i="3"/>
  <c r="G3668" i="3"/>
  <c r="G3667" i="3"/>
  <c r="G3666" i="3"/>
  <c r="G3665" i="3"/>
  <c r="G3664" i="3"/>
  <c r="G3663" i="3"/>
  <c r="G3662" i="3"/>
  <c r="G3661" i="3"/>
  <c r="Q213" i="1" s="1"/>
  <c r="G3660" i="3"/>
  <c r="Q212" i="1" s="1"/>
  <c r="G3659" i="3"/>
  <c r="G3658" i="3"/>
  <c r="G3657" i="3"/>
  <c r="G3656" i="3"/>
  <c r="G3655" i="3"/>
  <c r="G3654" i="3"/>
  <c r="G3653" i="3"/>
  <c r="G3652" i="3"/>
  <c r="G3651" i="3"/>
  <c r="G3650" i="3"/>
  <c r="G3649" i="3"/>
  <c r="Q201" i="1" s="1"/>
  <c r="G3648" i="3"/>
  <c r="Q200" i="1" s="1"/>
  <c r="G3647" i="3"/>
  <c r="G3646" i="3"/>
  <c r="G3645" i="3"/>
  <c r="G3644" i="3"/>
  <c r="G3643" i="3"/>
  <c r="G3642" i="3"/>
  <c r="Q18" i="2" s="1"/>
  <c r="G3641" i="3"/>
  <c r="G3640" i="3"/>
  <c r="G3639" i="3"/>
  <c r="G3638" i="3"/>
  <c r="G3637" i="3"/>
  <c r="Q189" i="1" s="1"/>
  <c r="G3636" i="3"/>
  <c r="Q187" i="1" s="1"/>
  <c r="G3635" i="3"/>
  <c r="G3634" i="3"/>
  <c r="G3633" i="3"/>
  <c r="G3632" i="3"/>
  <c r="Q182" i="1" s="1"/>
  <c r="G3631" i="3"/>
  <c r="G3630" i="3"/>
  <c r="G3629" i="3"/>
  <c r="G3628" i="3"/>
  <c r="G3627" i="3"/>
  <c r="G3626" i="3"/>
  <c r="G3625" i="3"/>
  <c r="G3624" i="3"/>
  <c r="Q173" i="1" s="1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Q160" i="1" s="1"/>
  <c r="G3611" i="3"/>
  <c r="G3610" i="3"/>
  <c r="G3609" i="3"/>
  <c r="G3608" i="3"/>
  <c r="G3607" i="3"/>
  <c r="G3606" i="3"/>
  <c r="G3605" i="3"/>
  <c r="G3604" i="3"/>
  <c r="G3603" i="3"/>
  <c r="G3602" i="3"/>
  <c r="G3601" i="3"/>
  <c r="Q149" i="1" s="1"/>
  <c r="G3600" i="3"/>
  <c r="Q148" i="1" s="1"/>
  <c r="G3599" i="3"/>
  <c r="G3598" i="3"/>
  <c r="G3597" i="3"/>
  <c r="G3596" i="3"/>
  <c r="G3595" i="3"/>
  <c r="G3594" i="3"/>
  <c r="G3593" i="3"/>
  <c r="G3592" i="3"/>
  <c r="G3591" i="3"/>
  <c r="G3590" i="3"/>
  <c r="G3589" i="3"/>
  <c r="Q137" i="1" s="1"/>
  <c r="G3588" i="3"/>
  <c r="Q136" i="1" s="1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Q122" i="1" s="1"/>
  <c r="G3575" i="3"/>
  <c r="G3574" i="3"/>
  <c r="G3573" i="3"/>
  <c r="G3572" i="3"/>
  <c r="G3571" i="3"/>
  <c r="G3570" i="3"/>
  <c r="G3569" i="3"/>
  <c r="G3568" i="3"/>
  <c r="G3567" i="3"/>
  <c r="G3566" i="3"/>
  <c r="G3565" i="3"/>
  <c r="Q111" i="1" s="1"/>
  <c r="G3564" i="3"/>
  <c r="Q110" i="1" s="1"/>
  <c r="G3563" i="3"/>
  <c r="G3562" i="3"/>
  <c r="G3561" i="3"/>
  <c r="G3560" i="3"/>
  <c r="G3559" i="3"/>
  <c r="G3558" i="3"/>
  <c r="G3557" i="3"/>
  <c r="G3556" i="3"/>
  <c r="G3555" i="3"/>
  <c r="G3554" i="3"/>
  <c r="G3553" i="3"/>
  <c r="Q98" i="1" s="1"/>
  <c r="G3552" i="3"/>
  <c r="Q97" i="1" s="1"/>
  <c r="G3551" i="3"/>
  <c r="G3550" i="3"/>
  <c r="G3549" i="3"/>
  <c r="G3548" i="3"/>
  <c r="G3547" i="3"/>
  <c r="G3546" i="3"/>
  <c r="Q14" i="2" s="1"/>
  <c r="G3545" i="3"/>
  <c r="G3544" i="3"/>
  <c r="G3543" i="3"/>
  <c r="G3542" i="3"/>
  <c r="G3541" i="3"/>
  <c r="Q85" i="1" s="1"/>
  <c r="G3540" i="3"/>
  <c r="Q84" i="1" s="1"/>
  <c r="G3539" i="3"/>
  <c r="G3538" i="3"/>
  <c r="G3537" i="3"/>
  <c r="G3536" i="3"/>
  <c r="G3535" i="3"/>
  <c r="G3534" i="3"/>
  <c r="G3533" i="3"/>
  <c r="G3532" i="3"/>
  <c r="G3531" i="3"/>
  <c r="G3530" i="3"/>
  <c r="G3529" i="3"/>
  <c r="Q73" i="1" s="1"/>
  <c r="G3528" i="3"/>
  <c r="Q72" i="1" s="1"/>
  <c r="G3527" i="3"/>
  <c r="G3526" i="3"/>
  <c r="G3525" i="3"/>
  <c r="G3524" i="3"/>
  <c r="G3523" i="3"/>
  <c r="G3522" i="3"/>
  <c r="G3521" i="3"/>
  <c r="G3520" i="3"/>
  <c r="G3519" i="3"/>
  <c r="G3518" i="3"/>
  <c r="G3517" i="3"/>
  <c r="Q60" i="1" s="1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Q47" i="1" s="1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Q35" i="1" s="1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Q23" i="1" s="1"/>
  <c r="G3479" i="3"/>
  <c r="G3478" i="3"/>
  <c r="G3477" i="3"/>
  <c r="G3476" i="3"/>
  <c r="G3475" i="3"/>
  <c r="G3474" i="3"/>
  <c r="G3473" i="3"/>
  <c r="G3472" i="3"/>
  <c r="G3471" i="3"/>
  <c r="G3470" i="3"/>
  <c r="G3469" i="3"/>
  <c r="Q12" i="1" s="1"/>
  <c r="G3468" i="3"/>
  <c r="G3467" i="3"/>
  <c r="G3466" i="3"/>
  <c r="G3465" i="3"/>
  <c r="G3464" i="3"/>
  <c r="G3463" i="3"/>
  <c r="G3462" i="3"/>
  <c r="P283" i="1" s="1"/>
  <c r="G3461" i="3"/>
  <c r="G3460" i="3"/>
  <c r="G3459" i="3"/>
  <c r="P280" i="1" s="1"/>
  <c r="G3458" i="3"/>
  <c r="G3457" i="3"/>
  <c r="P278" i="1" s="1"/>
  <c r="G3456" i="3"/>
  <c r="P277" i="1" s="1"/>
  <c r="G3455" i="3"/>
  <c r="G3454" i="3"/>
  <c r="G3453" i="3"/>
  <c r="P274" i="1" s="1"/>
  <c r="G3452" i="3"/>
  <c r="G3451" i="3"/>
  <c r="G3450" i="3"/>
  <c r="P271" i="1" s="1"/>
  <c r="G3449" i="3"/>
  <c r="G3448" i="3"/>
  <c r="G3447" i="3"/>
  <c r="P268" i="1" s="1"/>
  <c r="G3446" i="3"/>
  <c r="G3445" i="3"/>
  <c r="P266" i="1" s="1"/>
  <c r="G3444" i="3"/>
  <c r="P265" i="1" s="1"/>
  <c r="G3443" i="3"/>
  <c r="G3442" i="3"/>
  <c r="G3441" i="3"/>
  <c r="P262" i="1" s="1"/>
  <c r="G3440" i="3"/>
  <c r="G3439" i="3"/>
  <c r="G3438" i="3"/>
  <c r="P259" i="1" s="1"/>
  <c r="G3437" i="3"/>
  <c r="G3436" i="3"/>
  <c r="G3435" i="3"/>
  <c r="G3434" i="3"/>
  <c r="G3433" i="3"/>
  <c r="P254" i="1" s="1"/>
  <c r="G3432" i="3"/>
  <c r="P253" i="1" s="1"/>
  <c r="G3431" i="3"/>
  <c r="G3430" i="3"/>
  <c r="G3429" i="3"/>
  <c r="G3428" i="3"/>
  <c r="P249" i="1" s="1"/>
  <c r="G3427" i="3"/>
  <c r="G3426" i="3"/>
  <c r="P247" i="1" s="1"/>
  <c r="G3425" i="3"/>
  <c r="G3424" i="3"/>
  <c r="G3423" i="3"/>
  <c r="G3422" i="3"/>
  <c r="G3421" i="3"/>
  <c r="P242" i="1" s="1"/>
  <c r="G3420" i="3"/>
  <c r="P241" i="1" s="1"/>
  <c r="G3419" i="3"/>
  <c r="G3418" i="3"/>
  <c r="G3417" i="3"/>
  <c r="G3416" i="3"/>
  <c r="G3415" i="3"/>
  <c r="G3414" i="3"/>
  <c r="P234" i="1" s="1"/>
  <c r="G3413" i="3"/>
  <c r="G3412" i="3"/>
  <c r="G3411" i="3"/>
  <c r="G3410" i="3"/>
  <c r="G3409" i="3"/>
  <c r="P229" i="1" s="1"/>
  <c r="G3408" i="3"/>
  <c r="P228" i="1" s="1"/>
  <c r="G3407" i="3"/>
  <c r="G3406" i="3"/>
  <c r="G3405" i="3"/>
  <c r="G3404" i="3"/>
  <c r="G3403" i="3"/>
  <c r="G3402" i="3"/>
  <c r="G3401" i="3"/>
  <c r="G3400" i="3"/>
  <c r="G3399" i="3"/>
  <c r="G3398" i="3"/>
  <c r="G3397" i="3"/>
  <c r="P217" i="1" s="1"/>
  <c r="G3396" i="3"/>
  <c r="P216" i="1" s="1"/>
  <c r="G3395" i="3"/>
  <c r="G3394" i="3"/>
  <c r="G3393" i="3"/>
  <c r="G3392" i="3"/>
  <c r="G3391" i="3"/>
  <c r="G3390" i="3"/>
  <c r="P210" i="1" s="1"/>
  <c r="G3389" i="3"/>
  <c r="G3388" i="3"/>
  <c r="G3387" i="3"/>
  <c r="G3386" i="3"/>
  <c r="G3385" i="3"/>
  <c r="P205" i="1" s="1"/>
  <c r="G3384" i="3"/>
  <c r="P204" i="1" s="1"/>
  <c r="G3383" i="3"/>
  <c r="G3382" i="3"/>
  <c r="G3381" i="3"/>
  <c r="G3380" i="3"/>
  <c r="G3379" i="3"/>
  <c r="G3378" i="3"/>
  <c r="G3377" i="3"/>
  <c r="G3376" i="3"/>
  <c r="G3375" i="3"/>
  <c r="G3374" i="3"/>
  <c r="G3373" i="3"/>
  <c r="P193" i="1" s="1"/>
  <c r="G3372" i="3"/>
  <c r="P192" i="1" s="1"/>
  <c r="G3371" i="3"/>
  <c r="G3370" i="3"/>
  <c r="G3369" i="3"/>
  <c r="G3368" i="3"/>
  <c r="G3367" i="3"/>
  <c r="G3366" i="3"/>
  <c r="G3365" i="3"/>
  <c r="G3364" i="3"/>
  <c r="G3363" i="3"/>
  <c r="G3362" i="3"/>
  <c r="G3361" i="3"/>
  <c r="P178" i="1" s="1"/>
  <c r="G3360" i="3"/>
  <c r="P177" i="1" s="1"/>
  <c r="G3359" i="3"/>
  <c r="G3358" i="3"/>
  <c r="G3357" i="3"/>
  <c r="G3356" i="3"/>
  <c r="P173" i="1" s="1"/>
  <c r="G3355" i="3"/>
  <c r="G3354" i="3"/>
  <c r="G3353" i="3"/>
  <c r="G3352" i="3"/>
  <c r="G3351" i="3"/>
  <c r="G3350" i="3"/>
  <c r="G3349" i="3"/>
  <c r="G3348" i="3"/>
  <c r="P164" i="1" s="1"/>
  <c r="G3347" i="3"/>
  <c r="G3346" i="3"/>
  <c r="G3345" i="3"/>
  <c r="G3344" i="3"/>
  <c r="G3343" i="3"/>
  <c r="G3342" i="3"/>
  <c r="P16" i="2" s="1"/>
  <c r="G3341" i="3"/>
  <c r="G3340" i="3"/>
  <c r="G3339" i="3"/>
  <c r="G3338" i="3"/>
  <c r="G3337" i="3"/>
  <c r="P153" i="1" s="1"/>
  <c r="G3336" i="3"/>
  <c r="P152" i="1" s="1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P140" i="1" s="1"/>
  <c r="G3323" i="3"/>
  <c r="G3322" i="3"/>
  <c r="G3321" i="3"/>
  <c r="G3320" i="3"/>
  <c r="G3319" i="3"/>
  <c r="G3318" i="3"/>
  <c r="P134" i="1" s="1"/>
  <c r="G3317" i="3"/>
  <c r="G3316" i="3"/>
  <c r="G3315" i="3"/>
  <c r="G3314" i="3"/>
  <c r="G3313" i="3"/>
  <c r="P129" i="1" s="1"/>
  <c r="G3312" i="3"/>
  <c r="P128" i="1" s="1"/>
  <c r="G3311" i="3"/>
  <c r="G3310" i="3"/>
  <c r="G3309" i="3"/>
  <c r="G3308" i="3"/>
  <c r="G3307" i="3"/>
  <c r="G3306" i="3"/>
  <c r="G3305" i="3"/>
  <c r="G3304" i="3"/>
  <c r="G3303" i="3"/>
  <c r="G3302" i="3"/>
  <c r="G3301" i="3"/>
  <c r="P115" i="1" s="1"/>
  <c r="G3300" i="3"/>
  <c r="P114" i="1" s="1"/>
  <c r="G3299" i="3"/>
  <c r="G3298" i="3"/>
  <c r="G3297" i="3"/>
  <c r="G3296" i="3"/>
  <c r="G3295" i="3"/>
  <c r="G3294" i="3"/>
  <c r="G3293" i="3"/>
  <c r="G3292" i="3"/>
  <c r="G3291" i="3"/>
  <c r="G3290" i="3"/>
  <c r="G3289" i="3"/>
  <c r="P100" i="1" s="1"/>
  <c r="G3288" i="3"/>
  <c r="P99" i="1" s="1"/>
  <c r="G3287" i="3"/>
  <c r="G3286" i="3"/>
  <c r="G3285" i="3"/>
  <c r="G3284" i="3"/>
  <c r="G3283" i="3"/>
  <c r="G3282" i="3"/>
  <c r="G3281" i="3"/>
  <c r="G3280" i="3"/>
  <c r="G3279" i="3"/>
  <c r="G3278" i="3"/>
  <c r="G3277" i="3"/>
  <c r="P87" i="1" s="1"/>
  <c r="G3276" i="3"/>
  <c r="P86" i="1" s="1"/>
  <c r="G3275" i="3"/>
  <c r="G3274" i="3"/>
  <c r="G3273" i="3"/>
  <c r="G3272" i="3"/>
  <c r="G3271" i="3"/>
  <c r="G3270" i="3"/>
  <c r="G3269" i="3"/>
  <c r="G3268" i="3"/>
  <c r="G3267" i="3"/>
  <c r="P11" i="2" s="1"/>
  <c r="G3266" i="3"/>
  <c r="G3265" i="3"/>
  <c r="P75" i="1" s="1"/>
  <c r="G3264" i="3"/>
  <c r="P74" i="1" s="1"/>
  <c r="G3263" i="3"/>
  <c r="G3262" i="3"/>
  <c r="G3261" i="3"/>
  <c r="G3260" i="3"/>
  <c r="G3259" i="3"/>
  <c r="G3258" i="3"/>
  <c r="G3257" i="3"/>
  <c r="G3256" i="3"/>
  <c r="G3255" i="3"/>
  <c r="G3254" i="3"/>
  <c r="G3253" i="3"/>
  <c r="P63" i="1" s="1"/>
  <c r="G3252" i="3"/>
  <c r="P61" i="1" s="1"/>
  <c r="G3251" i="3"/>
  <c r="G3250" i="3"/>
  <c r="G3249" i="3"/>
  <c r="G3248" i="3"/>
  <c r="G3247" i="3"/>
  <c r="G3246" i="3"/>
  <c r="G3245" i="3"/>
  <c r="G3244" i="3"/>
  <c r="G3243" i="3"/>
  <c r="G3242" i="3"/>
  <c r="G3241" i="3"/>
  <c r="P50" i="1" s="1"/>
  <c r="G3240" i="3"/>
  <c r="P8" i="2" s="1"/>
  <c r="G3239" i="3"/>
  <c r="G3238" i="3"/>
  <c r="G3237" i="3"/>
  <c r="G3236" i="3"/>
  <c r="G3235" i="3"/>
  <c r="G3234" i="3"/>
  <c r="G3233" i="3"/>
  <c r="G3232" i="3"/>
  <c r="G3231" i="3"/>
  <c r="G3230" i="3"/>
  <c r="G3229" i="3"/>
  <c r="P38" i="1" s="1"/>
  <c r="G3228" i="3"/>
  <c r="P37" i="1" s="1"/>
  <c r="G3227" i="3"/>
  <c r="G3226" i="3"/>
  <c r="G3225" i="3"/>
  <c r="G3224" i="3"/>
  <c r="G3223" i="3"/>
  <c r="G3222" i="3"/>
  <c r="G3221" i="3"/>
  <c r="G3220" i="3"/>
  <c r="G3219" i="3"/>
  <c r="G3218" i="3"/>
  <c r="G3217" i="3"/>
  <c r="P26" i="1" s="1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P14" i="1" s="1"/>
  <c r="G3204" i="3"/>
  <c r="P13" i="1" s="1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O279" i="1" s="1"/>
  <c r="G3191" i="3"/>
  <c r="G3190" i="3"/>
  <c r="G3189" i="3"/>
  <c r="G3188" i="3"/>
  <c r="G3187" i="3"/>
  <c r="G3186" i="3"/>
  <c r="O273" i="1" s="1"/>
  <c r="G3185" i="3"/>
  <c r="G3184" i="3"/>
  <c r="G3183" i="3"/>
  <c r="G3182" i="3"/>
  <c r="G3181" i="3"/>
  <c r="O268" i="1" s="1"/>
  <c r="G3180" i="3"/>
  <c r="O267" i="1" s="1"/>
  <c r="G3179" i="3"/>
  <c r="G3178" i="3"/>
  <c r="G3177" i="3"/>
  <c r="G3176" i="3"/>
  <c r="G3175" i="3"/>
  <c r="G3174" i="3"/>
  <c r="G3173" i="3"/>
  <c r="G3172" i="3"/>
  <c r="G3171" i="3"/>
  <c r="G3170" i="3"/>
  <c r="G3169" i="3"/>
  <c r="O256" i="1" s="1"/>
  <c r="G3168" i="3"/>
  <c r="O255" i="1" s="1"/>
  <c r="G3167" i="3"/>
  <c r="G3166" i="3"/>
  <c r="G3165" i="3"/>
  <c r="G3164" i="3"/>
  <c r="G3163" i="3"/>
  <c r="G3162" i="3"/>
  <c r="G3161" i="3"/>
  <c r="G3160" i="3"/>
  <c r="G3159" i="3"/>
  <c r="G3158" i="3"/>
  <c r="G3157" i="3"/>
  <c r="O244" i="1" s="1"/>
  <c r="G3156" i="3"/>
  <c r="O243" i="1" s="1"/>
  <c r="G3155" i="3"/>
  <c r="G3154" i="3"/>
  <c r="G3153" i="3"/>
  <c r="G3152" i="3"/>
  <c r="G3151" i="3"/>
  <c r="G3150" i="3"/>
  <c r="G3149" i="3"/>
  <c r="G3148" i="3"/>
  <c r="G3147" i="3"/>
  <c r="G3146" i="3"/>
  <c r="G3145" i="3"/>
  <c r="O232" i="1" s="1"/>
  <c r="G3144" i="3"/>
  <c r="O231" i="1" s="1"/>
  <c r="G3143" i="3"/>
  <c r="G3142" i="3"/>
  <c r="G3141" i="3"/>
  <c r="G3140" i="3"/>
  <c r="G3139" i="3"/>
  <c r="G3138" i="3"/>
  <c r="O225" i="1" s="1"/>
  <c r="G3137" i="3"/>
  <c r="G3136" i="3"/>
  <c r="G3135" i="3"/>
  <c r="G3134" i="3"/>
  <c r="G3133" i="3"/>
  <c r="O220" i="1" s="1"/>
  <c r="G3132" i="3"/>
  <c r="O219" i="1" s="1"/>
  <c r="G3131" i="3"/>
  <c r="G3130" i="3"/>
  <c r="G3129" i="3"/>
  <c r="G3128" i="3"/>
  <c r="G3127" i="3"/>
  <c r="G3126" i="3"/>
  <c r="G3125" i="3"/>
  <c r="G3124" i="3"/>
  <c r="G3123" i="3"/>
  <c r="G3122" i="3"/>
  <c r="G3121" i="3"/>
  <c r="O208" i="1" s="1"/>
  <c r="G3120" i="3"/>
  <c r="O207" i="1" s="1"/>
  <c r="G3119" i="3"/>
  <c r="G3118" i="3"/>
  <c r="G3117" i="3"/>
  <c r="G3116" i="3"/>
  <c r="G3115" i="3"/>
  <c r="G3114" i="3"/>
  <c r="O201" i="1" s="1"/>
  <c r="G3113" i="3"/>
  <c r="G3112" i="3"/>
  <c r="G3111" i="3"/>
  <c r="G3110" i="3"/>
  <c r="G3109" i="3"/>
  <c r="O196" i="1" s="1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O182" i="1" s="1"/>
  <c r="G3096" i="3"/>
  <c r="O181" i="1" s="1"/>
  <c r="G3095" i="3"/>
  <c r="G3094" i="3"/>
  <c r="G3093" i="3"/>
  <c r="G3092" i="3"/>
  <c r="O176" i="1" s="1"/>
  <c r="G3091" i="3"/>
  <c r="G3090" i="3"/>
  <c r="G3089" i="3"/>
  <c r="G3088" i="3"/>
  <c r="G3087" i="3"/>
  <c r="G3086" i="3"/>
  <c r="G3085" i="3"/>
  <c r="O169" i="1" s="1"/>
  <c r="G3084" i="3"/>
  <c r="O167" i="1" s="1"/>
  <c r="G3083" i="3"/>
  <c r="G3082" i="3"/>
  <c r="G3081" i="3"/>
  <c r="G3080" i="3"/>
  <c r="O163" i="1" s="1"/>
  <c r="G3079" i="3"/>
  <c r="G3078" i="3"/>
  <c r="O161" i="1" s="1"/>
  <c r="G3077" i="3"/>
  <c r="G3076" i="3"/>
  <c r="G3075" i="3"/>
  <c r="G3074" i="3"/>
  <c r="G3073" i="3"/>
  <c r="G3072" i="3"/>
  <c r="O155" i="1" s="1"/>
  <c r="G3071" i="3"/>
  <c r="G3070" i="3"/>
  <c r="G3069" i="3"/>
  <c r="G3068" i="3"/>
  <c r="G3067" i="3"/>
  <c r="G3066" i="3"/>
  <c r="G3065" i="3"/>
  <c r="G3064" i="3"/>
  <c r="G3063" i="3"/>
  <c r="G3062" i="3"/>
  <c r="G3061" i="3"/>
  <c r="O144" i="1" s="1"/>
  <c r="G3060" i="3"/>
  <c r="G3059" i="3"/>
  <c r="G3058" i="3"/>
  <c r="G3057" i="3"/>
  <c r="G3056" i="3"/>
  <c r="O15" i="2" s="1"/>
  <c r="G3055" i="3"/>
  <c r="G3054" i="3"/>
  <c r="G3053" i="3"/>
  <c r="G3052" i="3"/>
  <c r="G3051" i="3"/>
  <c r="G3050" i="3"/>
  <c r="G3049" i="3"/>
  <c r="O132" i="1" s="1"/>
  <c r="G3048" i="3"/>
  <c r="O131" i="1" s="1"/>
  <c r="G3047" i="3"/>
  <c r="G3046" i="3"/>
  <c r="G3045" i="3"/>
  <c r="G3044" i="3"/>
  <c r="G3043" i="3"/>
  <c r="G3042" i="3"/>
  <c r="G3041" i="3"/>
  <c r="G3040" i="3"/>
  <c r="G3039" i="3"/>
  <c r="G3038" i="3"/>
  <c r="G3037" i="3"/>
  <c r="O118" i="1" s="1"/>
  <c r="G3036" i="3"/>
  <c r="O117" i="1" s="1"/>
  <c r="G3035" i="3"/>
  <c r="G3034" i="3"/>
  <c r="G3033" i="3"/>
  <c r="G3032" i="3"/>
  <c r="G3031" i="3"/>
  <c r="G3030" i="3"/>
  <c r="G3029" i="3"/>
  <c r="G3028" i="3"/>
  <c r="G3027" i="3"/>
  <c r="G3026" i="3"/>
  <c r="G3025" i="3"/>
  <c r="O103" i="1" s="1"/>
  <c r="G3024" i="3"/>
  <c r="O102" i="1" s="1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O89" i="1" s="1"/>
  <c r="G3011" i="3"/>
  <c r="G3010" i="3"/>
  <c r="G3009" i="3"/>
  <c r="G3008" i="3"/>
  <c r="G3007" i="3"/>
  <c r="G3006" i="3"/>
  <c r="O12" i="2" s="1"/>
  <c r="G3005" i="3"/>
  <c r="G3004" i="3"/>
  <c r="G3003" i="3"/>
  <c r="G3002" i="3"/>
  <c r="G3001" i="3"/>
  <c r="O78" i="1" s="1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O66" i="1" s="1"/>
  <c r="G2988" i="3"/>
  <c r="O65" i="1" s="1"/>
  <c r="G2987" i="3"/>
  <c r="G2986" i="3"/>
  <c r="G2985" i="3"/>
  <c r="G2984" i="3"/>
  <c r="G2983" i="3"/>
  <c r="G2982" i="3"/>
  <c r="G2981" i="3"/>
  <c r="G2980" i="3"/>
  <c r="G2979" i="3"/>
  <c r="G2978" i="3"/>
  <c r="G2977" i="3"/>
  <c r="O53" i="1" s="1"/>
  <c r="G2976" i="3"/>
  <c r="O52" i="1" s="1"/>
  <c r="G2975" i="3"/>
  <c r="G2974" i="3"/>
  <c r="G2973" i="3"/>
  <c r="G2972" i="3"/>
  <c r="G2971" i="3"/>
  <c r="G2970" i="3"/>
  <c r="G2969" i="3"/>
  <c r="G2968" i="3"/>
  <c r="G2967" i="3"/>
  <c r="G2966" i="3"/>
  <c r="G2965" i="3"/>
  <c r="O40" i="1" s="1"/>
  <c r="G2964" i="3"/>
  <c r="O39" i="1" s="1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O27" i="1" s="1"/>
  <c r="G2951" i="3"/>
  <c r="G2950" i="3"/>
  <c r="G2949" i="3"/>
  <c r="G2948" i="3"/>
  <c r="G2947" i="3"/>
  <c r="G2946" i="3"/>
  <c r="G2945" i="3"/>
  <c r="G2944" i="3"/>
  <c r="G2943" i="3"/>
  <c r="G2942" i="3"/>
  <c r="G2941" i="3"/>
  <c r="O16" i="1" s="1"/>
  <c r="G2940" i="3"/>
  <c r="O15" i="1" s="1"/>
  <c r="G2939" i="3"/>
  <c r="G2938" i="3"/>
  <c r="G2937" i="3"/>
  <c r="G2936" i="3"/>
  <c r="G2935" i="3"/>
  <c r="G2934" i="3"/>
  <c r="G2933" i="3"/>
  <c r="G2932" i="3"/>
  <c r="G2931" i="3"/>
  <c r="G2930" i="3"/>
  <c r="G2929" i="3"/>
  <c r="N282" i="1" s="1"/>
  <c r="G2928" i="3"/>
  <c r="N281" i="1" s="1"/>
  <c r="G2927" i="3"/>
  <c r="G2926" i="3"/>
  <c r="G2925" i="3"/>
  <c r="G2924" i="3"/>
  <c r="N277" i="1" s="1"/>
  <c r="G2923" i="3"/>
  <c r="G2922" i="3"/>
  <c r="N275" i="1" s="1"/>
  <c r="G2921" i="3"/>
  <c r="G2920" i="3"/>
  <c r="G2919" i="3"/>
  <c r="G2918" i="3"/>
  <c r="G2917" i="3"/>
  <c r="N270" i="1" s="1"/>
  <c r="G2916" i="3"/>
  <c r="N269" i="1" s="1"/>
  <c r="G2915" i="3"/>
  <c r="G2914" i="3"/>
  <c r="G2913" i="3"/>
  <c r="G2912" i="3"/>
  <c r="G2911" i="3"/>
  <c r="G2910" i="3"/>
  <c r="N263" i="1" s="1"/>
  <c r="G2909" i="3"/>
  <c r="G2908" i="3"/>
  <c r="G2907" i="3"/>
  <c r="G2906" i="3"/>
  <c r="G2905" i="3"/>
  <c r="G2904" i="3"/>
  <c r="N257" i="1" s="1"/>
  <c r="G2903" i="3"/>
  <c r="G2902" i="3"/>
  <c r="G2901" i="3"/>
  <c r="G2900" i="3"/>
  <c r="G2899" i="3"/>
  <c r="G2898" i="3"/>
  <c r="G2897" i="3"/>
  <c r="G2896" i="3"/>
  <c r="G2895" i="3"/>
  <c r="G2894" i="3"/>
  <c r="G2893" i="3"/>
  <c r="N246" i="1" s="1"/>
  <c r="G2892" i="3"/>
  <c r="N245" i="1" s="1"/>
  <c r="G2891" i="3"/>
  <c r="G2890" i="3"/>
  <c r="G2889" i="3"/>
  <c r="G2888" i="3"/>
  <c r="G2887" i="3"/>
  <c r="G2886" i="3"/>
  <c r="G2885" i="3"/>
  <c r="G2884" i="3"/>
  <c r="G2883" i="3"/>
  <c r="G2882" i="3"/>
  <c r="G2881" i="3"/>
  <c r="N234" i="1" s="1"/>
  <c r="G2880" i="3"/>
  <c r="G2879" i="3"/>
  <c r="G2878" i="3"/>
  <c r="G2877" i="3"/>
  <c r="G2876" i="3"/>
  <c r="N229" i="1" s="1"/>
  <c r="G2875" i="3"/>
  <c r="G2874" i="3"/>
  <c r="G2873" i="3"/>
  <c r="G2872" i="3"/>
  <c r="G2871" i="3"/>
  <c r="G2870" i="3"/>
  <c r="G2869" i="3"/>
  <c r="N222" i="1" s="1"/>
  <c r="G2868" i="3"/>
  <c r="G2867" i="3"/>
  <c r="G2866" i="3"/>
  <c r="G2865" i="3"/>
  <c r="G2864" i="3"/>
  <c r="N217" i="1" s="1"/>
  <c r="G2863" i="3"/>
  <c r="G2862" i="3"/>
  <c r="N215" i="1" s="1"/>
  <c r="G2861" i="3"/>
  <c r="G2860" i="3"/>
  <c r="G2859" i="3"/>
  <c r="G2858" i="3"/>
  <c r="G2857" i="3"/>
  <c r="G2856" i="3"/>
  <c r="N209" i="1" s="1"/>
  <c r="G2855" i="3"/>
  <c r="G2854" i="3"/>
  <c r="G2853" i="3"/>
  <c r="G2852" i="3"/>
  <c r="N205" i="1" s="1"/>
  <c r="G2851" i="3"/>
  <c r="G2850" i="3"/>
  <c r="G2849" i="3"/>
  <c r="G2848" i="3"/>
  <c r="G2847" i="3"/>
  <c r="G2846" i="3"/>
  <c r="G2845" i="3"/>
  <c r="N198" i="1" s="1"/>
  <c r="G2844" i="3"/>
  <c r="N197" i="1" s="1"/>
  <c r="G2843" i="3"/>
  <c r="G2842" i="3"/>
  <c r="G2841" i="3"/>
  <c r="G2840" i="3"/>
  <c r="N193" i="1" s="1"/>
  <c r="G2839" i="3"/>
  <c r="G2838" i="3"/>
  <c r="N191" i="1" s="1"/>
  <c r="G2837" i="3"/>
  <c r="G2836" i="3"/>
  <c r="G2835" i="3"/>
  <c r="G2834" i="3"/>
  <c r="G2833" i="3"/>
  <c r="N184" i="1" s="1"/>
  <c r="G2832" i="3"/>
  <c r="N183" i="1" s="1"/>
  <c r="G2831" i="3"/>
  <c r="G2830" i="3"/>
  <c r="G2829" i="3"/>
  <c r="G2828" i="3"/>
  <c r="G2827" i="3"/>
  <c r="G2826" i="3"/>
  <c r="N176" i="1" s="1"/>
  <c r="G2825" i="3"/>
  <c r="G2824" i="3"/>
  <c r="G2823" i="3"/>
  <c r="G2822" i="3"/>
  <c r="G2821" i="3"/>
  <c r="N171" i="1" s="1"/>
  <c r="G2820" i="3"/>
  <c r="N170" i="1" s="1"/>
  <c r="G2819" i="3"/>
  <c r="G2818" i="3"/>
  <c r="G2817" i="3"/>
  <c r="G2816" i="3"/>
  <c r="N165" i="1" s="1"/>
  <c r="G2815" i="3"/>
  <c r="G2814" i="3"/>
  <c r="N163" i="1" s="1"/>
  <c r="G2813" i="3"/>
  <c r="G2812" i="3"/>
  <c r="G2811" i="3"/>
  <c r="N160" i="1" s="1"/>
  <c r="G2810" i="3"/>
  <c r="G2809" i="3"/>
  <c r="G2808" i="3"/>
  <c r="N157" i="1" s="1"/>
  <c r="G2807" i="3"/>
  <c r="G2806" i="3"/>
  <c r="G2805" i="3"/>
  <c r="G2804" i="3"/>
  <c r="N153" i="1" s="1"/>
  <c r="G2803" i="3"/>
  <c r="G2802" i="3"/>
  <c r="N151" i="1" s="1"/>
  <c r="G2801" i="3"/>
  <c r="G2800" i="3"/>
  <c r="G2799" i="3"/>
  <c r="N148" i="1" s="1"/>
  <c r="G2798" i="3"/>
  <c r="G2797" i="3"/>
  <c r="G2796" i="3"/>
  <c r="N145" i="1" s="1"/>
  <c r="G2795" i="3"/>
  <c r="G2794" i="3"/>
  <c r="G2793" i="3"/>
  <c r="G2792" i="3"/>
  <c r="N141" i="1" s="1"/>
  <c r="G2791" i="3"/>
  <c r="G2790" i="3"/>
  <c r="N139" i="1" s="1"/>
  <c r="G2789" i="3"/>
  <c r="G2788" i="3"/>
  <c r="G2787" i="3"/>
  <c r="N136" i="1" s="1"/>
  <c r="G2786" i="3"/>
  <c r="G2785" i="3"/>
  <c r="N134" i="1" s="1"/>
  <c r="G2784" i="3"/>
  <c r="N133" i="1" s="1"/>
  <c r="G2783" i="3"/>
  <c r="G2782" i="3"/>
  <c r="G2781" i="3"/>
  <c r="G2780" i="3"/>
  <c r="G2779" i="3"/>
  <c r="G2778" i="3"/>
  <c r="G2777" i="3"/>
  <c r="G2776" i="3"/>
  <c r="G2775" i="3"/>
  <c r="N122" i="1" s="1"/>
  <c r="G2774" i="3"/>
  <c r="G2773" i="3"/>
  <c r="N120" i="1" s="1"/>
  <c r="G2772" i="3"/>
  <c r="N119" i="1" s="1"/>
  <c r="G2771" i="3"/>
  <c r="G2770" i="3"/>
  <c r="G2769" i="3"/>
  <c r="G2768" i="3"/>
  <c r="N115" i="1" s="1"/>
  <c r="G2767" i="3"/>
  <c r="G2766" i="3"/>
  <c r="N113" i="1" s="1"/>
  <c r="G2765" i="3"/>
  <c r="G2764" i="3"/>
  <c r="G2763" i="3"/>
  <c r="N110" i="1" s="1"/>
  <c r="G2762" i="3"/>
  <c r="G2761" i="3"/>
  <c r="N108" i="1" s="1"/>
  <c r="G2760" i="3"/>
  <c r="N104" i="1" s="1"/>
  <c r="G2759" i="3"/>
  <c r="G2758" i="3"/>
  <c r="G2757" i="3"/>
  <c r="G2756" i="3"/>
  <c r="G2755" i="3"/>
  <c r="G2754" i="3"/>
  <c r="N98" i="1" s="1"/>
  <c r="G2753" i="3"/>
  <c r="G2752" i="3"/>
  <c r="G2751" i="3"/>
  <c r="G2750" i="3"/>
  <c r="G2749" i="3"/>
  <c r="N92" i="1" s="1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N80" i="1" s="1"/>
  <c r="G2736" i="3"/>
  <c r="N79" i="1" s="1"/>
  <c r="G2735" i="3"/>
  <c r="G2734" i="3"/>
  <c r="G2733" i="3"/>
  <c r="G2732" i="3"/>
  <c r="G2731" i="3"/>
  <c r="G2730" i="3"/>
  <c r="G2729" i="3"/>
  <c r="G2728" i="3"/>
  <c r="G2727" i="3"/>
  <c r="G2726" i="3"/>
  <c r="G2725" i="3"/>
  <c r="N68" i="1" s="1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N55" i="1" s="1"/>
  <c r="G2712" i="3"/>
  <c r="N54" i="1" s="1"/>
  <c r="G2711" i="3"/>
  <c r="G2710" i="3"/>
  <c r="G2709" i="3"/>
  <c r="G2708" i="3"/>
  <c r="N8" i="2" s="1"/>
  <c r="G2707" i="3"/>
  <c r="G2706" i="3"/>
  <c r="G2705" i="3"/>
  <c r="G2704" i="3"/>
  <c r="G2703" i="3"/>
  <c r="G2702" i="3"/>
  <c r="G2701" i="3"/>
  <c r="N42" i="1" s="1"/>
  <c r="G2700" i="3"/>
  <c r="N41" i="1" s="1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N29" i="1" s="1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N17" i="1" s="1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M279" i="1" s="1"/>
  <c r="G2659" i="3"/>
  <c r="G2658" i="3"/>
  <c r="M277" i="1" s="1"/>
  <c r="G2657" i="3"/>
  <c r="G2656" i="3"/>
  <c r="G2655" i="3"/>
  <c r="G2654" i="3"/>
  <c r="G2653" i="3"/>
  <c r="M272" i="1" s="1"/>
  <c r="G2652" i="3"/>
  <c r="M271" i="1" s="1"/>
  <c r="G2651" i="3"/>
  <c r="G2650" i="3"/>
  <c r="G2649" i="3"/>
  <c r="G2648" i="3"/>
  <c r="G2647" i="3"/>
  <c r="G2646" i="3"/>
  <c r="M265" i="1" s="1"/>
  <c r="G2645" i="3"/>
  <c r="G2644" i="3"/>
  <c r="G2643" i="3"/>
  <c r="G2642" i="3"/>
  <c r="G2641" i="3"/>
  <c r="M260" i="1" s="1"/>
  <c r="G2640" i="3"/>
  <c r="M259" i="1" s="1"/>
  <c r="G2639" i="3"/>
  <c r="M21" i="2" s="1"/>
  <c r="G2638" i="3"/>
  <c r="G2637" i="3"/>
  <c r="G2636" i="3"/>
  <c r="G2635" i="3"/>
  <c r="G2634" i="3"/>
  <c r="G2633" i="3"/>
  <c r="G2632" i="3"/>
  <c r="G2631" i="3"/>
  <c r="G2630" i="3"/>
  <c r="G2629" i="3"/>
  <c r="M248" i="1" s="1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M236" i="1" s="1"/>
  <c r="G2616" i="3"/>
  <c r="M235" i="1" s="1"/>
  <c r="G2615" i="3"/>
  <c r="G2614" i="3"/>
  <c r="G2613" i="3"/>
  <c r="G2612" i="3"/>
  <c r="G2611" i="3"/>
  <c r="G2610" i="3"/>
  <c r="G2609" i="3"/>
  <c r="G2608" i="3"/>
  <c r="G2607" i="3"/>
  <c r="G2606" i="3"/>
  <c r="G2605" i="3"/>
  <c r="M224" i="1" s="1"/>
  <c r="G2604" i="3"/>
  <c r="M223" i="1" s="1"/>
  <c r="G2603" i="3"/>
  <c r="G2602" i="3"/>
  <c r="G2601" i="3"/>
  <c r="G2600" i="3"/>
  <c r="M219" i="1" s="1"/>
  <c r="G2599" i="3"/>
  <c r="G2598" i="3"/>
  <c r="G2597" i="3"/>
  <c r="G2596" i="3"/>
  <c r="G2595" i="3"/>
  <c r="G2594" i="3"/>
  <c r="G2593" i="3"/>
  <c r="M212" i="1" s="1"/>
  <c r="G2592" i="3"/>
  <c r="M211" i="1" s="1"/>
  <c r="G2591" i="3"/>
  <c r="G2590" i="3"/>
  <c r="G2589" i="3"/>
  <c r="G2588" i="3"/>
  <c r="G2587" i="3"/>
  <c r="G2586" i="3"/>
  <c r="G2585" i="3"/>
  <c r="G2584" i="3"/>
  <c r="G2583" i="3"/>
  <c r="G2582" i="3"/>
  <c r="G2581" i="3"/>
  <c r="M200" i="1" s="1"/>
  <c r="G2580" i="3"/>
  <c r="G2579" i="3"/>
  <c r="G2578" i="3"/>
  <c r="G2577" i="3"/>
  <c r="G2576" i="3"/>
  <c r="M195" i="1" s="1"/>
  <c r="G2575" i="3"/>
  <c r="G2574" i="3"/>
  <c r="G2573" i="3"/>
  <c r="G2572" i="3"/>
  <c r="G2571" i="3"/>
  <c r="G2570" i="3"/>
  <c r="G2569" i="3"/>
  <c r="G2568" i="3"/>
  <c r="M185" i="1" s="1"/>
  <c r="G2567" i="3"/>
  <c r="G2566" i="3"/>
  <c r="G2565" i="3"/>
  <c r="G2564" i="3"/>
  <c r="G2563" i="3"/>
  <c r="G2562" i="3"/>
  <c r="M178" i="1" s="1"/>
  <c r="G2561" i="3"/>
  <c r="G2560" i="3"/>
  <c r="G2559" i="3"/>
  <c r="G2558" i="3"/>
  <c r="M17" i="2" s="1"/>
  <c r="G2557" i="3"/>
  <c r="M173" i="1" s="1"/>
  <c r="G2556" i="3"/>
  <c r="M172" i="1" s="1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M159" i="1" s="1"/>
  <c r="G2543" i="3"/>
  <c r="G2542" i="3"/>
  <c r="G2541" i="3"/>
  <c r="G2540" i="3"/>
  <c r="M155" i="1" s="1"/>
  <c r="G2539" i="3"/>
  <c r="G2538" i="3"/>
  <c r="G2537" i="3"/>
  <c r="G2536" i="3"/>
  <c r="G2535" i="3"/>
  <c r="G2534" i="3"/>
  <c r="G2533" i="3"/>
  <c r="M148" i="1" s="1"/>
  <c r="G2532" i="3"/>
  <c r="M147" i="1" s="1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M135" i="1" s="1"/>
  <c r="G2519" i="3"/>
  <c r="G2518" i="3"/>
  <c r="G2517" i="3"/>
  <c r="G2516" i="3"/>
  <c r="G2515" i="3"/>
  <c r="G2514" i="3"/>
  <c r="G2513" i="3"/>
  <c r="G2512" i="3"/>
  <c r="G2511" i="3"/>
  <c r="G2510" i="3"/>
  <c r="G2509" i="3"/>
  <c r="M122" i="1" s="1"/>
  <c r="G2508" i="3"/>
  <c r="M121" i="1" s="1"/>
  <c r="G2507" i="3"/>
  <c r="G2506" i="3"/>
  <c r="G2505" i="3"/>
  <c r="G2504" i="3"/>
  <c r="G2503" i="3"/>
  <c r="G2502" i="3"/>
  <c r="G2501" i="3"/>
  <c r="G2500" i="3"/>
  <c r="G2499" i="3"/>
  <c r="G2498" i="3"/>
  <c r="G2497" i="3"/>
  <c r="M110" i="1" s="1"/>
  <c r="G2496" i="3"/>
  <c r="M109" i="1" s="1"/>
  <c r="G2495" i="3"/>
  <c r="G2494" i="3"/>
  <c r="G2493" i="3"/>
  <c r="G2492" i="3"/>
  <c r="G2491" i="3"/>
  <c r="G2490" i="3"/>
  <c r="G2489" i="3"/>
  <c r="G2488" i="3"/>
  <c r="G2487" i="3"/>
  <c r="G2486" i="3"/>
  <c r="G2485" i="3"/>
  <c r="M95" i="1" s="1"/>
  <c r="G2484" i="3"/>
  <c r="M94" i="1" s="1"/>
  <c r="G2483" i="3"/>
  <c r="G2482" i="3"/>
  <c r="G2481" i="3"/>
  <c r="G2480" i="3"/>
  <c r="M13" i="2" s="1"/>
  <c r="G2479" i="3"/>
  <c r="G2478" i="3"/>
  <c r="M87" i="1" s="1"/>
  <c r="G2477" i="3"/>
  <c r="G2476" i="3"/>
  <c r="G2475" i="3"/>
  <c r="G2474" i="3"/>
  <c r="G2473" i="3"/>
  <c r="M82" i="1" s="1"/>
  <c r="G2472" i="3"/>
  <c r="M81" i="1" s="1"/>
  <c r="G2471" i="3"/>
  <c r="G2470" i="3"/>
  <c r="G2469" i="3"/>
  <c r="G2468" i="3"/>
  <c r="M11" i="2" s="1"/>
  <c r="G2467" i="3"/>
  <c r="G2466" i="3"/>
  <c r="M75" i="1" s="1"/>
  <c r="G2465" i="3"/>
  <c r="G2464" i="3"/>
  <c r="G2463" i="3"/>
  <c r="G2462" i="3"/>
  <c r="G2461" i="3"/>
  <c r="M70" i="1" s="1"/>
  <c r="G2460" i="3"/>
  <c r="M69" i="1" s="1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M56" i="1" s="1"/>
  <c r="G2447" i="3"/>
  <c r="G2446" i="3"/>
  <c r="G2445" i="3"/>
  <c r="G2444" i="3"/>
  <c r="G2443" i="3"/>
  <c r="G2442" i="3"/>
  <c r="M8" i="2" s="1"/>
  <c r="G2441" i="3"/>
  <c r="G2440" i="3"/>
  <c r="G2439" i="3"/>
  <c r="G2438" i="3"/>
  <c r="G2437" i="3"/>
  <c r="M44" i="1" s="1"/>
  <c r="G2436" i="3"/>
  <c r="M43" i="1" s="1"/>
  <c r="R43" i="1" s="1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M31" i="1" s="1"/>
  <c r="G2423" i="3"/>
  <c r="G2422" i="3"/>
  <c r="G2421" i="3"/>
  <c r="G2420" i="3"/>
  <c r="G2419" i="3"/>
  <c r="G2418" i="3"/>
  <c r="G2417" i="3"/>
  <c r="G2416" i="3"/>
  <c r="G2415" i="3"/>
  <c r="G2414" i="3"/>
  <c r="G2413" i="3"/>
  <c r="M20" i="1" s="1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M8" i="1" s="1"/>
  <c r="G2400" i="3"/>
  <c r="G2399" i="3"/>
  <c r="G2398" i="3"/>
  <c r="G2397" i="3"/>
  <c r="G2396" i="3"/>
  <c r="G2395" i="3"/>
  <c r="G2394" i="3"/>
  <c r="L279" i="1" s="1"/>
  <c r="G2393" i="3"/>
  <c r="L278" i="1" s="1"/>
  <c r="G2392" i="3"/>
  <c r="G2391" i="3"/>
  <c r="L276" i="1" s="1"/>
  <c r="G2390" i="3"/>
  <c r="L275" i="1" s="1"/>
  <c r="G2389" i="3"/>
  <c r="L274" i="1" s="1"/>
  <c r="G2388" i="3"/>
  <c r="L273" i="1" s="1"/>
  <c r="G2387" i="3"/>
  <c r="L272" i="1" s="1"/>
  <c r="G2386" i="3"/>
  <c r="G2385" i="3"/>
  <c r="G2384" i="3"/>
  <c r="L269" i="1" s="1"/>
  <c r="G2383" i="3"/>
  <c r="G2382" i="3"/>
  <c r="L267" i="1" s="1"/>
  <c r="G2381" i="3"/>
  <c r="L266" i="1" s="1"/>
  <c r="G2380" i="3"/>
  <c r="G2379" i="3"/>
  <c r="G2378" i="3"/>
  <c r="L263" i="1" s="1"/>
  <c r="G2377" i="3"/>
  <c r="L262" i="1" s="1"/>
  <c r="G2376" i="3"/>
  <c r="L261" i="1" s="1"/>
  <c r="G2375" i="3"/>
  <c r="L260" i="1" s="1"/>
  <c r="G2374" i="3"/>
  <c r="G2373" i="3"/>
  <c r="G2372" i="3"/>
  <c r="L257" i="1" s="1"/>
  <c r="G2371" i="3"/>
  <c r="G2370" i="3"/>
  <c r="L255" i="1" s="1"/>
  <c r="G2369" i="3"/>
  <c r="G2368" i="3"/>
  <c r="G2367" i="3"/>
  <c r="G2366" i="3"/>
  <c r="G2365" i="3"/>
  <c r="L250" i="1" s="1"/>
  <c r="G2364" i="3"/>
  <c r="L249" i="1" s="1"/>
  <c r="G2363" i="3"/>
  <c r="L248" i="1" s="1"/>
  <c r="G2362" i="3"/>
  <c r="G2361" i="3"/>
  <c r="G2360" i="3"/>
  <c r="L245" i="1" s="1"/>
  <c r="G2359" i="3"/>
  <c r="G2358" i="3"/>
  <c r="L243" i="1" s="1"/>
  <c r="G2357" i="3"/>
  <c r="G2356" i="3"/>
  <c r="G2355" i="3"/>
  <c r="G2354" i="3"/>
  <c r="G2353" i="3"/>
  <c r="G2352" i="3"/>
  <c r="L237" i="1" s="1"/>
  <c r="G2351" i="3"/>
  <c r="L236" i="1" s="1"/>
  <c r="G2350" i="3"/>
  <c r="G2349" i="3"/>
  <c r="G2348" i="3"/>
  <c r="L20" i="2" s="1"/>
  <c r="G2347" i="3"/>
  <c r="G2346" i="3"/>
  <c r="G2345" i="3"/>
  <c r="G2344" i="3"/>
  <c r="G2343" i="3"/>
  <c r="G2342" i="3"/>
  <c r="G2341" i="3"/>
  <c r="L226" i="1" s="1"/>
  <c r="G2340" i="3"/>
  <c r="L225" i="1" s="1"/>
  <c r="G2339" i="3"/>
  <c r="L224" i="1" s="1"/>
  <c r="G2338" i="3"/>
  <c r="G2337" i="3"/>
  <c r="G2336" i="3"/>
  <c r="L221" i="1" s="1"/>
  <c r="G2335" i="3"/>
  <c r="G2334" i="3"/>
  <c r="G2333" i="3"/>
  <c r="G2332" i="3"/>
  <c r="G2331" i="3"/>
  <c r="G2330" i="3"/>
  <c r="G2329" i="3"/>
  <c r="L214" i="1" s="1"/>
  <c r="G2328" i="3"/>
  <c r="L213" i="1" s="1"/>
  <c r="G2327" i="3"/>
  <c r="L212" i="1" s="1"/>
  <c r="G2326" i="3"/>
  <c r="G2325" i="3"/>
  <c r="G2324" i="3"/>
  <c r="G2323" i="3"/>
  <c r="G2322" i="3"/>
  <c r="G2321" i="3"/>
  <c r="G2320" i="3"/>
  <c r="G2319" i="3"/>
  <c r="G2318" i="3"/>
  <c r="G2317" i="3"/>
  <c r="L202" i="1" s="1"/>
  <c r="G2316" i="3"/>
  <c r="L201" i="1" s="1"/>
  <c r="G2315" i="3"/>
  <c r="L200" i="1" s="1"/>
  <c r="G2314" i="3"/>
  <c r="G2313" i="3"/>
  <c r="G2312" i="3"/>
  <c r="L197" i="1" s="1"/>
  <c r="G2311" i="3"/>
  <c r="G2310" i="3"/>
  <c r="G2309" i="3"/>
  <c r="G2308" i="3"/>
  <c r="G2307" i="3"/>
  <c r="G2306" i="3"/>
  <c r="G2305" i="3"/>
  <c r="L190" i="1" s="1"/>
  <c r="G2304" i="3"/>
  <c r="L189" i="1" s="1"/>
  <c r="G2303" i="3"/>
  <c r="L187" i="1" s="1"/>
  <c r="G2302" i="3"/>
  <c r="G2301" i="3"/>
  <c r="G2300" i="3"/>
  <c r="G2299" i="3"/>
  <c r="G2298" i="3"/>
  <c r="G2297" i="3"/>
  <c r="G2296" i="3"/>
  <c r="G2295" i="3"/>
  <c r="L177" i="1" s="1"/>
  <c r="G2294" i="3"/>
  <c r="G2293" i="3"/>
  <c r="L175" i="1" s="1"/>
  <c r="G2292" i="3"/>
  <c r="L174" i="1" s="1"/>
  <c r="G2291" i="3"/>
  <c r="L173" i="1" s="1"/>
  <c r="G2290" i="3"/>
  <c r="G2289" i="3"/>
  <c r="G2288" i="3"/>
  <c r="L170" i="1" s="1"/>
  <c r="G2287" i="3"/>
  <c r="G2286" i="3"/>
  <c r="G2285" i="3"/>
  <c r="G2284" i="3"/>
  <c r="G2283" i="3"/>
  <c r="G2282" i="3"/>
  <c r="G2281" i="3"/>
  <c r="L162" i="1" s="1"/>
  <c r="G2280" i="3"/>
  <c r="L161" i="1" s="1"/>
  <c r="G2279" i="3"/>
  <c r="L160" i="1" s="1"/>
  <c r="G2278" i="3"/>
  <c r="G2277" i="3"/>
  <c r="G2276" i="3"/>
  <c r="L157" i="1" s="1"/>
  <c r="G2275" i="3"/>
  <c r="G2274" i="3"/>
  <c r="G2273" i="3"/>
  <c r="G2272" i="3"/>
  <c r="G2271" i="3"/>
  <c r="G2270" i="3"/>
  <c r="G2269" i="3"/>
  <c r="L150" i="1" s="1"/>
  <c r="G2268" i="3"/>
  <c r="L149" i="1" s="1"/>
  <c r="G2267" i="3"/>
  <c r="L148" i="1" s="1"/>
  <c r="G2266" i="3"/>
  <c r="G2265" i="3"/>
  <c r="G2264" i="3"/>
  <c r="L145" i="1" s="1"/>
  <c r="G2263" i="3"/>
  <c r="G2262" i="3"/>
  <c r="G2261" i="3"/>
  <c r="G2260" i="3"/>
  <c r="G2259" i="3"/>
  <c r="G2258" i="3"/>
  <c r="G2257" i="3"/>
  <c r="L138" i="1" s="1"/>
  <c r="G2256" i="3"/>
  <c r="L137" i="1" s="1"/>
  <c r="G2255" i="3"/>
  <c r="L136" i="1" s="1"/>
  <c r="G2254" i="3"/>
  <c r="G2253" i="3"/>
  <c r="G2252" i="3"/>
  <c r="G2251" i="3"/>
  <c r="G2250" i="3"/>
  <c r="L131" i="1" s="1"/>
  <c r="G2249" i="3"/>
  <c r="G2248" i="3"/>
  <c r="G2247" i="3"/>
  <c r="G2246" i="3"/>
  <c r="G2245" i="3"/>
  <c r="L125" i="1" s="1"/>
  <c r="G2244" i="3"/>
  <c r="L124" i="1" s="1"/>
  <c r="G2243" i="3"/>
  <c r="L122" i="1" s="1"/>
  <c r="G2242" i="3"/>
  <c r="G2241" i="3"/>
  <c r="G2240" i="3"/>
  <c r="G2239" i="3"/>
  <c r="G2238" i="3"/>
  <c r="L117" i="1" s="1"/>
  <c r="G2237" i="3"/>
  <c r="G2236" i="3"/>
  <c r="G2235" i="3"/>
  <c r="G2234" i="3"/>
  <c r="G2233" i="3"/>
  <c r="L112" i="1" s="1"/>
  <c r="G2232" i="3"/>
  <c r="L111" i="1" s="1"/>
  <c r="G2231" i="3"/>
  <c r="L110" i="1" s="1"/>
  <c r="G2230" i="3"/>
  <c r="G2229" i="3"/>
  <c r="G2228" i="3"/>
  <c r="G2227" i="3"/>
  <c r="G2226" i="3"/>
  <c r="L102" i="1" s="1"/>
  <c r="G2225" i="3"/>
  <c r="G2224" i="3"/>
  <c r="G2223" i="3"/>
  <c r="L99" i="1" s="1"/>
  <c r="G2222" i="3"/>
  <c r="G2221" i="3"/>
  <c r="L97" i="1" s="1"/>
  <c r="G2220" i="3"/>
  <c r="L96" i="1" s="1"/>
  <c r="G2219" i="3"/>
  <c r="L95" i="1" s="1"/>
  <c r="G2218" i="3"/>
  <c r="G2217" i="3"/>
  <c r="G2216" i="3"/>
  <c r="G2215" i="3"/>
  <c r="G2214" i="3"/>
  <c r="L13" i="2" s="1"/>
  <c r="G2213" i="3"/>
  <c r="G2212" i="3"/>
  <c r="G2211" i="3"/>
  <c r="G2210" i="3"/>
  <c r="G2209" i="3"/>
  <c r="L84" i="1" s="1"/>
  <c r="G2208" i="3"/>
  <c r="G2207" i="3"/>
  <c r="L82" i="1" s="1"/>
  <c r="G2206" i="3"/>
  <c r="G2205" i="3"/>
  <c r="G2204" i="3"/>
  <c r="G2203" i="3"/>
  <c r="G2202" i="3"/>
  <c r="G2201" i="3"/>
  <c r="G2200" i="3"/>
  <c r="G2199" i="3"/>
  <c r="G2198" i="3"/>
  <c r="G2197" i="3"/>
  <c r="L72" i="1" s="1"/>
  <c r="G2196" i="3"/>
  <c r="G2195" i="3"/>
  <c r="L70" i="1" s="1"/>
  <c r="R70" i="1" s="1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L57" i="1" s="1"/>
  <c r="G2182" i="3"/>
  <c r="G2181" i="3"/>
  <c r="G2180" i="3"/>
  <c r="G2179" i="3"/>
  <c r="G2178" i="3"/>
  <c r="G2177" i="3"/>
  <c r="G2176" i="3"/>
  <c r="G2175" i="3"/>
  <c r="G2174" i="3"/>
  <c r="G2173" i="3"/>
  <c r="L46" i="1" s="1"/>
  <c r="G2172" i="3"/>
  <c r="L45" i="1" s="1"/>
  <c r="G2171" i="3"/>
  <c r="L44" i="1" s="1"/>
  <c r="G2170" i="3"/>
  <c r="G2169" i="3"/>
  <c r="G2168" i="3"/>
  <c r="G2167" i="3"/>
  <c r="G2166" i="3"/>
  <c r="L39" i="1" s="1"/>
  <c r="G2165" i="3"/>
  <c r="G2164" i="3"/>
  <c r="G2163" i="3"/>
  <c r="G2162" i="3"/>
  <c r="G2161" i="3"/>
  <c r="L34" i="1" s="1"/>
  <c r="G2160" i="3"/>
  <c r="L33" i="1" s="1"/>
  <c r="G2159" i="3"/>
  <c r="L7" i="2" s="1"/>
  <c r="G2158" i="3"/>
  <c r="G2157" i="3"/>
  <c r="G2156" i="3"/>
  <c r="G2155" i="3"/>
  <c r="G2154" i="3"/>
  <c r="L27" i="1" s="1"/>
  <c r="G2153" i="3"/>
  <c r="G2152" i="3"/>
  <c r="G2151" i="3"/>
  <c r="G2150" i="3"/>
  <c r="G2149" i="3"/>
  <c r="L22" i="1" s="1"/>
  <c r="G2148" i="3"/>
  <c r="L21" i="1" s="1"/>
  <c r="G2147" i="3"/>
  <c r="G2146" i="3"/>
  <c r="G2145" i="3"/>
  <c r="G2144" i="3"/>
  <c r="G2143" i="3"/>
  <c r="G2142" i="3"/>
  <c r="L15" i="1" s="1"/>
  <c r="G2141" i="3"/>
  <c r="G2140" i="3"/>
  <c r="G2139" i="3"/>
  <c r="G2138" i="3"/>
  <c r="G2137" i="3"/>
  <c r="G2136" i="3"/>
  <c r="L9" i="1" s="1"/>
  <c r="G2135" i="3"/>
  <c r="L8" i="1" s="1"/>
  <c r="G2134" i="3"/>
  <c r="G2133" i="3"/>
  <c r="L6" i="2" s="1"/>
  <c r="G2132" i="3"/>
  <c r="K283" i="1" s="1"/>
  <c r="G2131" i="3"/>
  <c r="G2130" i="3"/>
  <c r="K22" i="2" s="1"/>
  <c r="G2129" i="3"/>
  <c r="G2128" i="3"/>
  <c r="G2127" i="3"/>
  <c r="K278" i="1" s="1"/>
  <c r="G2126" i="3"/>
  <c r="G2125" i="3"/>
  <c r="K276" i="1" s="1"/>
  <c r="G2124" i="3"/>
  <c r="K275" i="1" s="1"/>
  <c r="S275" i="1" s="1"/>
  <c r="G2123" i="3"/>
  <c r="K274" i="1" s="1"/>
  <c r="G2122" i="3"/>
  <c r="G2121" i="3"/>
  <c r="G2120" i="3"/>
  <c r="K271" i="1" s="1"/>
  <c r="G2119" i="3"/>
  <c r="G2118" i="3"/>
  <c r="G2117" i="3"/>
  <c r="G2116" i="3"/>
  <c r="G2115" i="3"/>
  <c r="G2114" i="3"/>
  <c r="K265" i="1" s="1"/>
  <c r="G2113" i="3"/>
  <c r="G2112" i="3"/>
  <c r="K263" i="1" s="1"/>
  <c r="G2111" i="3"/>
  <c r="K262" i="1" s="1"/>
  <c r="G2110" i="3"/>
  <c r="G2109" i="3"/>
  <c r="G2108" i="3"/>
  <c r="K259" i="1" s="1"/>
  <c r="G2107" i="3"/>
  <c r="G2106" i="3"/>
  <c r="G2105" i="3"/>
  <c r="G2104" i="3"/>
  <c r="G2103" i="3"/>
  <c r="G2102" i="3"/>
  <c r="G2101" i="3"/>
  <c r="K252" i="1" s="1"/>
  <c r="G2100" i="3"/>
  <c r="K251" i="1" s="1"/>
  <c r="G2099" i="3"/>
  <c r="K250" i="1" s="1"/>
  <c r="G2098" i="3"/>
  <c r="G2097" i="3"/>
  <c r="G2096" i="3"/>
  <c r="K247" i="1" s="1"/>
  <c r="G2095" i="3"/>
  <c r="G2094" i="3"/>
  <c r="G2093" i="3"/>
  <c r="G2092" i="3"/>
  <c r="G2091" i="3"/>
  <c r="G2090" i="3"/>
  <c r="G2089" i="3"/>
  <c r="K240" i="1" s="1"/>
  <c r="G2088" i="3"/>
  <c r="G2087" i="3"/>
  <c r="K238" i="1" s="1"/>
  <c r="G2086" i="3"/>
  <c r="G2085" i="3"/>
  <c r="G2084" i="3"/>
  <c r="G2083" i="3"/>
  <c r="G2082" i="3"/>
  <c r="K233" i="1" s="1"/>
  <c r="G2081" i="3"/>
  <c r="G2080" i="3"/>
  <c r="G2079" i="3"/>
  <c r="K230" i="1" s="1"/>
  <c r="G2078" i="3"/>
  <c r="G2077" i="3"/>
  <c r="K228" i="1" s="1"/>
  <c r="G2076" i="3"/>
  <c r="K227" i="1" s="1"/>
  <c r="G2075" i="3"/>
  <c r="K226" i="1" s="1"/>
  <c r="G2074" i="3"/>
  <c r="G2073" i="3"/>
  <c r="G2072" i="3"/>
  <c r="G2071" i="3"/>
  <c r="G2070" i="3"/>
  <c r="K221" i="1" s="1"/>
  <c r="G2069" i="3"/>
  <c r="G2068" i="3"/>
  <c r="G2067" i="3"/>
  <c r="K218" i="1" s="1"/>
  <c r="G2066" i="3"/>
  <c r="G2065" i="3"/>
  <c r="K216" i="1" s="1"/>
  <c r="G2064" i="3"/>
  <c r="K215" i="1" s="1"/>
  <c r="G2063" i="3"/>
  <c r="K214" i="1" s="1"/>
  <c r="G2062" i="3"/>
  <c r="G2061" i="3"/>
  <c r="G2060" i="3"/>
  <c r="G2059" i="3"/>
  <c r="G2058" i="3"/>
  <c r="K209" i="1" s="1"/>
  <c r="G2057" i="3"/>
  <c r="G2056" i="3"/>
  <c r="G2055" i="3"/>
  <c r="K206" i="1" s="1"/>
  <c r="G2054" i="3"/>
  <c r="G2053" i="3"/>
  <c r="K204" i="1" s="1"/>
  <c r="G2052" i="3"/>
  <c r="K203" i="1" s="1"/>
  <c r="G2051" i="3"/>
  <c r="K202" i="1" s="1"/>
  <c r="G2050" i="3"/>
  <c r="G2049" i="3"/>
  <c r="G2048" i="3"/>
  <c r="G2047" i="3"/>
  <c r="G2046" i="3"/>
  <c r="K197" i="1" s="1"/>
  <c r="G2045" i="3"/>
  <c r="G2044" i="3"/>
  <c r="G2043" i="3"/>
  <c r="G2042" i="3"/>
  <c r="G2041" i="3"/>
  <c r="G2040" i="3"/>
  <c r="K191" i="1" s="1"/>
  <c r="G2039" i="3"/>
  <c r="K190" i="1" s="1"/>
  <c r="G2038" i="3"/>
  <c r="G2037" i="3"/>
  <c r="G2036" i="3"/>
  <c r="G2035" i="3"/>
  <c r="G2034" i="3"/>
  <c r="G2033" i="3"/>
  <c r="G2032" i="3"/>
  <c r="G2031" i="3"/>
  <c r="G2030" i="3"/>
  <c r="G2029" i="3"/>
  <c r="K177" i="1" s="1"/>
  <c r="G2028" i="3"/>
  <c r="K176" i="1" s="1"/>
  <c r="G2027" i="3"/>
  <c r="K175" i="1" s="1"/>
  <c r="G2026" i="3"/>
  <c r="G2025" i="3"/>
  <c r="G2024" i="3"/>
  <c r="K172" i="1" s="1"/>
  <c r="G2023" i="3"/>
  <c r="G2022" i="3"/>
  <c r="G2021" i="3"/>
  <c r="G2020" i="3"/>
  <c r="G2019" i="3"/>
  <c r="G2018" i="3"/>
  <c r="G2017" i="3"/>
  <c r="K164" i="1" s="1"/>
  <c r="G2016" i="3"/>
  <c r="K163" i="1" s="1"/>
  <c r="G2015" i="3"/>
  <c r="K162" i="1" s="1"/>
  <c r="G2014" i="3"/>
  <c r="G2013" i="3"/>
  <c r="G2012" i="3"/>
  <c r="G2011" i="3"/>
  <c r="G2010" i="3"/>
  <c r="K157" i="1" s="1"/>
  <c r="G2009" i="3"/>
  <c r="G2008" i="3"/>
  <c r="G2007" i="3"/>
  <c r="G2006" i="3"/>
  <c r="G2005" i="3"/>
  <c r="K152" i="1" s="1"/>
  <c r="G2004" i="3"/>
  <c r="K151" i="1" s="1"/>
  <c r="G2003" i="3"/>
  <c r="K150" i="1" s="1"/>
  <c r="G2002" i="3"/>
  <c r="G2001" i="3"/>
  <c r="G2000" i="3"/>
  <c r="G1999" i="3"/>
  <c r="G1998" i="3"/>
  <c r="G1997" i="3"/>
  <c r="G1996" i="3"/>
  <c r="G1995" i="3"/>
  <c r="G1994" i="3"/>
  <c r="G1993" i="3"/>
  <c r="K140" i="1" s="1"/>
  <c r="G1992" i="3"/>
  <c r="G1991" i="3"/>
  <c r="K138" i="1" s="1"/>
  <c r="G1990" i="3"/>
  <c r="G1989" i="3"/>
  <c r="G1988" i="3"/>
  <c r="K135" i="1" s="1"/>
  <c r="G1987" i="3"/>
  <c r="G1986" i="3"/>
  <c r="G1985" i="3"/>
  <c r="G1984" i="3"/>
  <c r="G1983" i="3"/>
  <c r="G1982" i="3"/>
  <c r="G1981" i="3"/>
  <c r="K128" i="1" s="1"/>
  <c r="G1980" i="3"/>
  <c r="K126" i="1" s="1"/>
  <c r="G1979" i="3"/>
  <c r="K125" i="1" s="1"/>
  <c r="G1978" i="3"/>
  <c r="G1977" i="3"/>
  <c r="G1976" i="3"/>
  <c r="G1975" i="3"/>
  <c r="G1974" i="3"/>
  <c r="G1973" i="3"/>
  <c r="G1972" i="3"/>
  <c r="G1971" i="3"/>
  <c r="G1970" i="3"/>
  <c r="G1969" i="3"/>
  <c r="K114" i="1" s="1"/>
  <c r="G1968" i="3"/>
  <c r="K113" i="1" s="1"/>
  <c r="G1967" i="3"/>
  <c r="K112" i="1" s="1"/>
  <c r="S112" i="1" s="1"/>
  <c r="G1966" i="3"/>
  <c r="G1965" i="3"/>
  <c r="G1964" i="3"/>
  <c r="K109" i="1" s="1"/>
  <c r="G1963" i="3"/>
  <c r="G1962" i="3"/>
  <c r="K104" i="1" s="1"/>
  <c r="G1961" i="3"/>
  <c r="G1960" i="3"/>
  <c r="G1959" i="3"/>
  <c r="G1958" i="3"/>
  <c r="G1957" i="3"/>
  <c r="K99" i="1" s="1"/>
  <c r="G1956" i="3"/>
  <c r="K98" i="1" s="1"/>
  <c r="G1955" i="3"/>
  <c r="K97" i="1" s="1"/>
  <c r="G1954" i="3"/>
  <c r="G1953" i="3"/>
  <c r="G1952" i="3"/>
  <c r="G1951" i="3"/>
  <c r="G1950" i="3"/>
  <c r="K91" i="1" s="1"/>
  <c r="G1949" i="3"/>
  <c r="G1948" i="3"/>
  <c r="G1947" i="3"/>
  <c r="G1946" i="3"/>
  <c r="G1945" i="3"/>
  <c r="K86" i="1" s="1"/>
  <c r="G1944" i="3"/>
  <c r="G1943" i="3"/>
  <c r="K84" i="1" s="1"/>
  <c r="G1942" i="3"/>
  <c r="G1941" i="3"/>
  <c r="G1940" i="3"/>
  <c r="G1939" i="3"/>
  <c r="G1938" i="3"/>
  <c r="G1937" i="3"/>
  <c r="G1936" i="3"/>
  <c r="G1935" i="3"/>
  <c r="G1934" i="3"/>
  <c r="G1933" i="3"/>
  <c r="K74" i="1" s="1"/>
  <c r="G1932" i="3"/>
  <c r="K73" i="1" s="1"/>
  <c r="G1931" i="3"/>
  <c r="K72" i="1" s="1"/>
  <c r="G1930" i="3"/>
  <c r="G1929" i="3"/>
  <c r="G1928" i="3"/>
  <c r="G1927" i="3"/>
  <c r="G1926" i="3"/>
  <c r="G1925" i="3"/>
  <c r="G1924" i="3"/>
  <c r="G1923" i="3"/>
  <c r="G1922" i="3"/>
  <c r="G1921" i="3"/>
  <c r="K61" i="1" s="1"/>
  <c r="G1920" i="3"/>
  <c r="K60" i="1" s="1"/>
  <c r="G1919" i="3"/>
  <c r="G1918" i="3"/>
  <c r="G1917" i="3"/>
  <c r="G1916" i="3"/>
  <c r="G1915" i="3"/>
  <c r="G1914" i="3"/>
  <c r="K54" i="1" s="1"/>
  <c r="G1913" i="3"/>
  <c r="G1912" i="3"/>
  <c r="G1911" i="3"/>
  <c r="G1910" i="3"/>
  <c r="G1909" i="3"/>
  <c r="K48" i="1" s="1"/>
  <c r="G1908" i="3"/>
  <c r="K47" i="1" s="1"/>
  <c r="R47" i="1" s="1"/>
  <c r="G1907" i="3"/>
  <c r="K46" i="1" s="1"/>
  <c r="G1906" i="3"/>
  <c r="G1905" i="3"/>
  <c r="G1904" i="3"/>
  <c r="G1903" i="3"/>
  <c r="G1902" i="3"/>
  <c r="G1901" i="3"/>
  <c r="G1900" i="3"/>
  <c r="G1899" i="3"/>
  <c r="G1898" i="3"/>
  <c r="G1897" i="3"/>
  <c r="K36" i="1" s="1"/>
  <c r="G1896" i="3"/>
  <c r="K35" i="1" s="1"/>
  <c r="G1895" i="3"/>
  <c r="K34" i="1" s="1"/>
  <c r="R34" i="1" s="1"/>
  <c r="G1894" i="3"/>
  <c r="G1893" i="3"/>
  <c r="G1892" i="3"/>
  <c r="G1891" i="3"/>
  <c r="G1890" i="3"/>
  <c r="G1889" i="3"/>
  <c r="G1888" i="3"/>
  <c r="G1887" i="3"/>
  <c r="G1886" i="3"/>
  <c r="G1885" i="3"/>
  <c r="K24" i="1" s="1"/>
  <c r="G1884" i="3"/>
  <c r="K23" i="1" s="1"/>
  <c r="G1883" i="3"/>
  <c r="K22" i="1" s="1"/>
  <c r="G1882" i="3"/>
  <c r="G1881" i="3"/>
  <c r="G1880" i="3"/>
  <c r="G1879" i="3"/>
  <c r="G1878" i="3"/>
  <c r="G1877" i="3"/>
  <c r="G1876" i="3"/>
  <c r="G1875" i="3"/>
  <c r="G1874" i="3"/>
  <c r="G1873" i="3"/>
  <c r="K12" i="1" s="1"/>
  <c r="G1872" i="3"/>
  <c r="K11" i="1" s="1"/>
  <c r="G1871" i="3"/>
  <c r="K10" i="1" s="1"/>
  <c r="R10" i="1" s="1"/>
  <c r="G1870" i="3"/>
  <c r="G1869" i="3"/>
  <c r="G1868" i="3"/>
  <c r="G1867" i="3"/>
  <c r="G1866" i="3"/>
  <c r="J283" i="1" s="1"/>
  <c r="G1865" i="3"/>
  <c r="G1864" i="3"/>
  <c r="G1863" i="3"/>
  <c r="J280" i="1" s="1"/>
  <c r="G1862" i="3"/>
  <c r="G1861" i="3"/>
  <c r="J278" i="1" s="1"/>
  <c r="G1860" i="3"/>
  <c r="J277" i="1" s="1"/>
  <c r="G1859" i="3"/>
  <c r="J276" i="1" s="1"/>
  <c r="G1858" i="3"/>
  <c r="G1857" i="3"/>
  <c r="G1856" i="3"/>
  <c r="J273" i="1" s="1"/>
  <c r="G1855" i="3"/>
  <c r="G1854" i="3"/>
  <c r="G1853" i="3"/>
  <c r="G1852" i="3"/>
  <c r="G1851" i="3"/>
  <c r="G1850" i="3"/>
  <c r="G1849" i="3"/>
  <c r="J266" i="1" s="1"/>
  <c r="G1848" i="3"/>
  <c r="G1847" i="3"/>
  <c r="J264" i="1" s="1"/>
  <c r="G1846" i="3"/>
  <c r="G1845" i="3"/>
  <c r="G1844" i="3"/>
  <c r="J261" i="1" s="1"/>
  <c r="G1843" i="3"/>
  <c r="G1842" i="3"/>
  <c r="G1841" i="3"/>
  <c r="G1840" i="3"/>
  <c r="G1839" i="3"/>
  <c r="G1838" i="3"/>
  <c r="G1837" i="3"/>
  <c r="J254" i="1" s="1"/>
  <c r="G1836" i="3"/>
  <c r="J253" i="1" s="1"/>
  <c r="G1835" i="3"/>
  <c r="J252" i="1" s="1"/>
  <c r="G1834" i="3"/>
  <c r="G1833" i="3"/>
  <c r="G1832" i="3"/>
  <c r="J249" i="1" s="1"/>
  <c r="G1831" i="3"/>
  <c r="G1830" i="3"/>
  <c r="J247" i="1" s="1"/>
  <c r="G1829" i="3"/>
  <c r="G1828" i="3"/>
  <c r="G1827" i="3"/>
  <c r="G1826" i="3"/>
  <c r="G1825" i="3"/>
  <c r="J242" i="1" s="1"/>
  <c r="G1824" i="3"/>
  <c r="J241" i="1" s="1"/>
  <c r="G1823" i="3"/>
  <c r="G1822" i="3"/>
  <c r="G1821" i="3"/>
  <c r="G1820" i="3"/>
  <c r="J237" i="1" s="1"/>
  <c r="G1819" i="3"/>
  <c r="G1818" i="3"/>
  <c r="J235" i="1" s="1"/>
  <c r="G1817" i="3"/>
  <c r="G1816" i="3"/>
  <c r="G1815" i="3"/>
  <c r="J232" i="1" s="1"/>
  <c r="G1814" i="3"/>
  <c r="G1813" i="3"/>
  <c r="J230" i="1" s="1"/>
  <c r="G1812" i="3"/>
  <c r="J229" i="1" s="1"/>
  <c r="G1811" i="3"/>
  <c r="J228" i="1" s="1"/>
  <c r="G1810" i="3"/>
  <c r="G1809" i="3"/>
  <c r="G1808" i="3"/>
  <c r="J225" i="1" s="1"/>
  <c r="G1807" i="3"/>
  <c r="G1806" i="3"/>
  <c r="J223" i="1" s="1"/>
  <c r="G1805" i="3"/>
  <c r="G1804" i="3"/>
  <c r="G1803" i="3"/>
  <c r="J220" i="1" s="1"/>
  <c r="G1802" i="3"/>
  <c r="G1801" i="3"/>
  <c r="J218" i="1" s="1"/>
  <c r="G1800" i="3"/>
  <c r="J217" i="1" s="1"/>
  <c r="G1799" i="3"/>
  <c r="J216" i="1" s="1"/>
  <c r="G1798" i="3"/>
  <c r="G1797" i="3"/>
  <c r="G1796" i="3"/>
  <c r="J213" i="1" s="1"/>
  <c r="G1795" i="3"/>
  <c r="G1794" i="3"/>
  <c r="J211" i="1" s="1"/>
  <c r="G1793" i="3"/>
  <c r="G1792" i="3"/>
  <c r="G1791" i="3"/>
  <c r="J208" i="1" s="1"/>
  <c r="G1790" i="3"/>
  <c r="G1789" i="3"/>
  <c r="J206" i="1" s="1"/>
  <c r="G1788" i="3"/>
  <c r="J205" i="1" s="1"/>
  <c r="G1787" i="3"/>
  <c r="J204" i="1" s="1"/>
  <c r="G1786" i="3"/>
  <c r="G1785" i="3"/>
  <c r="G1784" i="3"/>
  <c r="J201" i="1" s="1"/>
  <c r="G1783" i="3"/>
  <c r="G1782" i="3"/>
  <c r="J199" i="1" s="1"/>
  <c r="G1781" i="3"/>
  <c r="G1780" i="3"/>
  <c r="G1779" i="3"/>
  <c r="J196" i="1" s="1"/>
  <c r="G1778" i="3"/>
  <c r="G1777" i="3"/>
  <c r="G1776" i="3"/>
  <c r="J193" i="1" s="1"/>
  <c r="G1775" i="3"/>
  <c r="J192" i="1" s="1"/>
  <c r="G1774" i="3"/>
  <c r="G1773" i="3"/>
  <c r="G1772" i="3"/>
  <c r="G1771" i="3"/>
  <c r="G1770" i="3"/>
  <c r="J185" i="1" s="1"/>
  <c r="G1769" i="3"/>
  <c r="G1768" i="3"/>
  <c r="G1767" i="3"/>
  <c r="G1766" i="3"/>
  <c r="G1765" i="3"/>
  <c r="J180" i="1" s="1"/>
  <c r="G1764" i="3"/>
  <c r="J178" i="1" s="1"/>
  <c r="G1763" i="3"/>
  <c r="J177" i="1" s="1"/>
  <c r="G1762" i="3"/>
  <c r="G1761" i="3"/>
  <c r="G1760" i="3"/>
  <c r="G1759" i="3"/>
  <c r="G1758" i="3"/>
  <c r="G1757" i="3"/>
  <c r="G1756" i="3"/>
  <c r="G1755" i="3"/>
  <c r="G1754" i="3"/>
  <c r="G1753" i="3"/>
  <c r="J166" i="1" s="1"/>
  <c r="G1752" i="3"/>
  <c r="J165" i="1" s="1"/>
  <c r="G1751" i="3"/>
  <c r="J164" i="1" s="1"/>
  <c r="G1750" i="3"/>
  <c r="G1749" i="3"/>
  <c r="G1748" i="3"/>
  <c r="J161" i="1" s="1"/>
  <c r="G1747" i="3"/>
  <c r="G1746" i="3"/>
  <c r="G1745" i="3"/>
  <c r="G1744" i="3"/>
  <c r="G1743" i="3"/>
  <c r="G1742" i="3"/>
  <c r="G1741" i="3"/>
  <c r="J154" i="1" s="1"/>
  <c r="G1740" i="3"/>
  <c r="J153" i="1" s="1"/>
  <c r="G1739" i="3"/>
  <c r="J152" i="1" s="1"/>
  <c r="G1738" i="3"/>
  <c r="G1737" i="3"/>
  <c r="G1736" i="3"/>
  <c r="J149" i="1" s="1"/>
  <c r="G1735" i="3"/>
  <c r="G1734" i="3"/>
  <c r="J147" i="1" s="1"/>
  <c r="G1733" i="3"/>
  <c r="G1732" i="3"/>
  <c r="G1731" i="3"/>
  <c r="G1730" i="3"/>
  <c r="G1729" i="3"/>
  <c r="J142" i="1" s="1"/>
  <c r="G1728" i="3"/>
  <c r="J141" i="1" s="1"/>
  <c r="G1727" i="3"/>
  <c r="J140" i="1" s="1"/>
  <c r="G1726" i="3"/>
  <c r="G1725" i="3"/>
  <c r="G1724" i="3"/>
  <c r="J137" i="1" s="1"/>
  <c r="G1723" i="3"/>
  <c r="G1722" i="3"/>
  <c r="G1721" i="3"/>
  <c r="G1720" i="3"/>
  <c r="G1719" i="3"/>
  <c r="G1718" i="3"/>
  <c r="G1717" i="3"/>
  <c r="J130" i="1" s="1"/>
  <c r="G1716" i="3"/>
  <c r="J129" i="1" s="1"/>
  <c r="G1715" i="3"/>
  <c r="J128" i="1" s="1"/>
  <c r="G1714" i="3"/>
  <c r="G1713" i="3"/>
  <c r="G1712" i="3"/>
  <c r="G1711" i="3"/>
  <c r="G1710" i="3"/>
  <c r="G1709" i="3"/>
  <c r="G1708" i="3"/>
  <c r="G1707" i="3"/>
  <c r="G1706" i="3"/>
  <c r="G1705" i="3"/>
  <c r="J116" i="1" s="1"/>
  <c r="G1704" i="3"/>
  <c r="J115" i="1" s="1"/>
  <c r="G1703" i="3"/>
  <c r="J114" i="1" s="1"/>
  <c r="G1702" i="3"/>
  <c r="G1701" i="3"/>
  <c r="G1700" i="3"/>
  <c r="J111" i="1" s="1"/>
  <c r="G1699" i="3"/>
  <c r="G1698" i="3"/>
  <c r="G1697" i="3"/>
  <c r="G1696" i="3"/>
  <c r="G1695" i="3"/>
  <c r="G1694" i="3"/>
  <c r="G1693" i="3"/>
  <c r="J101" i="1" s="1"/>
  <c r="G1692" i="3"/>
  <c r="J100" i="1" s="1"/>
  <c r="G1691" i="3"/>
  <c r="J99" i="1" s="1"/>
  <c r="G1690" i="3"/>
  <c r="G1689" i="3"/>
  <c r="G1688" i="3"/>
  <c r="G1687" i="3"/>
  <c r="G1686" i="3"/>
  <c r="J94" i="1" s="1"/>
  <c r="G1685" i="3"/>
  <c r="G1684" i="3"/>
  <c r="G1683" i="3"/>
  <c r="J14" i="2" s="1"/>
  <c r="G1682" i="3"/>
  <c r="G1681" i="3"/>
  <c r="J88" i="1" s="1"/>
  <c r="G1680" i="3"/>
  <c r="J87" i="1" s="1"/>
  <c r="G1679" i="3"/>
  <c r="J86" i="1" s="1"/>
  <c r="G1678" i="3"/>
  <c r="G1677" i="3"/>
  <c r="G1676" i="3"/>
  <c r="J12" i="2" s="1"/>
  <c r="G1675" i="3"/>
  <c r="G1674" i="3"/>
  <c r="G1673" i="3"/>
  <c r="G1672" i="3"/>
  <c r="G1671" i="3"/>
  <c r="G1670" i="3"/>
  <c r="G1669" i="3"/>
  <c r="J76" i="1" s="1"/>
  <c r="G1668" i="3"/>
  <c r="G1667" i="3"/>
  <c r="J74" i="1" s="1"/>
  <c r="G1666" i="3"/>
  <c r="G1665" i="3"/>
  <c r="G1664" i="3"/>
  <c r="G1663" i="3"/>
  <c r="G1662" i="3"/>
  <c r="G1661" i="3"/>
  <c r="G1660" i="3"/>
  <c r="G1659" i="3"/>
  <c r="G1658" i="3"/>
  <c r="G1657" i="3"/>
  <c r="G1656" i="3"/>
  <c r="J62" i="1" s="1"/>
  <c r="G1655" i="3"/>
  <c r="J61" i="1" s="1"/>
  <c r="G1654" i="3"/>
  <c r="G1653" i="3"/>
  <c r="G1652" i="3"/>
  <c r="G1651" i="3"/>
  <c r="G1650" i="3"/>
  <c r="J56" i="1" s="1"/>
  <c r="G1649" i="3"/>
  <c r="G1648" i="3"/>
  <c r="G1647" i="3"/>
  <c r="G1646" i="3"/>
  <c r="G1645" i="3"/>
  <c r="J51" i="1" s="1"/>
  <c r="G1644" i="3"/>
  <c r="J49" i="1" s="1"/>
  <c r="G1643" i="3"/>
  <c r="J48" i="1" s="1"/>
  <c r="G1642" i="3"/>
  <c r="G1641" i="3"/>
  <c r="G1640" i="3"/>
  <c r="G1639" i="3"/>
  <c r="G1638" i="3"/>
  <c r="G1637" i="3"/>
  <c r="G1636" i="3"/>
  <c r="G1635" i="3"/>
  <c r="G1634" i="3"/>
  <c r="G1633" i="3"/>
  <c r="J38" i="1" s="1"/>
  <c r="G1632" i="3"/>
  <c r="J37" i="1" s="1"/>
  <c r="G1631" i="3"/>
  <c r="J36" i="1" s="1"/>
  <c r="G1630" i="3"/>
  <c r="G1629" i="3"/>
  <c r="G1628" i="3"/>
  <c r="G1627" i="3"/>
  <c r="G1626" i="3"/>
  <c r="G1625" i="3"/>
  <c r="G1624" i="3"/>
  <c r="G1623" i="3"/>
  <c r="G1622" i="3"/>
  <c r="G1621" i="3"/>
  <c r="J26" i="1" s="1"/>
  <c r="G1620" i="3"/>
  <c r="J25" i="1" s="1"/>
  <c r="G1619" i="3"/>
  <c r="J24" i="1" s="1"/>
  <c r="G1618" i="3"/>
  <c r="G1617" i="3"/>
  <c r="G1616" i="3"/>
  <c r="G1615" i="3"/>
  <c r="G1614" i="3"/>
  <c r="G1613" i="3"/>
  <c r="G1612" i="3"/>
  <c r="G1611" i="3"/>
  <c r="G1610" i="3"/>
  <c r="G1609" i="3"/>
  <c r="J14" i="1" s="1"/>
  <c r="G1608" i="3"/>
  <c r="J13" i="1" s="1"/>
  <c r="G1607" i="3"/>
  <c r="J12" i="1" s="1"/>
  <c r="G1606" i="3"/>
  <c r="G1605" i="3"/>
  <c r="G1604" i="3"/>
  <c r="G1603" i="3"/>
  <c r="G1602" i="3"/>
  <c r="G1601" i="3"/>
  <c r="G1600" i="3"/>
  <c r="G1599" i="3"/>
  <c r="G1598" i="3"/>
  <c r="I22" i="2" s="1"/>
  <c r="G1597" i="3"/>
  <c r="G1596" i="3"/>
  <c r="I279" i="1" s="1"/>
  <c r="G1595" i="3"/>
  <c r="I278" i="1" s="1"/>
  <c r="G1594" i="3"/>
  <c r="G1593" i="3"/>
  <c r="G1592" i="3"/>
  <c r="G1591" i="3"/>
  <c r="G1590" i="3"/>
  <c r="I273" i="1" s="1"/>
  <c r="G1589" i="3"/>
  <c r="G1588" i="3"/>
  <c r="G1587" i="3"/>
  <c r="G1586" i="3"/>
  <c r="G1585" i="3"/>
  <c r="I268" i="1" s="1"/>
  <c r="G1584" i="3"/>
  <c r="G1583" i="3"/>
  <c r="I266" i="1" s="1"/>
  <c r="G1582" i="3"/>
  <c r="G1581" i="3"/>
  <c r="G1580" i="3"/>
  <c r="G1579" i="3"/>
  <c r="G1578" i="3"/>
  <c r="G1577" i="3"/>
  <c r="G1576" i="3"/>
  <c r="G1575" i="3"/>
  <c r="G1574" i="3"/>
  <c r="G1573" i="3"/>
  <c r="I256" i="1" s="1"/>
  <c r="G1572" i="3"/>
  <c r="I255" i="1" s="1"/>
  <c r="G1571" i="3"/>
  <c r="I254" i="1" s="1"/>
  <c r="G1570" i="3"/>
  <c r="G1569" i="3"/>
  <c r="G1568" i="3"/>
  <c r="G1567" i="3"/>
  <c r="G1566" i="3"/>
  <c r="I249" i="1" s="1"/>
  <c r="G1565" i="3"/>
  <c r="G1564" i="3"/>
  <c r="G1563" i="3"/>
  <c r="I246" i="1" s="1"/>
  <c r="G1562" i="3"/>
  <c r="G1561" i="3"/>
  <c r="I244" i="1" s="1"/>
  <c r="G1560" i="3"/>
  <c r="I243" i="1" s="1"/>
  <c r="G1559" i="3"/>
  <c r="I242" i="1" s="1"/>
  <c r="G1558" i="3"/>
  <c r="G1557" i="3"/>
  <c r="G1556" i="3"/>
  <c r="G1555" i="3"/>
  <c r="G1554" i="3"/>
  <c r="I237" i="1" s="1"/>
  <c r="G1553" i="3"/>
  <c r="G1552" i="3"/>
  <c r="G1551" i="3"/>
  <c r="G1550" i="3"/>
  <c r="G1549" i="3"/>
  <c r="I232" i="1" s="1"/>
  <c r="G1548" i="3"/>
  <c r="I231" i="1" s="1"/>
  <c r="G1547" i="3"/>
  <c r="I230" i="1" s="1"/>
  <c r="G1546" i="3"/>
  <c r="G1545" i="3"/>
  <c r="G1544" i="3"/>
  <c r="I227" i="1" s="1"/>
  <c r="G1543" i="3"/>
  <c r="G1542" i="3"/>
  <c r="G1541" i="3"/>
  <c r="G1540" i="3"/>
  <c r="G1539" i="3"/>
  <c r="I222" i="1" s="1"/>
  <c r="G1538" i="3"/>
  <c r="G1537" i="3"/>
  <c r="I220" i="1" s="1"/>
  <c r="G1536" i="3"/>
  <c r="I219" i="1" s="1"/>
  <c r="G1535" i="3"/>
  <c r="I218" i="1" s="1"/>
  <c r="G1534" i="3"/>
  <c r="G1533" i="3"/>
  <c r="G1532" i="3"/>
  <c r="G1531" i="3"/>
  <c r="G1530" i="3"/>
  <c r="I213" i="1" s="1"/>
  <c r="G1529" i="3"/>
  <c r="G1528" i="3"/>
  <c r="G1527" i="3"/>
  <c r="I19" i="2" s="1"/>
  <c r="G1526" i="3"/>
  <c r="G1525" i="3"/>
  <c r="I208" i="1" s="1"/>
  <c r="G1524" i="3"/>
  <c r="I207" i="1" s="1"/>
  <c r="G1523" i="3"/>
  <c r="I206" i="1" s="1"/>
  <c r="G1522" i="3"/>
  <c r="G1521" i="3"/>
  <c r="G1520" i="3"/>
  <c r="I203" i="1" s="1"/>
  <c r="G1519" i="3"/>
  <c r="G1518" i="3"/>
  <c r="G1517" i="3"/>
  <c r="G1516" i="3"/>
  <c r="G1515" i="3"/>
  <c r="I198" i="1" s="1"/>
  <c r="G1514" i="3"/>
  <c r="G1513" i="3"/>
  <c r="I196" i="1" s="1"/>
  <c r="G1512" i="3"/>
  <c r="I195" i="1" s="1"/>
  <c r="G1511" i="3"/>
  <c r="G1510" i="3"/>
  <c r="G1509" i="3"/>
  <c r="G1508" i="3"/>
  <c r="G1507" i="3"/>
  <c r="G1506" i="3"/>
  <c r="G1505" i="3"/>
  <c r="G1504" i="3"/>
  <c r="G1503" i="3"/>
  <c r="I184" i="1" s="1"/>
  <c r="G1502" i="3"/>
  <c r="G1501" i="3"/>
  <c r="I182" i="1" s="1"/>
  <c r="G1500" i="3"/>
  <c r="I181" i="1" s="1"/>
  <c r="G1499" i="3"/>
  <c r="I180" i="1" s="1"/>
  <c r="G1498" i="3"/>
  <c r="G1497" i="3"/>
  <c r="G1496" i="3"/>
  <c r="G1495" i="3"/>
  <c r="G1494" i="3"/>
  <c r="I17" i="2" s="1"/>
  <c r="G1493" i="3"/>
  <c r="G1492" i="3"/>
  <c r="G1491" i="3"/>
  <c r="G1490" i="3"/>
  <c r="G1489" i="3"/>
  <c r="I169" i="1" s="1"/>
  <c r="G1488" i="3"/>
  <c r="I167" i="1" s="1"/>
  <c r="G1487" i="3"/>
  <c r="I166" i="1" s="1"/>
  <c r="G1486" i="3"/>
  <c r="G1485" i="3"/>
  <c r="G1484" i="3"/>
  <c r="G1483" i="3"/>
  <c r="G1482" i="3"/>
  <c r="G1481" i="3"/>
  <c r="G1480" i="3"/>
  <c r="G1479" i="3"/>
  <c r="I16" i="2" s="1"/>
  <c r="G1478" i="3"/>
  <c r="G1477" i="3"/>
  <c r="I156" i="1" s="1"/>
  <c r="G1476" i="3"/>
  <c r="I155" i="1" s="1"/>
  <c r="G1475" i="3"/>
  <c r="I154" i="1" s="1"/>
  <c r="G1474" i="3"/>
  <c r="G1473" i="3"/>
  <c r="G1472" i="3"/>
  <c r="G1471" i="3"/>
  <c r="G1470" i="3"/>
  <c r="G1469" i="3"/>
  <c r="G1468" i="3"/>
  <c r="G1467" i="3"/>
  <c r="G1466" i="3"/>
  <c r="G1465" i="3"/>
  <c r="I144" i="1" s="1"/>
  <c r="G1464" i="3"/>
  <c r="I143" i="1" s="1"/>
  <c r="G1463" i="3"/>
  <c r="I142" i="1" s="1"/>
  <c r="G1462" i="3"/>
  <c r="G1461" i="3"/>
  <c r="G1460" i="3"/>
  <c r="I139" i="1" s="1"/>
  <c r="G1459" i="3"/>
  <c r="G1458" i="3"/>
  <c r="G1457" i="3"/>
  <c r="G1456" i="3"/>
  <c r="G1455" i="3"/>
  <c r="G1454" i="3"/>
  <c r="G1453" i="3"/>
  <c r="I132" i="1" s="1"/>
  <c r="G1452" i="3"/>
  <c r="I131" i="1" s="1"/>
  <c r="G1451" i="3"/>
  <c r="I130" i="1" s="1"/>
  <c r="G1450" i="3"/>
  <c r="G1449" i="3"/>
  <c r="G1448" i="3"/>
  <c r="G1447" i="3"/>
  <c r="G1446" i="3"/>
  <c r="G1445" i="3"/>
  <c r="G1444" i="3"/>
  <c r="G1443" i="3"/>
  <c r="G1442" i="3"/>
  <c r="G1441" i="3"/>
  <c r="I118" i="1" s="1"/>
  <c r="G1440" i="3"/>
  <c r="I117" i="1" s="1"/>
  <c r="G1439" i="3"/>
  <c r="I116" i="1" s="1"/>
  <c r="S116" i="1" s="1"/>
  <c r="G1438" i="3"/>
  <c r="G1437" i="3"/>
  <c r="G1436" i="3"/>
  <c r="G1435" i="3"/>
  <c r="G1434" i="3"/>
  <c r="G1433" i="3"/>
  <c r="G1432" i="3"/>
  <c r="G1431" i="3"/>
  <c r="G1430" i="3"/>
  <c r="G1429" i="3"/>
  <c r="G1428" i="3"/>
  <c r="I102" i="1" s="1"/>
  <c r="G1427" i="3"/>
  <c r="I101" i="1" s="1"/>
  <c r="G1426" i="3"/>
  <c r="G1425" i="3"/>
  <c r="G1424" i="3"/>
  <c r="I98" i="1" s="1"/>
  <c r="G1423" i="3"/>
  <c r="G1422" i="3"/>
  <c r="G1421" i="3"/>
  <c r="G1420" i="3"/>
  <c r="G1419" i="3"/>
  <c r="G1418" i="3"/>
  <c r="G1417" i="3"/>
  <c r="G1416" i="3"/>
  <c r="G1415" i="3"/>
  <c r="I88" i="1" s="1"/>
  <c r="R88" i="1" s="1"/>
  <c r="G1414" i="3"/>
  <c r="G1413" i="3"/>
  <c r="G1412" i="3"/>
  <c r="I85" i="1" s="1"/>
  <c r="G1411" i="3"/>
  <c r="G1410" i="3"/>
  <c r="I12" i="2" s="1"/>
  <c r="G1409" i="3"/>
  <c r="G1408" i="3"/>
  <c r="G1407" i="3"/>
  <c r="G1406" i="3"/>
  <c r="G1405" i="3"/>
  <c r="I78" i="1" s="1"/>
  <c r="R78" i="1" s="1"/>
  <c r="G1404" i="3"/>
  <c r="G1403" i="3"/>
  <c r="I76" i="1" s="1"/>
  <c r="G1402" i="3"/>
  <c r="G1401" i="3"/>
  <c r="G1400" i="3"/>
  <c r="I73" i="1" s="1"/>
  <c r="G1399" i="3"/>
  <c r="G1398" i="3"/>
  <c r="I10" i="2" s="1"/>
  <c r="G1397" i="3"/>
  <c r="G1396" i="3"/>
  <c r="G1395" i="3"/>
  <c r="G1394" i="3"/>
  <c r="G1393" i="3"/>
  <c r="I66" i="1" s="1"/>
  <c r="G1392" i="3"/>
  <c r="I64" i="1" s="1"/>
  <c r="G1391" i="3"/>
  <c r="G1390" i="3"/>
  <c r="G1389" i="3"/>
  <c r="G1388" i="3"/>
  <c r="I60" i="1" s="1"/>
  <c r="G1387" i="3"/>
  <c r="G1386" i="3"/>
  <c r="G1385" i="3"/>
  <c r="G1384" i="3"/>
  <c r="G1383" i="3"/>
  <c r="G1382" i="3"/>
  <c r="G1381" i="3"/>
  <c r="I53" i="1" s="1"/>
  <c r="G1380" i="3"/>
  <c r="I52" i="1" s="1"/>
  <c r="G1379" i="3"/>
  <c r="I51" i="1" s="1"/>
  <c r="G1378" i="3"/>
  <c r="G1377" i="3"/>
  <c r="G1376" i="3"/>
  <c r="G1375" i="3"/>
  <c r="G1374" i="3"/>
  <c r="I45" i="1" s="1"/>
  <c r="G1373" i="3"/>
  <c r="G1372" i="3"/>
  <c r="G1371" i="3"/>
  <c r="G1370" i="3"/>
  <c r="G1369" i="3"/>
  <c r="I40" i="1" s="1"/>
  <c r="G1368" i="3"/>
  <c r="I39" i="1" s="1"/>
  <c r="G1367" i="3"/>
  <c r="I38" i="1" s="1"/>
  <c r="G1366" i="3"/>
  <c r="G1365" i="3"/>
  <c r="G1364" i="3"/>
  <c r="G1363" i="3"/>
  <c r="G1362" i="3"/>
  <c r="I33" i="1" s="1"/>
  <c r="G1361" i="3"/>
  <c r="G1360" i="3"/>
  <c r="G1359" i="3"/>
  <c r="G1358" i="3"/>
  <c r="G1357" i="3"/>
  <c r="I28" i="1" s="1"/>
  <c r="R28" i="1" s="1"/>
  <c r="G1356" i="3"/>
  <c r="I27" i="1" s="1"/>
  <c r="G1355" i="3"/>
  <c r="I26" i="1" s="1"/>
  <c r="G1354" i="3"/>
  <c r="G1353" i="3"/>
  <c r="G1352" i="3"/>
  <c r="G1351" i="3"/>
  <c r="G1350" i="3"/>
  <c r="I21" i="1" s="1"/>
  <c r="G1349" i="3"/>
  <c r="G1348" i="3"/>
  <c r="G1347" i="3"/>
  <c r="G1346" i="3"/>
  <c r="G1345" i="3"/>
  <c r="I16" i="1" s="1"/>
  <c r="G1344" i="3"/>
  <c r="I15" i="1" s="1"/>
  <c r="G1343" i="3"/>
  <c r="I14" i="1" s="1"/>
  <c r="R14" i="1" s="1"/>
  <c r="G1342" i="3"/>
  <c r="G1341" i="3"/>
  <c r="G1340" i="3"/>
  <c r="G1339" i="3"/>
  <c r="G1338" i="3"/>
  <c r="G1337" i="3"/>
  <c r="G1336" i="3"/>
  <c r="G1335" i="3"/>
  <c r="G1334" i="3"/>
  <c r="G1333" i="3"/>
  <c r="H282" i="1" s="1"/>
  <c r="G1332" i="3"/>
  <c r="G1331" i="3"/>
  <c r="H280" i="1" s="1"/>
  <c r="G1330" i="3"/>
  <c r="H279" i="1" s="1"/>
  <c r="G1329" i="3"/>
  <c r="G1328" i="3"/>
  <c r="G1327" i="3"/>
  <c r="G1326" i="3"/>
  <c r="H275" i="1" s="1"/>
  <c r="G1325" i="3"/>
  <c r="G1324" i="3"/>
  <c r="H273" i="1" s="1"/>
  <c r="G1323" i="3"/>
  <c r="G1322" i="3"/>
  <c r="G1321" i="3"/>
  <c r="H270" i="1" s="1"/>
  <c r="G1320" i="3"/>
  <c r="H269" i="1" s="1"/>
  <c r="G1319" i="3"/>
  <c r="H268" i="1" s="1"/>
  <c r="G1318" i="3"/>
  <c r="H267" i="1" s="1"/>
  <c r="G1317" i="3"/>
  <c r="G1316" i="3"/>
  <c r="G1315" i="3"/>
  <c r="G1314" i="3"/>
  <c r="G1313" i="3"/>
  <c r="G1312" i="3"/>
  <c r="H261" i="1" s="1"/>
  <c r="G1311" i="3"/>
  <c r="G1310" i="3"/>
  <c r="G1309" i="3"/>
  <c r="G1308" i="3"/>
  <c r="H257" i="1" s="1"/>
  <c r="G1307" i="3"/>
  <c r="H256" i="1" s="1"/>
  <c r="G1306" i="3"/>
  <c r="G1305" i="3"/>
  <c r="G1304" i="3"/>
  <c r="H253" i="1" s="1"/>
  <c r="G1303" i="3"/>
  <c r="G1302" i="3"/>
  <c r="H251" i="1" s="1"/>
  <c r="G1301" i="3"/>
  <c r="G1300" i="3"/>
  <c r="H249" i="1" s="1"/>
  <c r="G1299" i="3"/>
  <c r="H248" i="1" s="1"/>
  <c r="G1298" i="3"/>
  <c r="G1297" i="3"/>
  <c r="H246" i="1" s="1"/>
  <c r="G1296" i="3"/>
  <c r="H245" i="1" s="1"/>
  <c r="G1295" i="3"/>
  <c r="H244" i="1" s="1"/>
  <c r="G1294" i="3"/>
  <c r="G1293" i="3"/>
  <c r="G1292" i="3"/>
  <c r="H241" i="1" s="1"/>
  <c r="G1291" i="3"/>
  <c r="G1290" i="3"/>
  <c r="H239" i="1" s="1"/>
  <c r="G1289" i="3"/>
  <c r="G1288" i="3"/>
  <c r="G1287" i="3"/>
  <c r="H236" i="1" s="1"/>
  <c r="G1286" i="3"/>
  <c r="G1285" i="3"/>
  <c r="H234" i="1" s="1"/>
  <c r="G1284" i="3"/>
  <c r="G1283" i="3"/>
  <c r="H232" i="1" s="1"/>
  <c r="G1282" i="3"/>
  <c r="G1281" i="3"/>
  <c r="G1280" i="3"/>
  <c r="H229" i="1" s="1"/>
  <c r="G1279" i="3"/>
  <c r="G1278" i="3"/>
  <c r="H227" i="1" s="1"/>
  <c r="G1277" i="3"/>
  <c r="G1276" i="3"/>
  <c r="G1275" i="3"/>
  <c r="G1274" i="3"/>
  <c r="G1273" i="3"/>
  <c r="H222" i="1" s="1"/>
  <c r="G1272" i="3"/>
  <c r="H221" i="1" s="1"/>
  <c r="G1271" i="3"/>
  <c r="H220" i="1" s="1"/>
  <c r="G1270" i="3"/>
  <c r="G1269" i="3"/>
  <c r="G1268" i="3"/>
  <c r="H217" i="1" s="1"/>
  <c r="G1267" i="3"/>
  <c r="G1266" i="3"/>
  <c r="G1265" i="3"/>
  <c r="G1264" i="3"/>
  <c r="G1263" i="3"/>
  <c r="H212" i="1" s="1"/>
  <c r="G1262" i="3"/>
  <c r="G1261" i="3"/>
  <c r="G1260" i="3"/>
  <c r="H209" i="1" s="1"/>
  <c r="G1259" i="3"/>
  <c r="H208" i="1" s="1"/>
  <c r="G1258" i="3"/>
  <c r="G1257" i="3"/>
  <c r="G1256" i="3"/>
  <c r="H205" i="1" s="1"/>
  <c r="G1255" i="3"/>
  <c r="G1254" i="3"/>
  <c r="G1253" i="3"/>
  <c r="G1252" i="3"/>
  <c r="G1251" i="3"/>
  <c r="G1250" i="3"/>
  <c r="G1249" i="3"/>
  <c r="H198" i="1" s="1"/>
  <c r="G1248" i="3"/>
  <c r="H197" i="1" s="1"/>
  <c r="G1247" i="3"/>
  <c r="H196" i="1" s="1"/>
  <c r="G1246" i="3"/>
  <c r="G1245" i="3"/>
  <c r="G1244" i="3"/>
  <c r="H193" i="1" s="1"/>
  <c r="G1243" i="3"/>
  <c r="G1242" i="3"/>
  <c r="G1241" i="3"/>
  <c r="G1240" i="3"/>
  <c r="G1239" i="3"/>
  <c r="H187" i="1" s="1"/>
  <c r="G1238" i="3"/>
  <c r="G1237" i="3"/>
  <c r="H184" i="1" s="1"/>
  <c r="G1236" i="3"/>
  <c r="H183" i="1" s="1"/>
  <c r="G1235" i="3"/>
  <c r="H182" i="1" s="1"/>
  <c r="G1234" i="3"/>
  <c r="G1233" i="3"/>
  <c r="G1232" i="3"/>
  <c r="H178" i="1" s="1"/>
  <c r="G1231" i="3"/>
  <c r="G1230" i="3"/>
  <c r="G1229" i="3"/>
  <c r="G1228" i="3"/>
  <c r="G1227" i="3"/>
  <c r="H173" i="1" s="1"/>
  <c r="G1226" i="3"/>
  <c r="G1225" i="3"/>
  <c r="H171" i="1" s="1"/>
  <c r="G1224" i="3"/>
  <c r="H170" i="1" s="1"/>
  <c r="G1223" i="3"/>
  <c r="H169" i="1" s="1"/>
  <c r="G1222" i="3"/>
  <c r="G1221" i="3"/>
  <c r="G1220" i="3"/>
  <c r="H165" i="1" s="1"/>
  <c r="G1219" i="3"/>
  <c r="G1218" i="3"/>
  <c r="H163" i="1" s="1"/>
  <c r="G1217" i="3"/>
  <c r="G1216" i="3"/>
  <c r="G1215" i="3"/>
  <c r="G1214" i="3"/>
  <c r="G1213" i="3"/>
  <c r="G1212" i="3"/>
  <c r="H157" i="1" s="1"/>
  <c r="G1211" i="3"/>
  <c r="H156" i="1" s="1"/>
  <c r="G1210" i="3"/>
  <c r="G1209" i="3"/>
  <c r="G1208" i="3"/>
  <c r="H153" i="1" s="1"/>
  <c r="G1207" i="3"/>
  <c r="G1206" i="3"/>
  <c r="H151" i="1" s="1"/>
  <c r="G1205" i="3"/>
  <c r="G1204" i="3"/>
  <c r="G1203" i="3"/>
  <c r="G1202" i="3"/>
  <c r="G1201" i="3"/>
  <c r="H146" i="1" s="1"/>
  <c r="G1200" i="3"/>
  <c r="H145" i="1" s="1"/>
  <c r="G1199" i="3"/>
  <c r="H144" i="1" s="1"/>
  <c r="G1198" i="3"/>
  <c r="G1197" i="3"/>
  <c r="G1196" i="3"/>
  <c r="G1195" i="3"/>
  <c r="G1194" i="3"/>
  <c r="H15" i="2" s="1"/>
  <c r="G1193" i="3"/>
  <c r="G1192" i="3"/>
  <c r="G1191" i="3"/>
  <c r="H136" i="1" s="1"/>
  <c r="G1190" i="3"/>
  <c r="G1189" i="3"/>
  <c r="H134" i="1" s="1"/>
  <c r="G1188" i="3"/>
  <c r="G1187" i="3"/>
  <c r="H132" i="1" s="1"/>
  <c r="G1186" i="3"/>
  <c r="G1185" i="3"/>
  <c r="G1184" i="3"/>
  <c r="G1183" i="3"/>
  <c r="G1182" i="3"/>
  <c r="H126" i="1" s="1"/>
  <c r="G1181" i="3"/>
  <c r="G1180" i="3"/>
  <c r="H124" i="1" s="1"/>
  <c r="G1179" i="3"/>
  <c r="G1178" i="3"/>
  <c r="G1177" i="3"/>
  <c r="H120" i="1" s="1"/>
  <c r="G1176" i="3"/>
  <c r="H119" i="1" s="1"/>
  <c r="G1175" i="3"/>
  <c r="H118" i="1" s="1"/>
  <c r="G1174" i="3"/>
  <c r="G1173" i="3"/>
  <c r="G1172" i="3"/>
  <c r="G1171" i="3"/>
  <c r="G1170" i="3"/>
  <c r="G1169" i="3"/>
  <c r="G1168" i="3"/>
  <c r="G1167" i="3"/>
  <c r="H110" i="1" s="1"/>
  <c r="G1166" i="3"/>
  <c r="G1165" i="3"/>
  <c r="H108" i="1" s="1"/>
  <c r="G1164" i="3"/>
  <c r="H107" i="1" s="1"/>
  <c r="G1163" i="3"/>
  <c r="H106" i="1" s="1"/>
  <c r="G1162" i="3"/>
  <c r="G1161" i="3"/>
  <c r="G1160" i="3"/>
  <c r="G1159" i="3"/>
  <c r="G1158" i="3"/>
  <c r="H100" i="1" s="1"/>
  <c r="G1157" i="3"/>
  <c r="G1156" i="3"/>
  <c r="H98" i="1" s="1"/>
  <c r="G1155" i="3"/>
  <c r="H97" i="1" s="1"/>
  <c r="G1154" i="3"/>
  <c r="G1153" i="3"/>
  <c r="H95" i="1" s="1"/>
  <c r="G1152" i="3"/>
  <c r="H94" i="1" s="1"/>
  <c r="G1151" i="3"/>
  <c r="H92" i="1" s="1"/>
  <c r="G1150" i="3"/>
  <c r="G1149" i="3"/>
  <c r="G1148" i="3"/>
  <c r="H13" i="2" s="1"/>
  <c r="G1147" i="3"/>
  <c r="G1146" i="3"/>
  <c r="H87" i="1" s="1"/>
  <c r="G1145" i="3"/>
  <c r="G1144" i="3"/>
  <c r="G1143" i="3"/>
  <c r="G1142" i="3"/>
  <c r="G1141" i="3"/>
  <c r="G1140" i="3"/>
  <c r="H81" i="1" s="1"/>
  <c r="R81" i="1" s="1"/>
  <c r="G1139" i="3"/>
  <c r="H80" i="1" s="1"/>
  <c r="G1138" i="3"/>
  <c r="G1137" i="3"/>
  <c r="G1136" i="3"/>
  <c r="G1135" i="3"/>
  <c r="G1134" i="3"/>
  <c r="H75" i="1" s="1"/>
  <c r="G1133" i="3"/>
  <c r="G1132" i="3"/>
  <c r="G1131" i="3"/>
  <c r="G1130" i="3"/>
  <c r="H10" i="2" s="1"/>
  <c r="G1129" i="3"/>
  <c r="H70" i="1" s="1"/>
  <c r="G1128" i="3"/>
  <c r="H69" i="1" s="1"/>
  <c r="G1127" i="3"/>
  <c r="H68" i="1" s="1"/>
  <c r="G1126" i="3"/>
  <c r="G1125" i="3"/>
  <c r="G1124" i="3"/>
  <c r="G1123" i="3"/>
  <c r="G1122" i="3"/>
  <c r="G1121" i="3"/>
  <c r="G1120" i="3"/>
  <c r="G1119" i="3"/>
  <c r="G1118" i="3"/>
  <c r="G1117" i="3"/>
  <c r="H57" i="1" s="1"/>
  <c r="G1116" i="3"/>
  <c r="G1115" i="3"/>
  <c r="H55" i="1" s="1"/>
  <c r="R55" i="1" s="1"/>
  <c r="G1114" i="3"/>
  <c r="G1113" i="3"/>
  <c r="G1112" i="3"/>
  <c r="H52" i="1" s="1"/>
  <c r="G1111" i="3"/>
  <c r="G1110" i="3"/>
  <c r="H49" i="1" s="1"/>
  <c r="G1109" i="3"/>
  <c r="G1108" i="3"/>
  <c r="G1107" i="3"/>
  <c r="G1106" i="3"/>
  <c r="G1105" i="3"/>
  <c r="H44" i="1" s="1"/>
  <c r="G1104" i="3"/>
  <c r="H43" i="1" s="1"/>
  <c r="G1103" i="3"/>
  <c r="H42" i="1" s="1"/>
  <c r="G1102" i="3"/>
  <c r="G1101" i="3"/>
  <c r="G1100" i="3"/>
  <c r="G1099" i="3"/>
  <c r="G1098" i="3"/>
  <c r="H37" i="1" s="1"/>
  <c r="G1097" i="3"/>
  <c r="G1096" i="3"/>
  <c r="G1095" i="3"/>
  <c r="G1094" i="3"/>
  <c r="G1093" i="3"/>
  <c r="G1092" i="3"/>
  <c r="H31" i="1" s="1"/>
  <c r="G1091" i="3"/>
  <c r="G1090" i="3"/>
  <c r="G1089" i="3"/>
  <c r="G1088" i="3"/>
  <c r="G1087" i="3"/>
  <c r="G1086" i="3"/>
  <c r="H25" i="1" s="1"/>
  <c r="G1085" i="3"/>
  <c r="G1084" i="3"/>
  <c r="G1083" i="3"/>
  <c r="G1082" i="3"/>
  <c r="G1081" i="3"/>
  <c r="H20" i="1" s="1"/>
  <c r="G1080" i="3"/>
  <c r="H19" i="1" s="1"/>
  <c r="G1079" i="3"/>
  <c r="H18" i="1" s="1"/>
  <c r="G1078" i="3"/>
  <c r="G1077" i="3"/>
  <c r="G1076" i="3"/>
  <c r="G1075" i="3"/>
  <c r="G1074" i="3"/>
  <c r="H13" i="1" s="1"/>
  <c r="G1073" i="3"/>
  <c r="G1072" i="3"/>
  <c r="G1071" i="3"/>
  <c r="G1070" i="3"/>
  <c r="G1069" i="3"/>
  <c r="H8" i="1" s="1"/>
  <c r="R8" i="1" s="1"/>
  <c r="G1068" i="3"/>
  <c r="H7" i="1" s="1"/>
  <c r="R7" i="1" s="1"/>
  <c r="G1067" i="3"/>
  <c r="H6" i="2" s="1"/>
  <c r="G1066" i="3"/>
  <c r="G1065" i="3"/>
  <c r="G1064" i="3"/>
  <c r="G281" i="1" s="1"/>
  <c r="G1063" i="3"/>
  <c r="G1062" i="3"/>
  <c r="G279" i="1" s="1"/>
  <c r="G1061" i="3"/>
  <c r="G1060" i="3"/>
  <c r="G1059" i="3"/>
  <c r="G1058" i="3"/>
  <c r="G275" i="1" s="1"/>
  <c r="G1057" i="3"/>
  <c r="G274" i="1" s="1"/>
  <c r="G1056" i="3"/>
  <c r="G1055" i="3"/>
  <c r="G272" i="1" s="1"/>
  <c r="G1054" i="3"/>
  <c r="G1053" i="3"/>
  <c r="G1052" i="3"/>
  <c r="G1051" i="3"/>
  <c r="G1050" i="3"/>
  <c r="G1049" i="3"/>
  <c r="G1048" i="3"/>
  <c r="G265" i="1" s="1"/>
  <c r="G1047" i="3"/>
  <c r="G1046" i="3"/>
  <c r="G1045" i="3"/>
  <c r="G262" i="1" s="1"/>
  <c r="G1044" i="3"/>
  <c r="G261" i="1" s="1"/>
  <c r="G1043" i="3"/>
  <c r="G260" i="1" s="1"/>
  <c r="G1042" i="3"/>
  <c r="G1041" i="3"/>
  <c r="G1040" i="3"/>
  <c r="G1039" i="3"/>
  <c r="G1038" i="3"/>
  <c r="G1037" i="3"/>
  <c r="G1036" i="3"/>
  <c r="G1035" i="3"/>
  <c r="G1034" i="3"/>
  <c r="G1033" i="3"/>
  <c r="G250" i="1" s="1"/>
  <c r="G1032" i="3"/>
  <c r="G249" i="1" s="1"/>
  <c r="G1031" i="3"/>
  <c r="G248" i="1" s="1"/>
  <c r="S248" i="1" s="1"/>
  <c r="G1030" i="3"/>
  <c r="G1029" i="3"/>
  <c r="G1028" i="3"/>
  <c r="G1027" i="3"/>
  <c r="G1026" i="3"/>
  <c r="G1025" i="3"/>
  <c r="G1024" i="3"/>
  <c r="G1023" i="3"/>
  <c r="G1022" i="3"/>
  <c r="G1021" i="3"/>
  <c r="G238" i="1" s="1"/>
  <c r="G1020" i="3"/>
  <c r="G237" i="1" s="1"/>
  <c r="G1019" i="3"/>
  <c r="G236" i="1" s="1"/>
  <c r="G1018" i="3"/>
  <c r="G1017" i="3"/>
  <c r="G1016" i="3"/>
  <c r="G20" i="2" s="1"/>
  <c r="G1015" i="3"/>
  <c r="G1014" i="3"/>
  <c r="G231" i="1" s="1"/>
  <c r="G1013" i="3"/>
  <c r="G1012" i="3"/>
  <c r="G1011" i="3"/>
  <c r="G228" i="1" s="1"/>
  <c r="G1010" i="3"/>
  <c r="G1009" i="3"/>
  <c r="G226" i="1" s="1"/>
  <c r="G1008" i="3"/>
  <c r="G225" i="1" s="1"/>
  <c r="G1007" i="3"/>
  <c r="G224" i="1" s="1"/>
  <c r="S224" i="1" s="1"/>
  <c r="G1006" i="3"/>
  <c r="G1005" i="3"/>
  <c r="G1004" i="3"/>
  <c r="G1003" i="3"/>
  <c r="G1002" i="3"/>
  <c r="G219" i="1" s="1"/>
  <c r="G1001" i="3"/>
  <c r="G1000" i="3"/>
  <c r="G999" i="3"/>
  <c r="G216" i="1" s="1"/>
  <c r="G998" i="3"/>
  <c r="G997" i="3"/>
  <c r="G214" i="1" s="1"/>
  <c r="G996" i="3"/>
  <c r="G213" i="1" s="1"/>
  <c r="G995" i="3"/>
  <c r="G212" i="1" s="1"/>
  <c r="S212" i="1" s="1"/>
  <c r="G994" i="3"/>
  <c r="G993" i="3"/>
  <c r="G992" i="3"/>
  <c r="G991" i="3"/>
  <c r="G990" i="3"/>
  <c r="G207" i="1" s="1"/>
  <c r="G989" i="3"/>
  <c r="G988" i="3"/>
  <c r="G987" i="3"/>
  <c r="G204" i="1" s="1"/>
  <c r="G986" i="3"/>
  <c r="G985" i="3"/>
  <c r="G202" i="1" s="1"/>
  <c r="G984" i="3"/>
  <c r="G201" i="1" s="1"/>
  <c r="G983" i="3"/>
  <c r="G200" i="1" s="1"/>
  <c r="S200" i="1" s="1"/>
  <c r="G982" i="3"/>
  <c r="G981" i="3"/>
  <c r="G980" i="3"/>
  <c r="G979" i="3"/>
  <c r="G978" i="3"/>
  <c r="G195" i="1" s="1"/>
  <c r="G977" i="3"/>
  <c r="G976" i="3"/>
  <c r="G975" i="3"/>
  <c r="G192" i="1" s="1"/>
  <c r="G974" i="3"/>
  <c r="G973" i="3"/>
  <c r="G190" i="1" s="1"/>
  <c r="G972" i="3"/>
  <c r="G189" i="1" s="1"/>
  <c r="R189" i="1" s="1"/>
  <c r="G971" i="3"/>
  <c r="G187" i="1" s="1"/>
  <c r="G970" i="3"/>
  <c r="G969" i="3"/>
  <c r="G968" i="3"/>
  <c r="G183" i="1" s="1"/>
  <c r="G967" i="3"/>
  <c r="G966" i="3"/>
  <c r="G181" i="1" s="1"/>
  <c r="G965" i="3"/>
  <c r="G964" i="3"/>
  <c r="G178" i="1" s="1"/>
  <c r="G963" i="3"/>
  <c r="G177" i="1" s="1"/>
  <c r="G962" i="3"/>
  <c r="G961" i="3"/>
  <c r="G175" i="1" s="1"/>
  <c r="G960" i="3"/>
  <c r="G959" i="3"/>
  <c r="G173" i="1" s="1"/>
  <c r="R173" i="1" s="1"/>
  <c r="G958" i="3"/>
  <c r="G957" i="3"/>
  <c r="G956" i="3"/>
  <c r="G955" i="3"/>
  <c r="G954" i="3"/>
  <c r="G167" i="1" s="1"/>
  <c r="G953" i="3"/>
  <c r="G952" i="3"/>
  <c r="G165" i="1" s="1"/>
  <c r="G951" i="3"/>
  <c r="G164" i="1" s="1"/>
  <c r="G950" i="3"/>
  <c r="G949" i="3"/>
  <c r="G162" i="1" s="1"/>
  <c r="G948" i="3"/>
  <c r="G161" i="1" s="1"/>
  <c r="G947" i="3"/>
  <c r="G160" i="1" s="1"/>
  <c r="G946" i="3"/>
  <c r="G945" i="3"/>
  <c r="G944" i="3"/>
  <c r="G943" i="3"/>
  <c r="G942" i="3"/>
  <c r="G941" i="3"/>
  <c r="G940" i="3"/>
  <c r="G939" i="3"/>
  <c r="G938" i="3"/>
  <c r="G937" i="3"/>
  <c r="G150" i="1" s="1"/>
  <c r="G936" i="3"/>
  <c r="G935" i="3"/>
  <c r="G148" i="1" s="1"/>
  <c r="G934" i="3"/>
  <c r="G933" i="3"/>
  <c r="G932" i="3"/>
  <c r="G931" i="3"/>
  <c r="G930" i="3"/>
  <c r="G143" i="1" s="1"/>
  <c r="G929" i="3"/>
  <c r="G928" i="3"/>
  <c r="G927" i="3"/>
  <c r="G926" i="3"/>
  <c r="G15" i="2" s="1"/>
  <c r="G925" i="3"/>
  <c r="G924" i="3"/>
  <c r="G137" i="1" s="1"/>
  <c r="G923" i="3"/>
  <c r="G136" i="1" s="1"/>
  <c r="G922" i="3"/>
  <c r="G921" i="3"/>
  <c r="G920" i="3"/>
  <c r="G133" i="1" s="1"/>
  <c r="G919" i="3"/>
  <c r="G918" i="3"/>
  <c r="G917" i="3"/>
  <c r="G916" i="3"/>
  <c r="G915" i="3"/>
  <c r="G914" i="3"/>
  <c r="G913" i="3"/>
  <c r="G125" i="1" s="1"/>
  <c r="G912" i="3"/>
  <c r="G124" i="1" s="1"/>
  <c r="G911" i="3"/>
  <c r="G122" i="1" s="1"/>
  <c r="S122" i="1" s="1"/>
  <c r="G910" i="3"/>
  <c r="G909" i="3"/>
  <c r="G908" i="3"/>
  <c r="G119" i="1" s="1"/>
  <c r="G907" i="3"/>
  <c r="G906" i="3"/>
  <c r="G905" i="3"/>
  <c r="G904" i="3"/>
  <c r="G903" i="3"/>
  <c r="G902" i="3"/>
  <c r="G901" i="3"/>
  <c r="G112" i="1" s="1"/>
  <c r="G900" i="3"/>
  <c r="G111" i="1" s="1"/>
  <c r="G899" i="3"/>
  <c r="G110" i="1" s="1"/>
  <c r="G898" i="3"/>
  <c r="G897" i="3"/>
  <c r="G896" i="3"/>
  <c r="G107" i="1" s="1"/>
  <c r="G895" i="3"/>
  <c r="G894" i="3"/>
  <c r="G893" i="3"/>
  <c r="G892" i="3"/>
  <c r="G891" i="3"/>
  <c r="G101" i="1" s="1"/>
  <c r="G890" i="3"/>
  <c r="G889" i="3"/>
  <c r="G99" i="1" s="1"/>
  <c r="G888" i="3"/>
  <c r="G98" i="1" s="1"/>
  <c r="G887" i="3"/>
  <c r="G97" i="1" s="1"/>
  <c r="G886" i="3"/>
  <c r="G885" i="3"/>
  <c r="G884" i="3"/>
  <c r="G94" i="1" s="1"/>
  <c r="G883" i="3"/>
  <c r="G882" i="3"/>
  <c r="G881" i="3"/>
  <c r="G880" i="3"/>
  <c r="G879" i="3"/>
  <c r="G88" i="1" s="1"/>
  <c r="G878" i="3"/>
  <c r="G877" i="3"/>
  <c r="G86" i="1" s="1"/>
  <c r="G876" i="3"/>
  <c r="G85" i="1" s="1"/>
  <c r="G875" i="3"/>
  <c r="G84" i="1" s="1"/>
  <c r="G874" i="3"/>
  <c r="G873" i="3"/>
  <c r="G872" i="3"/>
  <c r="G871" i="3"/>
  <c r="G870" i="3"/>
  <c r="G79" i="1" s="1"/>
  <c r="G869" i="3"/>
  <c r="G868" i="3"/>
  <c r="G867" i="3"/>
  <c r="G866" i="3"/>
  <c r="G865" i="3"/>
  <c r="G864" i="3"/>
  <c r="G73" i="1" s="1"/>
  <c r="G863" i="3"/>
  <c r="G72" i="1" s="1"/>
  <c r="G862" i="3"/>
  <c r="G861" i="3"/>
  <c r="G860" i="3"/>
  <c r="G859" i="3"/>
  <c r="G858" i="3"/>
  <c r="G67" i="1" s="1"/>
  <c r="G857" i="3"/>
  <c r="G856" i="3"/>
  <c r="G855" i="3"/>
  <c r="G63" i="1" s="1"/>
  <c r="G854" i="3"/>
  <c r="G853" i="3"/>
  <c r="G61" i="1" s="1"/>
  <c r="G852" i="3"/>
  <c r="G60" i="1" s="1"/>
  <c r="G851" i="3"/>
  <c r="G850" i="3"/>
  <c r="G849" i="3"/>
  <c r="G848" i="3"/>
  <c r="G847" i="3"/>
  <c r="G846" i="3"/>
  <c r="G845" i="3"/>
  <c r="G844" i="3"/>
  <c r="G843" i="3"/>
  <c r="G842" i="3"/>
  <c r="G841" i="3"/>
  <c r="G48" i="1" s="1"/>
  <c r="G840" i="3"/>
  <c r="G47" i="1" s="1"/>
  <c r="G839" i="3"/>
  <c r="G46" i="1" s="1"/>
  <c r="G838" i="3"/>
  <c r="G837" i="3"/>
  <c r="G836" i="3"/>
  <c r="G43" i="1" s="1"/>
  <c r="G835" i="3"/>
  <c r="G834" i="3"/>
  <c r="G833" i="3"/>
  <c r="G832" i="3"/>
  <c r="G831" i="3"/>
  <c r="G830" i="3"/>
  <c r="G829" i="3"/>
  <c r="G36" i="1" s="1"/>
  <c r="G828" i="3"/>
  <c r="G827" i="3"/>
  <c r="G34" i="1" s="1"/>
  <c r="G826" i="3"/>
  <c r="G825" i="3"/>
  <c r="G824" i="3"/>
  <c r="G31" i="1" s="1"/>
  <c r="G823" i="3"/>
  <c r="G822" i="3"/>
  <c r="G821" i="3"/>
  <c r="G820" i="3"/>
  <c r="G819" i="3"/>
  <c r="G818" i="3"/>
  <c r="G817" i="3"/>
  <c r="G24" i="1" s="1"/>
  <c r="G816" i="3"/>
  <c r="G23" i="1" s="1"/>
  <c r="G815" i="3"/>
  <c r="G22" i="1" s="1"/>
  <c r="G814" i="3"/>
  <c r="G813" i="3"/>
  <c r="G812" i="3"/>
  <c r="G19" i="1" s="1"/>
  <c r="G811" i="3"/>
  <c r="G810" i="3"/>
  <c r="G809" i="3"/>
  <c r="G808" i="3"/>
  <c r="G807" i="3"/>
  <c r="G806" i="3"/>
  <c r="G805" i="3"/>
  <c r="G12" i="1" s="1"/>
  <c r="G804" i="3"/>
  <c r="G803" i="3"/>
  <c r="G10" i="1" s="1"/>
  <c r="G802" i="3"/>
  <c r="G801" i="3"/>
  <c r="G800" i="3"/>
  <c r="G7" i="1" s="1"/>
  <c r="G799" i="3"/>
  <c r="G798" i="3"/>
  <c r="G797" i="3"/>
  <c r="G796" i="3"/>
  <c r="F22" i="2" s="1"/>
  <c r="G795" i="3"/>
  <c r="F280" i="1" s="1"/>
  <c r="G794" i="3"/>
  <c r="G793" i="3"/>
  <c r="F278" i="1" s="1"/>
  <c r="G792" i="3"/>
  <c r="F277" i="1" s="1"/>
  <c r="R277" i="1" s="1"/>
  <c r="G791" i="3"/>
  <c r="F276" i="1" s="1"/>
  <c r="G790" i="3"/>
  <c r="G789" i="3"/>
  <c r="G788" i="3"/>
  <c r="F273" i="1" s="1"/>
  <c r="G787" i="3"/>
  <c r="G786" i="3"/>
  <c r="G785" i="3"/>
  <c r="G784" i="3"/>
  <c r="G783" i="3"/>
  <c r="G782" i="3"/>
  <c r="F267" i="1" s="1"/>
  <c r="G781" i="3"/>
  <c r="F266" i="1" s="1"/>
  <c r="G780" i="3"/>
  <c r="F265" i="1" s="1"/>
  <c r="G779" i="3"/>
  <c r="F264" i="1" s="1"/>
  <c r="G778" i="3"/>
  <c r="G777" i="3"/>
  <c r="G776" i="3"/>
  <c r="F261" i="1" s="1"/>
  <c r="G775" i="3"/>
  <c r="G774" i="3"/>
  <c r="F259" i="1" s="1"/>
  <c r="G773" i="3"/>
  <c r="G772" i="3"/>
  <c r="G771" i="3"/>
  <c r="G770" i="3"/>
  <c r="G769" i="3"/>
  <c r="F254" i="1" s="1"/>
  <c r="G768" i="3"/>
  <c r="G767" i="3"/>
  <c r="F252" i="1" s="1"/>
  <c r="G766" i="3"/>
  <c r="G765" i="3"/>
  <c r="G764" i="3"/>
  <c r="G763" i="3"/>
  <c r="G762" i="3"/>
  <c r="G761" i="3"/>
  <c r="G760" i="3"/>
  <c r="G759" i="3"/>
  <c r="G758" i="3"/>
  <c r="G757" i="3"/>
  <c r="F242" i="1" s="1"/>
  <c r="G756" i="3"/>
  <c r="F241" i="1" s="1"/>
  <c r="G755" i="3"/>
  <c r="F240" i="1" s="1"/>
  <c r="G754" i="3"/>
  <c r="G753" i="3"/>
  <c r="G752" i="3"/>
  <c r="F237" i="1" s="1"/>
  <c r="G751" i="3"/>
  <c r="G750" i="3"/>
  <c r="G749" i="3"/>
  <c r="G748" i="3"/>
  <c r="F233" i="1" s="1"/>
  <c r="G747" i="3"/>
  <c r="F232" i="1" s="1"/>
  <c r="G746" i="3"/>
  <c r="F231" i="1" s="1"/>
  <c r="G745" i="3"/>
  <c r="F230" i="1" s="1"/>
  <c r="G744" i="3"/>
  <c r="F229" i="1" s="1"/>
  <c r="G743" i="3"/>
  <c r="F228" i="1" s="1"/>
  <c r="G742" i="3"/>
  <c r="G741" i="3"/>
  <c r="G740" i="3"/>
  <c r="F225" i="1" s="1"/>
  <c r="G739" i="3"/>
  <c r="G738" i="3"/>
  <c r="F223" i="1" s="1"/>
  <c r="G737" i="3"/>
  <c r="G736" i="3"/>
  <c r="F221" i="1" s="1"/>
  <c r="G735" i="3"/>
  <c r="F220" i="1" s="1"/>
  <c r="G734" i="3"/>
  <c r="F219" i="1" s="1"/>
  <c r="G733" i="3"/>
  <c r="F218" i="1" s="1"/>
  <c r="G732" i="3"/>
  <c r="F217" i="1" s="1"/>
  <c r="S217" i="1" s="1"/>
  <c r="G731" i="3"/>
  <c r="F216" i="1" s="1"/>
  <c r="G730" i="3"/>
  <c r="G729" i="3"/>
  <c r="G728" i="3"/>
  <c r="F213" i="1" s="1"/>
  <c r="G727" i="3"/>
  <c r="G726" i="3"/>
  <c r="G725" i="3"/>
  <c r="G724" i="3"/>
  <c r="F209" i="1" s="1"/>
  <c r="G723" i="3"/>
  <c r="F208" i="1" s="1"/>
  <c r="G722" i="3"/>
  <c r="F207" i="1" s="1"/>
  <c r="G721" i="3"/>
  <c r="F206" i="1" s="1"/>
  <c r="G720" i="3"/>
  <c r="F205" i="1" s="1"/>
  <c r="R205" i="1" s="1"/>
  <c r="G719" i="3"/>
  <c r="F204" i="1" s="1"/>
  <c r="G718" i="3"/>
  <c r="G717" i="3"/>
  <c r="G716" i="3"/>
  <c r="F201" i="1" s="1"/>
  <c r="G715" i="3"/>
  <c r="G714" i="3"/>
  <c r="G713" i="3"/>
  <c r="G712" i="3"/>
  <c r="F197" i="1" s="1"/>
  <c r="G711" i="3"/>
  <c r="F196" i="1" s="1"/>
  <c r="G710" i="3"/>
  <c r="F195" i="1" s="1"/>
  <c r="G709" i="3"/>
  <c r="G708" i="3"/>
  <c r="F193" i="1" s="1"/>
  <c r="S193" i="1" s="1"/>
  <c r="G707" i="3"/>
  <c r="F192" i="1" s="1"/>
  <c r="G706" i="3"/>
  <c r="G705" i="3"/>
  <c r="G704" i="3"/>
  <c r="G703" i="3"/>
  <c r="G702" i="3"/>
  <c r="F185" i="1" s="1"/>
  <c r="G701" i="3"/>
  <c r="G700" i="3"/>
  <c r="G699" i="3"/>
  <c r="F182" i="1" s="1"/>
  <c r="G698" i="3"/>
  <c r="G697" i="3"/>
  <c r="F180" i="1" s="1"/>
  <c r="G696" i="3"/>
  <c r="F178" i="1" s="1"/>
  <c r="G695" i="3"/>
  <c r="F177" i="1" s="1"/>
  <c r="R177" i="1" s="1"/>
  <c r="G694" i="3"/>
  <c r="G693" i="3"/>
  <c r="G692" i="3"/>
  <c r="F17" i="2" s="1"/>
  <c r="G691" i="3"/>
  <c r="G690" i="3"/>
  <c r="F172" i="1" s="1"/>
  <c r="G689" i="3"/>
  <c r="G688" i="3"/>
  <c r="F168" i="1" s="1"/>
  <c r="G687" i="3"/>
  <c r="F167" i="1" s="1"/>
  <c r="G686" i="3"/>
  <c r="G685" i="3"/>
  <c r="F165" i="1" s="1"/>
  <c r="G684" i="3"/>
  <c r="F164" i="1" s="1"/>
  <c r="G683" i="3"/>
  <c r="F163" i="1" s="1"/>
  <c r="G682" i="3"/>
  <c r="G681" i="3"/>
  <c r="G680" i="3"/>
  <c r="G679" i="3"/>
  <c r="G678" i="3"/>
  <c r="F158" i="1" s="1"/>
  <c r="G677" i="3"/>
  <c r="G676" i="3"/>
  <c r="F156" i="1" s="1"/>
  <c r="G675" i="3"/>
  <c r="F155" i="1" s="1"/>
  <c r="G674" i="3"/>
  <c r="G673" i="3"/>
  <c r="F153" i="1" s="1"/>
  <c r="G672" i="3"/>
  <c r="F152" i="1" s="1"/>
  <c r="G671" i="3"/>
  <c r="F151" i="1" s="1"/>
  <c r="G670" i="3"/>
  <c r="G669" i="3"/>
  <c r="G668" i="3"/>
  <c r="F148" i="1" s="1"/>
  <c r="G667" i="3"/>
  <c r="G666" i="3"/>
  <c r="F146" i="1" s="1"/>
  <c r="G665" i="3"/>
  <c r="G664" i="3"/>
  <c r="F144" i="1" s="1"/>
  <c r="G663" i="3"/>
  <c r="F143" i="1" s="1"/>
  <c r="G662" i="3"/>
  <c r="G661" i="3"/>
  <c r="F141" i="1" s="1"/>
  <c r="G660" i="3"/>
  <c r="F140" i="1" s="1"/>
  <c r="G659" i="3"/>
  <c r="G658" i="3"/>
  <c r="G657" i="3"/>
  <c r="G656" i="3"/>
  <c r="G655" i="3"/>
  <c r="G654" i="3"/>
  <c r="F134" i="1" s="1"/>
  <c r="G653" i="3"/>
  <c r="G652" i="3"/>
  <c r="F132" i="1" s="1"/>
  <c r="G651" i="3"/>
  <c r="F131" i="1" s="1"/>
  <c r="G650" i="3"/>
  <c r="G649" i="3"/>
  <c r="G648" i="3"/>
  <c r="F128" i="1" s="1"/>
  <c r="G647" i="3"/>
  <c r="F126" i="1" s="1"/>
  <c r="G646" i="3"/>
  <c r="G645" i="3"/>
  <c r="G644" i="3"/>
  <c r="G643" i="3"/>
  <c r="G642" i="3"/>
  <c r="F120" i="1" s="1"/>
  <c r="G641" i="3"/>
  <c r="G640" i="3"/>
  <c r="F118" i="1" s="1"/>
  <c r="G639" i="3"/>
  <c r="F117" i="1" s="1"/>
  <c r="G638" i="3"/>
  <c r="G637" i="3"/>
  <c r="F115" i="1" s="1"/>
  <c r="G636" i="3"/>
  <c r="F114" i="1" s="1"/>
  <c r="G635" i="3"/>
  <c r="F113" i="1" s="1"/>
  <c r="G634" i="3"/>
  <c r="G633" i="3"/>
  <c r="G632" i="3"/>
  <c r="F110" i="1" s="1"/>
  <c r="G631" i="3"/>
  <c r="G630" i="3"/>
  <c r="F108" i="1" s="1"/>
  <c r="G629" i="3"/>
  <c r="G628" i="3"/>
  <c r="G627" i="3"/>
  <c r="F105" i="1" s="1"/>
  <c r="G626" i="3"/>
  <c r="G625" i="3"/>
  <c r="F102" i="1" s="1"/>
  <c r="G624" i="3"/>
  <c r="F101" i="1" s="1"/>
  <c r="G623" i="3"/>
  <c r="F100" i="1" s="1"/>
  <c r="G622" i="3"/>
  <c r="G621" i="3"/>
  <c r="G620" i="3"/>
  <c r="G619" i="3"/>
  <c r="G618" i="3"/>
  <c r="G617" i="3"/>
  <c r="G616" i="3"/>
  <c r="G615" i="3"/>
  <c r="G614" i="3"/>
  <c r="F14" i="2" s="1"/>
  <c r="G613" i="3"/>
  <c r="F89" i="1" s="1"/>
  <c r="G612" i="3"/>
  <c r="F88" i="1" s="1"/>
  <c r="G611" i="3"/>
  <c r="F87" i="1" s="1"/>
  <c r="G610" i="3"/>
  <c r="G609" i="3"/>
  <c r="G608" i="3"/>
  <c r="G607" i="3"/>
  <c r="G606" i="3"/>
  <c r="G605" i="3"/>
  <c r="G604" i="3"/>
  <c r="G603" i="3"/>
  <c r="G602" i="3"/>
  <c r="G601" i="3"/>
  <c r="G600" i="3"/>
  <c r="F76" i="1" s="1"/>
  <c r="G599" i="3"/>
  <c r="F75" i="1" s="1"/>
  <c r="G598" i="3"/>
  <c r="G597" i="3"/>
  <c r="G596" i="3"/>
  <c r="G595" i="3"/>
  <c r="G594" i="3"/>
  <c r="G593" i="3"/>
  <c r="G592" i="3"/>
  <c r="G591" i="3"/>
  <c r="G590" i="3"/>
  <c r="G589" i="3"/>
  <c r="F64" i="1" s="1"/>
  <c r="G588" i="3"/>
  <c r="F63" i="1" s="1"/>
  <c r="G587" i="3"/>
  <c r="F62" i="1" s="1"/>
  <c r="G586" i="3"/>
  <c r="G585" i="3"/>
  <c r="G584" i="3"/>
  <c r="F9" i="2" s="1"/>
  <c r="G583" i="3"/>
  <c r="G582" i="3"/>
  <c r="F57" i="1" s="1"/>
  <c r="G581" i="3"/>
  <c r="G580" i="3"/>
  <c r="G579" i="3"/>
  <c r="G578" i="3"/>
  <c r="G577" i="3"/>
  <c r="F52" i="1" s="1"/>
  <c r="G576" i="3"/>
  <c r="F51" i="1" s="1"/>
  <c r="G575" i="3"/>
  <c r="F8" i="2" s="1"/>
  <c r="G574" i="3"/>
  <c r="G573" i="3"/>
  <c r="G572" i="3"/>
  <c r="G571" i="3"/>
  <c r="G570" i="3"/>
  <c r="F44" i="1" s="1"/>
  <c r="G569" i="3"/>
  <c r="G568" i="3"/>
  <c r="G567" i="3"/>
  <c r="G566" i="3"/>
  <c r="G565" i="3"/>
  <c r="F39" i="1" s="1"/>
  <c r="G564" i="3"/>
  <c r="G563" i="3"/>
  <c r="F37" i="1" s="1"/>
  <c r="G562" i="3"/>
  <c r="G561" i="3"/>
  <c r="G560" i="3"/>
  <c r="G559" i="3"/>
  <c r="G558" i="3"/>
  <c r="F7" i="2" s="1"/>
  <c r="G557" i="3"/>
  <c r="G556" i="3"/>
  <c r="G555" i="3"/>
  <c r="G554" i="3"/>
  <c r="G553" i="3"/>
  <c r="F27" i="1" s="1"/>
  <c r="G552" i="3"/>
  <c r="F26" i="1" s="1"/>
  <c r="G551" i="3"/>
  <c r="F25" i="1" s="1"/>
  <c r="G550" i="3"/>
  <c r="G549" i="3"/>
  <c r="G548" i="3"/>
  <c r="G547" i="3"/>
  <c r="G546" i="3"/>
  <c r="F20" i="1" s="1"/>
  <c r="G545" i="3"/>
  <c r="G544" i="3"/>
  <c r="G543" i="3"/>
  <c r="G542" i="3"/>
  <c r="G541" i="3"/>
  <c r="F15" i="1" s="1"/>
  <c r="G540" i="3"/>
  <c r="F14" i="1" s="1"/>
  <c r="G539" i="3"/>
  <c r="F13" i="1" s="1"/>
  <c r="G538" i="3"/>
  <c r="G537" i="3"/>
  <c r="G536" i="3"/>
  <c r="G535" i="3"/>
  <c r="G534" i="3"/>
  <c r="F8" i="1" s="1"/>
  <c r="G533" i="3"/>
  <c r="G532" i="3"/>
  <c r="G531" i="3"/>
  <c r="E283" i="1" s="1"/>
  <c r="G530" i="3"/>
  <c r="G529" i="3"/>
  <c r="G528" i="3"/>
  <c r="E280" i="1" s="1"/>
  <c r="G527" i="3"/>
  <c r="E279" i="1" s="1"/>
  <c r="G526" i="3"/>
  <c r="G525" i="3"/>
  <c r="G524" i="3"/>
  <c r="E276" i="1" s="1"/>
  <c r="G523" i="3"/>
  <c r="G522" i="3"/>
  <c r="E274" i="1" s="1"/>
  <c r="G521" i="3"/>
  <c r="G520" i="3"/>
  <c r="E272" i="1" s="1"/>
  <c r="G519" i="3"/>
  <c r="E271" i="1" s="1"/>
  <c r="G518" i="3"/>
  <c r="E270" i="1" s="1"/>
  <c r="G517" i="3"/>
  <c r="E269" i="1" s="1"/>
  <c r="G516" i="3"/>
  <c r="E268" i="1" s="1"/>
  <c r="G515" i="3"/>
  <c r="E267" i="1" s="1"/>
  <c r="G514" i="3"/>
  <c r="G513" i="3"/>
  <c r="G512" i="3"/>
  <c r="E264" i="1" s="1"/>
  <c r="G511" i="3"/>
  <c r="G510" i="3"/>
  <c r="E262" i="1" s="1"/>
  <c r="G509" i="3"/>
  <c r="G508" i="3"/>
  <c r="G507" i="3"/>
  <c r="E259" i="1" s="1"/>
  <c r="G506" i="3"/>
  <c r="G505" i="3"/>
  <c r="E257" i="1" s="1"/>
  <c r="G504" i="3"/>
  <c r="E256" i="1" s="1"/>
  <c r="G503" i="3"/>
  <c r="E255" i="1" s="1"/>
  <c r="G502" i="3"/>
  <c r="G501" i="3"/>
  <c r="G500" i="3"/>
  <c r="G499" i="3"/>
  <c r="G498" i="3"/>
  <c r="E250" i="1" s="1"/>
  <c r="G497" i="3"/>
  <c r="G496" i="3"/>
  <c r="E248" i="1" s="1"/>
  <c r="G495" i="3"/>
  <c r="E247" i="1" s="1"/>
  <c r="G494" i="3"/>
  <c r="G493" i="3"/>
  <c r="E245" i="1" s="1"/>
  <c r="R245" i="1" s="1"/>
  <c r="G492" i="3"/>
  <c r="E244" i="1" s="1"/>
  <c r="G491" i="3"/>
  <c r="E243" i="1" s="1"/>
  <c r="G490" i="3"/>
  <c r="G489" i="3"/>
  <c r="G488" i="3"/>
  <c r="G487" i="3"/>
  <c r="G486" i="3"/>
  <c r="E238" i="1" s="1"/>
  <c r="G485" i="3"/>
  <c r="G484" i="3"/>
  <c r="G483" i="3"/>
  <c r="G482" i="3"/>
  <c r="G481" i="3"/>
  <c r="E20" i="2" s="1"/>
  <c r="G480" i="3"/>
  <c r="E232" i="1" s="1"/>
  <c r="G479" i="3"/>
  <c r="E231" i="1" s="1"/>
  <c r="G478" i="3"/>
  <c r="G477" i="3"/>
  <c r="G476" i="3"/>
  <c r="E228" i="1" s="1"/>
  <c r="G475" i="3"/>
  <c r="G474" i="3"/>
  <c r="E226" i="1" s="1"/>
  <c r="G473" i="3"/>
  <c r="G472" i="3"/>
  <c r="G471" i="3"/>
  <c r="E223" i="1" s="1"/>
  <c r="G470" i="3"/>
  <c r="G469" i="3"/>
  <c r="E221" i="1" s="1"/>
  <c r="G468" i="3"/>
  <c r="E220" i="1" s="1"/>
  <c r="G467" i="3"/>
  <c r="E219" i="1" s="1"/>
  <c r="G466" i="3"/>
  <c r="G465" i="3"/>
  <c r="G464" i="3"/>
  <c r="G463" i="3"/>
  <c r="G462" i="3"/>
  <c r="E214" i="1" s="1"/>
  <c r="G461" i="3"/>
  <c r="G460" i="3"/>
  <c r="G459" i="3"/>
  <c r="G458" i="3"/>
  <c r="G457" i="3"/>
  <c r="E209" i="1" s="1"/>
  <c r="G456" i="3"/>
  <c r="E208" i="1" s="1"/>
  <c r="G455" i="3"/>
  <c r="E207" i="1" s="1"/>
  <c r="G454" i="3"/>
  <c r="G453" i="3"/>
  <c r="G452" i="3"/>
  <c r="E204" i="1" s="1"/>
  <c r="G451" i="3"/>
  <c r="G450" i="3"/>
  <c r="G449" i="3"/>
  <c r="G448" i="3"/>
  <c r="G447" i="3"/>
  <c r="E199" i="1" s="1"/>
  <c r="G446" i="3"/>
  <c r="G445" i="3"/>
  <c r="E197" i="1" s="1"/>
  <c r="G444" i="3"/>
  <c r="E196" i="1" s="1"/>
  <c r="G443" i="3"/>
  <c r="E195" i="1" s="1"/>
  <c r="G442" i="3"/>
  <c r="G441" i="3"/>
  <c r="G440" i="3"/>
  <c r="G439" i="3"/>
  <c r="G438" i="3"/>
  <c r="E188" i="1" s="1"/>
  <c r="G437" i="3"/>
  <c r="G436" i="3"/>
  <c r="E185" i="1" s="1"/>
  <c r="G435" i="3"/>
  <c r="E184" i="1" s="1"/>
  <c r="G434" i="3"/>
  <c r="G433" i="3"/>
  <c r="E182" i="1" s="1"/>
  <c r="G432" i="3"/>
  <c r="E181" i="1" s="1"/>
  <c r="G431" i="3"/>
  <c r="E180" i="1" s="1"/>
  <c r="G430" i="3"/>
  <c r="G429" i="3"/>
  <c r="G428" i="3"/>
  <c r="G427" i="3"/>
  <c r="G426" i="3"/>
  <c r="G425" i="3"/>
  <c r="G424" i="3"/>
  <c r="G423" i="3"/>
  <c r="G422" i="3"/>
  <c r="G421" i="3"/>
  <c r="E167" i="1" s="1"/>
  <c r="G420" i="3"/>
  <c r="E166" i="1" s="1"/>
  <c r="G419" i="3"/>
  <c r="E165" i="1" s="1"/>
  <c r="G418" i="3"/>
  <c r="G417" i="3"/>
  <c r="G416" i="3"/>
  <c r="G415" i="3"/>
  <c r="G414" i="3"/>
  <c r="E160" i="1" s="1"/>
  <c r="G413" i="3"/>
  <c r="G412" i="3"/>
  <c r="G411" i="3"/>
  <c r="G410" i="3"/>
  <c r="G409" i="3"/>
  <c r="E155" i="1" s="1"/>
  <c r="G408" i="3"/>
  <c r="E154" i="1" s="1"/>
  <c r="G407" i="3"/>
  <c r="E153" i="1" s="1"/>
  <c r="G406" i="3"/>
  <c r="G405" i="3"/>
  <c r="G404" i="3"/>
  <c r="G403" i="3"/>
  <c r="G402" i="3"/>
  <c r="E148" i="1" s="1"/>
  <c r="G401" i="3"/>
  <c r="G400" i="3"/>
  <c r="G399" i="3"/>
  <c r="G398" i="3"/>
  <c r="G397" i="3"/>
  <c r="E143" i="1" s="1"/>
  <c r="G396" i="3"/>
  <c r="E142" i="1" s="1"/>
  <c r="G395" i="3"/>
  <c r="E141" i="1" s="1"/>
  <c r="G394" i="3"/>
  <c r="G393" i="3"/>
  <c r="G392" i="3"/>
  <c r="E138" i="1" s="1"/>
  <c r="G391" i="3"/>
  <c r="G390" i="3"/>
  <c r="E136" i="1" s="1"/>
  <c r="G389" i="3"/>
  <c r="G388" i="3"/>
  <c r="G387" i="3"/>
  <c r="G386" i="3"/>
  <c r="G385" i="3"/>
  <c r="E131" i="1" s="1"/>
  <c r="G384" i="3"/>
  <c r="E127" i="1" s="1"/>
  <c r="G383" i="3"/>
  <c r="E126" i="1" s="1"/>
  <c r="G382" i="3"/>
  <c r="G381" i="3"/>
  <c r="G380" i="3"/>
  <c r="E122" i="1" s="1"/>
  <c r="G379" i="3"/>
  <c r="G378" i="3"/>
  <c r="G377" i="3"/>
  <c r="G376" i="3"/>
  <c r="G375" i="3"/>
  <c r="E117" i="1" s="1"/>
  <c r="G374" i="3"/>
  <c r="G373" i="3"/>
  <c r="E115" i="1" s="1"/>
  <c r="G372" i="3"/>
  <c r="E114" i="1" s="1"/>
  <c r="G371" i="3"/>
  <c r="E113" i="1" s="1"/>
  <c r="G370" i="3"/>
  <c r="G369" i="3"/>
  <c r="G368" i="3"/>
  <c r="G367" i="3"/>
  <c r="G366" i="3"/>
  <c r="E108" i="1" s="1"/>
  <c r="G365" i="3"/>
  <c r="G364" i="3"/>
  <c r="G363" i="3"/>
  <c r="E105" i="1" s="1"/>
  <c r="G362" i="3"/>
  <c r="G361" i="3"/>
  <c r="E102" i="1" s="1"/>
  <c r="G360" i="3"/>
  <c r="E101" i="1" s="1"/>
  <c r="G359" i="3"/>
  <c r="E100" i="1" s="1"/>
  <c r="G358" i="3"/>
  <c r="G357" i="3"/>
  <c r="G356" i="3"/>
  <c r="G355" i="3"/>
  <c r="G354" i="3"/>
  <c r="E93" i="1" s="1"/>
  <c r="G353" i="3"/>
  <c r="G352" i="3"/>
  <c r="G351" i="3"/>
  <c r="E14" i="2" s="1"/>
  <c r="G350" i="3"/>
  <c r="G349" i="3"/>
  <c r="E88" i="1" s="1"/>
  <c r="G348" i="3"/>
  <c r="E87" i="1" s="1"/>
  <c r="G347" i="3"/>
  <c r="E86" i="1" s="1"/>
  <c r="G346" i="3"/>
  <c r="G345" i="3"/>
  <c r="G344" i="3"/>
  <c r="E83" i="1" s="1"/>
  <c r="G343" i="3"/>
  <c r="G342" i="3"/>
  <c r="E81" i="1" s="1"/>
  <c r="G341" i="3"/>
  <c r="G340" i="3"/>
  <c r="G339" i="3"/>
  <c r="G338" i="3"/>
  <c r="E11" i="2" s="1"/>
  <c r="G337" i="3"/>
  <c r="E76" i="1" s="1"/>
  <c r="G336" i="3"/>
  <c r="G335" i="3"/>
  <c r="E74" i="1" s="1"/>
  <c r="G334" i="3"/>
  <c r="G333" i="3"/>
  <c r="G332" i="3"/>
  <c r="E71" i="1" s="1"/>
  <c r="G331" i="3"/>
  <c r="G330" i="3"/>
  <c r="E69" i="1" s="1"/>
  <c r="G329" i="3"/>
  <c r="G328" i="3"/>
  <c r="G327" i="3"/>
  <c r="G326" i="3"/>
  <c r="G325" i="3"/>
  <c r="E63" i="1" s="1"/>
  <c r="G324" i="3"/>
  <c r="E62" i="1" s="1"/>
  <c r="G323" i="3"/>
  <c r="E61" i="1" s="1"/>
  <c r="G322" i="3"/>
  <c r="G321" i="3"/>
  <c r="G320" i="3"/>
  <c r="E58" i="1" s="1"/>
  <c r="G319" i="3"/>
  <c r="G318" i="3"/>
  <c r="E56" i="1" s="1"/>
  <c r="G317" i="3"/>
  <c r="G316" i="3"/>
  <c r="G315" i="3"/>
  <c r="G314" i="3"/>
  <c r="G313" i="3"/>
  <c r="E51" i="1" s="1"/>
  <c r="G312" i="3"/>
  <c r="G311" i="3"/>
  <c r="E48" i="1" s="1"/>
  <c r="G310" i="3"/>
  <c r="G309" i="3"/>
  <c r="G308" i="3"/>
  <c r="G307" i="3"/>
  <c r="G306" i="3"/>
  <c r="E43" i="1" s="1"/>
  <c r="G305" i="3"/>
  <c r="G304" i="3"/>
  <c r="G303" i="3"/>
  <c r="E40" i="1" s="1"/>
  <c r="G302" i="3"/>
  <c r="G301" i="3"/>
  <c r="G300" i="3"/>
  <c r="E37" i="1" s="1"/>
  <c r="G299" i="3"/>
  <c r="E36" i="1" s="1"/>
  <c r="S36" i="1" s="1"/>
  <c r="G298" i="3"/>
  <c r="G297" i="3"/>
  <c r="G296" i="3"/>
  <c r="G295" i="3"/>
  <c r="G294" i="3"/>
  <c r="E31" i="1" s="1"/>
  <c r="G293" i="3"/>
  <c r="G292" i="3"/>
  <c r="G291" i="3"/>
  <c r="G290" i="3"/>
  <c r="G289" i="3"/>
  <c r="E26" i="1" s="1"/>
  <c r="G288" i="3"/>
  <c r="E25" i="1" s="1"/>
  <c r="G287" i="3"/>
  <c r="E24" i="1" s="1"/>
  <c r="G286" i="3"/>
  <c r="G285" i="3"/>
  <c r="G284" i="3"/>
  <c r="G283" i="3"/>
  <c r="G282" i="3"/>
  <c r="E19" i="1" s="1"/>
  <c r="G281" i="3"/>
  <c r="G280" i="3"/>
  <c r="G279" i="3"/>
  <c r="G278" i="3"/>
  <c r="G277" i="3"/>
  <c r="E14" i="1" s="1"/>
  <c r="G276" i="3"/>
  <c r="E13" i="1" s="1"/>
  <c r="G275" i="3"/>
  <c r="E12" i="1" s="1"/>
  <c r="G274" i="3"/>
  <c r="G273" i="3"/>
  <c r="G272" i="3"/>
  <c r="G271" i="3"/>
  <c r="G270" i="3"/>
  <c r="E7" i="1" s="1"/>
  <c r="G269" i="3"/>
  <c r="G268" i="3"/>
  <c r="D283" i="1" s="1"/>
  <c r="G267" i="3"/>
  <c r="D282" i="1" s="1"/>
  <c r="G266" i="3"/>
  <c r="G265" i="3"/>
  <c r="D280" i="1" s="1"/>
  <c r="G264" i="3"/>
  <c r="D279" i="1" s="1"/>
  <c r="G263" i="3"/>
  <c r="D278" i="1" s="1"/>
  <c r="G262" i="3"/>
  <c r="D277" i="1" s="1"/>
  <c r="G261" i="3"/>
  <c r="G260" i="3"/>
  <c r="G259" i="3"/>
  <c r="G258" i="3"/>
  <c r="D273" i="1" s="1"/>
  <c r="G257" i="3"/>
  <c r="G256" i="3"/>
  <c r="D271" i="1" s="1"/>
  <c r="G255" i="3"/>
  <c r="D270" i="1" s="1"/>
  <c r="G254" i="3"/>
  <c r="G253" i="3"/>
  <c r="D268" i="1" s="1"/>
  <c r="G252" i="3"/>
  <c r="D267" i="1" s="1"/>
  <c r="G251" i="3"/>
  <c r="D266" i="1" s="1"/>
  <c r="G250" i="3"/>
  <c r="D265" i="1" s="1"/>
  <c r="G249" i="3"/>
  <c r="G248" i="3"/>
  <c r="G247" i="3"/>
  <c r="G246" i="3"/>
  <c r="D261" i="1" s="1"/>
  <c r="G245" i="3"/>
  <c r="G244" i="3"/>
  <c r="D259" i="1" s="1"/>
  <c r="G243" i="3"/>
  <c r="D258" i="1" s="1"/>
  <c r="G242" i="3"/>
  <c r="G241" i="3"/>
  <c r="D256" i="1" s="1"/>
  <c r="G240" i="3"/>
  <c r="D255" i="1" s="1"/>
  <c r="G239" i="3"/>
  <c r="D254" i="1" s="1"/>
  <c r="G238" i="3"/>
  <c r="G237" i="3"/>
  <c r="G236" i="3"/>
  <c r="G235" i="3"/>
  <c r="G234" i="3"/>
  <c r="D249" i="1" s="1"/>
  <c r="G233" i="3"/>
  <c r="G232" i="3"/>
  <c r="D247" i="1" s="1"/>
  <c r="G231" i="3"/>
  <c r="D246" i="1" s="1"/>
  <c r="G230" i="3"/>
  <c r="G229" i="3"/>
  <c r="D244" i="1" s="1"/>
  <c r="R244" i="1" s="1"/>
  <c r="G228" i="3"/>
  <c r="D243" i="1" s="1"/>
  <c r="G227" i="3"/>
  <c r="D242" i="1" s="1"/>
  <c r="G226" i="3"/>
  <c r="G225" i="3"/>
  <c r="G224" i="3"/>
  <c r="G223" i="3"/>
  <c r="G222" i="3"/>
  <c r="D237" i="1" s="1"/>
  <c r="G221" i="3"/>
  <c r="G220" i="3"/>
  <c r="G219" i="3"/>
  <c r="G218" i="3"/>
  <c r="D20" i="2" s="1"/>
  <c r="G217" i="3"/>
  <c r="D232" i="1" s="1"/>
  <c r="G216" i="3"/>
  <c r="D231" i="1" s="1"/>
  <c r="G215" i="3"/>
  <c r="D230" i="1" s="1"/>
  <c r="G214" i="3"/>
  <c r="G213" i="3"/>
  <c r="G212" i="3"/>
  <c r="D227" i="1" s="1"/>
  <c r="G211" i="3"/>
  <c r="G210" i="3"/>
  <c r="D225" i="1" s="1"/>
  <c r="G209" i="3"/>
  <c r="G208" i="3"/>
  <c r="G207" i="3"/>
  <c r="G206" i="3"/>
  <c r="G205" i="3"/>
  <c r="D220" i="1" s="1"/>
  <c r="G204" i="3"/>
  <c r="D219" i="1" s="1"/>
  <c r="G203" i="3"/>
  <c r="D218" i="1" s="1"/>
  <c r="G202" i="3"/>
  <c r="G201" i="3"/>
  <c r="G200" i="3"/>
  <c r="D215" i="1" s="1"/>
  <c r="G199" i="3"/>
  <c r="G198" i="3"/>
  <c r="D213" i="1" s="1"/>
  <c r="G197" i="3"/>
  <c r="G196" i="3"/>
  <c r="G195" i="3"/>
  <c r="G194" i="3"/>
  <c r="G193" i="3"/>
  <c r="D208" i="1" s="1"/>
  <c r="G192" i="3"/>
  <c r="D207" i="1" s="1"/>
  <c r="G191" i="3"/>
  <c r="D206" i="1" s="1"/>
  <c r="G190" i="3"/>
  <c r="G189" i="3"/>
  <c r="G188" i="3"/>
  <c r="D203" i="1" s="1"/>
  <c r="G187" i="3"/>
  <c r="G186" i="3"/>
  <c r="G185" i="3"/>
  <c r="G184" i="3"/>
  <c r="G183" i="3"/>
  <c r="G182" i="3"/>
  <c r="G181" i="3"/>
  <c r="D196" i="1" s="1"/>
  <c r="G180" i="3"/>
  <c r="D195" i="1" s="1"/>
  <c r="G179" i="3"/>
  <c r="D194" i="1" s="1"/>
  <c r="G178" i="3"/>
  <c r="G177" i="3"/>
  <c r="G176" i="3"/>
  <c r="D191" i="1" s="1"/>
  <c r="G175" i="3"/>
  <c r="G174" i="3"/>
  <c r="D187" i="1" s="1"/>
  <c r="G173" i="3"/>
  <c r="G172" i="3"/>
  <c r="G171" i="3"/>
  <c r="D184" i="1" s="1"/>
  <c r="G170" i="3"/>
  <c r="G169" i="3"/>
  <c r="D182" i="1" s="1"/>
  <c r="G168" i="3"/>
  <c r="G167" i="3"/>
  <c r="D179" i="1" s="1"/>
  <c r="S179" i="1" s="1"/>
  <c r="G166" i="3"/>
  <c r="G165" i="3"/>
  <c r="G164" i="3"/>
  <c r="D176" i="1" s="1"/>
  <c r="G163" i="3"/>
  <c r="G162" i="3"/>
  <c r="G161" i="3"/>
  <c r="G160" i="3"/>
  <c r="G159" i="3"/>
  <c r="G158" i="3"/>
  <c r="G157" i="3"/>
  <c r="D167" i="1" s="1"/>
  <c r="G156" i="3"/>
  <c r="D166" i="1" s="1"/>
  <c r="G155" i="3"/>
  <c r="D165" i="1" s="1"/>
  <c r="G154" i="3"/>
  <c r="G153" i="3"/>
  <c r="G152" i="3"/>
  <c r="G151" i="3"/>
  <c r="G150" i="3"/>
  <c r="D160" i="1" s="1"/>
  <c r="G149" i="3"/>
  <c r="G148" i="3"/>
  <c r="D16" i="2" s="1"/>
  <c r="G147" i="3"/>
  <c r="G146" i="3"/>
  <c r="G145" i="3"/>
  <c r="D155" i="1" s="1"/>
  <c r="G144" i="3"/>
  <c r="D154" i="1" s="1"/>
  <c r="G143" i="3"/>
  <c r="D153" i="1" s="1"/>
  <c r="G142" i="3"/>
  <c r="G141" i="3"/>
  <c r="G140" i="3"/>
  <c r="G139" i="3"/>
  <c r="G138" i="3"/>
  <c r="D148" i="1" s="1"/>
  <c r="G137" i="3"/>
  <c r="G136" i="3"/>
  <c r="G135" i="3"/>
  <c r="G134" i="3"/>
  <c r="G133" i="3"/>
  <c r="D143" i="1" s="1"/>
  <c r="G132" i="3"/>
  <c r="D142" i="1" s="1"/>
  <c r="G131" i="3"/>
  <c r="D141" i="1" s="1"/>
  <c r="G130" i="3"/>
  <c r="G129" i="3"/>
  <c r="G128" i="3"/>
  <c r="G127" i="3"/>
  <c r="G126" i="3"/>
  <c r="D136" i="1" s="1"/>
  <c r="G125" i="3"/>
  <c r="G124" i="3"/>
  <c r="G123" i="3"/>
  <c r="D133" i="1" s="1"/>
  <c r="G122" i="3"/>
  <c r="G121" i="3"/>
  <c r="D131" i="1" s="1"/>
  <c r="G120" i="3"/>
  <c r="D127" i="1" s="1"/>
  <c r="S127" i="1" s="1"/>
  <c r="G119" i="3"/>
  <c r="D126" i="1" s="1"/>
  <c r="G118" i="3"/>
  <c r="G117" i="3"/>
  <c r="G116" i="3"/>
  <c r="D122" i="1" s="1"/>
  <c r="G115" i="3"/>
  <c r="G114" i="3"/>
  <c r="D120" i="1" s="1"/>
  <c r="G113" i="3"/>
  <c r="G112" i="3"/>
  <c r="G111" i="3"/>
  <c r="D117" i="1" s="1"/>
  <c r="G110" i="3"/>
  <c r="G109" i="3"/>
  <c r="D115" i="1" s="1"/>
  <c r="G108" i="3"/>
  <c r="D114" i="1" s="1"/>
  <c r="G107" i="3"/>
  <c r="D113" i="1" s="1"/>
  <c r="G106" i="3"/>
  <c r="G105" i="3"/>
  <c r="G104" i="3"/>
  <c r="G103" i="3"/>
  <c r="G102" i="3"/>
  <c r="D108" i="1" s="1"/>
  <c r="G101" i="3"/>
  <c r="G100" i="3"/>
  <c r="G99" i="3"/>
  <c r="G98" i="3"/>
  <c r="G97" i="3"/>
  <c r="D102" i="1" s="1"/>
  <c r="S102" i="1" s="1"/>
  <c r="G96" i="3"/>
  <c r="D101" i="1" s="1"/>
  <c r="G95" i="3"/>
  <c r="D100" i="1" s="1"/>
  <c r="S100" i="1" s="1"/>
  <c r="G94" i="3"/>
  <c r="G93" i="3"/>
  <c r="G92" i="3"/>
  <c r="D97" i="1" s="1"/>
  <c r="G91" i="3"/>
  <c r="G90" i="3"/>
  <c r="D93" i="1" s="1"/>
  <c r="R93" i="1" s="1"/>
  <c r="G89" i="3"/>
  <c r="G88" i="3"/>
  <c r="G87" i="3"/>
  <c r="D14" i="2" s="1"/>
  <c r="G86" i="3"/>
  <c r="G85" i="3"/>
  <c r="D87" i="1" s="1"/>
  <c r="G84" i="3"/>
  <c r="D86" i="1" s="1"/>
  <c r="G83" i="3"/>
  <c r="D85" i="1" s="1"/>
  <c r="G82" i="3"/>
  <c r="G81" i="3"/>
  <c r="G80" i="3"/>
  <c r="D82" i="1" s="1"/>
  <c r="G79" i="3"/>
  <c r="G78" i="3"/>
  <c r="D80" i="1" s="1"/>
  <c r="G77" i="3"/>
  <c r="G76" i="3"/>
  <c r="G75" i="3"/>
  <c r="D11" i="2" s="1"/>
  <c r="G74" i="3"/>
  <c r="G73" i="3"/>
  <c r="D75" i="1" s="1"/>
  <c r="G72" i="3"/>
  <c r="D74" i="1" s="1"/>
  <c r="G71" i="3"/>
  <c r="D73" i="1" s="1"/>
  <c r="G70" i="3"/>
  <c r="G69" i="3"/>
  <c r="G68" i="3"/>
  <c r="D70" i="1" s="1"/>
  <c r="G67" i="3"/>
  <c r="G66" i="3"/>
  <c r="G65" i="3"/>
  <c r="G64" i="3"/>
  <c r="G63" i="3"/>
  <c r="G62" i="3"/>
  <c r="G61" i="3"/>
  <c r="D62" i="1" s="1"/>
  <c r="G60" i="3"/>
  <c r="D61" i="1" s="1"/>
  <c r="G59" i="3"/>
  <c r="D60" i="1" s="1"/>
  <c r="G58" i="3"/>
  <c r="G57" i="3"/>
  <c r="G56" i="3"/>
  <c r="G55" i="3"/>
  <c r="G54" i="3"/>
  <c r="G53" i="3"/>
  <c r="G52" i="3"/>
  <c r="G51" i="3"/>
  <c r="G50" i="3"/>
  <c r="G49" i="3"/>
  <c r="D8" i="2" s="1"/>
  <c r="G48" i="3"/>
  <c r="G47" i="3"/>
  <c r="D47" i="1" s="1"/>
  <c r="G46" i="3"/>
  <c r="G45" i="3"/>
  <c r="G44" i="3"/>
  <c r="D44" i="1" s="1"/>
  <c r="G43" i="3"/>
  <c r="G42" i="3"/>
  <c r="G41" i="3"/>
  <c r="G40" i="3"/>
  <c r="G39" i="3"/>
  <c r="G38" i="3"/>
  <c r="G37" i="3"/>
  <c r="D37" i="1" s="1"/>
  <c r="G36" i="3"/>
  <c r="G35" i="3"/>
  <c r="D35" i="1" s="1"/>
  <c r="G34" i="3"/>
  <c r="G33" i="3"/>
  <c r="G32" i="3"/>
  <c r="D7" i="2" s="1"/>
  <c r="G31" i="3"/>
  <c r="G30" i="3"/>
  <c r="D30" i="1" s="1"/>
  <c r="G29" i="3"/>
  <c r="G28" i="3"/>
  <c r="G27" i="3"/>
  <c r="G26" i="3"/>
  <c r="G25" i="3"/>
  <c r="D25" i="1" s="1"/>
  <c r="G24" i="3"/>
  <c r="D24" i="1" s="1"/>
  <c r="G23" i="3"/>
  <c r="D23" i="1" s="1"/>
  <c r="G22" i="3"/>
  <c r="G21" i="3"/>
  <c r="G20" i="3"/>
  <c r="D20" i="1" s="1"/>
  <c r="G19" i="3"/>
  <c r="G18" i="3"/>
  <c r="D18" i="1" s="1"/>
  <c r="S18" i="1" s="1"/>
  <c r="G17" i="3"/>
  <c r="G16" i="3"/>
  <c r="G15" i="3"/>
  <c r="G14" i="3"/>
  <c r="G13" i="3"/>
  <c r="G12" i="3"/>
  <c r="D12" i="1" s="1"/>
  <c r="G11" i="3"/>
  <c r="D11" i="1" s="1"/>
  <c r="G10" i="3"/>
  <c r="G9" i="3"/>
  <c r="G8" i="3"/>
  <c r="D8" i="1" s="1"/>
  <c r="G7" i="3"/>
  <c r="G6" i="3"/>
  <c r="Q22" i="2"/>
  <c r="P22" i="2"/>
  <c r="O22" i="2"/>
  <c r="M22" i="2"/>
  <c r="J22" i="2"/>
  <c r="D22" i="2"/>
  <c r="Q21" i="2"/>
  <c r="P21" i="2"/>
  <c r="O21" i="2"/>
  <c r="L21" i="2"/>
  <c r="K21" i="2"/>
  <c r="J21" i="2"/>
  <c r="G21" i="2"/>
  <c r="F21" i="2"/>
  <c r="E21" i="2"/>
  <c r="P20" i="2"/>
  <c r="O20" i="2"/>
  <c r="M20" i="2"/>
  <c r="K20" i="2"/>
  <c r="J20" i="2"/>
  <c r="I20" i="2"/>
  <c r="F20" i="2"/>
  <c r="Q19" i="2"/>
  <c r="P19" i="2"/>
  <c r="O19" i="2"/>
  <c r="M19" i="2"/>
  <c r="L19" i="2"/>
  <c r="K19" i="2"/>
  <c r="J19" i="2"/>
  <c r="G19" i="2"/>
  <c r="F19" i="2"/>
  <c r="E19" i="2"/>
  <c r="D19" i="2"/>
  <c r="P18" i="2"/>
  <c r="O18" i="2"/>
  <c r="N18" i="2"/>
  <c r="M18" i="2"/>
  <c r="L18" i="2"/>
  <c r="H18" i="2"/>
  <c r="G18" i="2"/>
  <c r="E18" i="2"/>
  <c r="D18" i="2"/>
  <c r="P17" i="2"/>
  <c r="O17" i="2"/>
  <c r="N17" i="2"/>
  <c r="K17" i="2"/>
  <c r="J17" i="2"/>
  <c r="H17" i="2"/>
  <c r="Q16" i="2"/>
  <c r="O16" i="2"/>
  <c r="M16" i="2"/>
  <c r="L16" i="2"/>
  <c r="K16" i="2"/>
  <c r="J16" i="2"/>
  <c r="G16" i="2"/>
  <c r="E16" i="2"/>
  <c r="Q15" i="2"/>
  <c r="P15" i="2"/>
  <c r="M15" i="2"/>
  <c r="L15" i="2"/>
  <c r="J15" i="2"/>
  <c r="I15" i="2"/>
  <c r="E15" i="2"/>
  <c r="D15" i="2"/>
  <c r="P14" i="2"/>
  <c r="N14" i="2"/>
  <c r="M14" i="2"/>
  <c r="L14" i="2"/>
  <c r="K14" i="2"/>
  <c r="H14" i="2"/>
  <c r="G14" i="2"/>
  <c r="Q13" i="2"/>
  <c r="P13" i="2"/>
  <c r="O13" i="2"/>
  <c r="N13" i="2"/>
  <c r="K13" i="2"/>
  <c r="J13" i="2"/>
  <c r="G13" i="2"/>
  <c r="E13" i="2"/>
  <c r="Q12" i="2"/>
  <c r="P12" i="2"/>
  <c r="N12" i="2"/>
  <c r="M12" i="2"/>
  <c r="K12" i="2"/>
  <c r="H12" i="2"/>
  <c r="G12" i="2"/>
  <c r="F12" i="2"/>
  <c r="E12" i="2"/>
  <c r="D12" i="2"/>
  <c r="Q11" i="2"/>
  <c r="N11" i="2"/>
  <c r="L11" i="2"/>
  <c r="K11" i="2"/>
  <c r="J11" i="2"/>
  <c r="H11" i="2"/>
  <c r="G11" i="2"/>
  <c r="Q10" i="2"/>
  <c r="P10" i="2"/>
  <c r="O10" i="2"/>
  <c r="N10" i="2"/>
  <c r="M10" i="2"/>
  <c r="K10" i="2"/>
  <c r="J10" i="2"/>
  <c r="G10" i="2"/>
  <c r="F10" i="2"/>
  <c r="E10" i="2"/>
  <c r="D10" i="2"/>
  <c r="P9" i="2"/>
  <c r="O9" i="2"/>
  <c r="N9" i="2"/>
  <c r="M9" i="2"/>
  <c r="J9" i="2"/>
  <c r="I9" i="2"/>
  <c r="H9" i="2"/>
  <c r="E9" i="2"/>
  <c r="D9" i="2"/>
  <c r="Q8" i="2"/>
  <c r="O8" i="2"/>
  <c r="L8" i="2"/>
  <c r="K8" i="2"/>
  <c r="J8" i="2"/>
  <c r="I8" i="2"/>
  <c r="G8" i="2"/>
  <c r="Q7" i="2"/>
  <c r="P7" i="2"/>
  <c r="O7" i="2"/>
  <c r="N7" i="2"/>
  <c r="K7" i="2"/>
  <c r="J7" i="2"/>
  <c r="I7" i="2"/>
  <c r="G7" i="2"/>
  <c r="E7" i="2"/>
  <c r="Q6" i="2"/>
  <c r="P6" i="2"/>
  <c r="O6" i="2"/>
  <c r="M6" i="2"/>
  <c r="K6" i="2"/>
  <c r="J6" i="2"/>
  <c r="I6" i="2"/>
  <c r="G6" i="2"/>
  <c r="E6" i="2"/>
  <c r="Q283" i="1"/>
  <c r="O283" i="1"/>
  <c r="N283" i="1"/>
  <c r="M283" i="1"/>
  <c r="L283" i="1"/>
  <c r="I283" i="1"/>
  <c r="H283" i="1"/>
  <c r="G283" i="1"/>
  <c r="F283" i="1"/>
  <c r="Q282" i="1"/>
  <c r="P282" i="1"/>
  <c r="O282" i="1"/>
  <c r="M282" i="1"/>
  <c r="L282" i="1"/>
  <c r="K282" i="1"/>
  <c r="J282" i="1"/>
  <c r="I282" i="1"/>
  <c r="G282" i="1"/>
  <c r="F282" i="1"/>
  <c r="S282" i="1" s="1"/>
  <c r="E282" i="1"/>
  <c r="Q281" i="1"/>
  <c r="P281" i="1"/>
  <c r="O281" i="1"/>
  <c r="M281" i="1"/>
  <c r="K281" i="1"/>
  <c r="J281" i="1"/>
  <c r="I281" i="1"/>
  <c r="F281" i="1"/>
  <c r="D281" i="1"/>
  <c r="Q280" i="1"/>
  <c r="O280" i="1"/>
  <c r="N280" i="1"/>
  <c r="M280" i="1"/>
  <c r="L280" i="1"/>
  <c r="K280" i="1"/>
  <c r="I280" i="1"/>
  <c r="G280" i="1"/>
  <c r="Q279" i="1"/>
  <c r="P279" i="1"/>
  <c r="N279" i="1"/>
  <c r="K279" i="1"/>
  <c r="J279" i="1"/>
  <c r="F279" i="1"/>
  <c r="Q278" i="1"/>
  <c r="O278" i="1"/>
  <c r="N278" i="1"/>
  <c r="M278" i="1"/>
  <c r="H278" i="1"/>
  <c r="G278" i="1"/>
  <c r="E278" i="1"/>
  <c r="Q277" i="1"/>
  <c r="O277" i="1"/>
  <c r="L277" i="1"/>
  <c r="K277" i="1"/>
  <c r="I277" i="1"/>
  <c r="H277" i="1"/>
  <c r="G277" i="1"/>
  <c r="E277" i="1"/>
  <c r="Q276" i="1"/>
  <c r="P276" i="1"/>
  <c r="O276" i="1"/>
  <c r="N276" i="1"/>
  <c r="M276" i="1"/>
  <c r="I276" i="1"/>
  <c r="H276" i="1"/>
  <c r="G276" i="1"/>
  <c r="D276" i="1"/>
  <c r="Q275" i="1"/>
  <c r="P275" i="1"/>
  <c r="O275" i="1"/>
  <c r="M275" i="1"/>
  <c r="J275" i="1"/>
  <c r="I275" i="1"/>
  <c r="F275" i="1"/>
  <c r="E275" i="1"/>
  <c r="D275" i="1"/>
  <c r="O274" i="1"/>
  <c r="N274" i="1"/>
  <c r="M274" i="1"/>
  <c r="J274" i="1"/>
  <c r="I274" i="1"/>
  <c r="H274" i="1"/>
  <c r="F274" i="1"/>
  <c r="D274" i="1"/>
  <c r="P273" i="1"/>
  <c r="N273" i="1"/>
  <c r="M273" i="1"/>
  <c r="K273" i="1"/>
  <c r="G273" i="1"/>
  <c r="E273" i="1"/>
  <c r="Q272" i="1"/>
  <c r="P272" i="1"/>
  <c r="O272" i="1"/>
  <c r="N272" i="1"/>
  <c r="K272" i="1"/>
  <c r="J272" i="1"/>
  <c r="I272" i="1"/>
  <c r="H272" i="1"/>
  <c r="F272" i="1"/>
  <c r="D272" i="1"/>
  <c r="Q271" i="1"/>
  <c r="O271" i="1"/>
  <c r="N271" i="1"/>
  <c r="L271" i="1"/>
  <c r="J271" i="1"/>
  <c r="I271" i="1"/>
  <c r="H271" i="1"/>
  <c r="G271" i="1"/>
  <c r="F271" i="1"/>
  <c r="Q270" i="1"/>
  <c r="P270" i="1"/>
  <c r="O270" i="1"/>
  <c r="M270" i="1"/>
  <c r="L270" i="1"/>
  <c r="K270" i="1"/>
  <c r="J270" i="1"/>
  <c r="I270" i="1"/>
  <c r="G270" i="1"/>
  <c r="F270" i="1"/>
  <c r="Q269" i="1"/>
  <c r="P269" i="1"/>
  <c r="O269" i="1"/>
  <c r="M269" i="1"/>
  <c r="K269" i="1"/>
  <c r="J269" i="1"/>
  <c r="I269" i="1"/>
  <c r="G269" i="1"/>
  <c r="F269" i="1"/>
  <c r="D269" i="1"/>
  <c r="Q268" i="1"/>
  <c r="N268" i="1"/>
  <c r="M268" i="1"/>
  <c r="L268" i="1"/>
  <c r="K268" i="1"/>
  <c r="J268" i="1"/>
  <c r="G268" i="1"/>
  <c r="F268" i="1"/>
  <c r="P267" i="1"/>
  <c r="N267" i="1"/>
  <c r="M267" i="1"/>
  <c r="K267" i="1"/>
  <c r="J267" i="1"/>
  <c r="I267" i="1"/>
  <c r="G267" i="1"/>
  <c r="Q266" i="1"/>
  <c r="O266" i="1"/>
  <c r="N266" i="1"/>
  <c r="M266" i="1"/>
  <c r="K266" i="1"/>
  <c r="H266" i="1"/>
  <c r="G266" i="1"/>
  <c r="E266" i="1"/>
  <c r="Q265" i="1"/>
  <c r="O265" i="1"/>
  <c r="N265" i="1"/>
  <c r="L265" i="1"/>
  <c r="J265" i="1"/>
  <c r="I265" i="1"/>
  <c r="H265" i="1"/>
  <c r="E265" i="1"/>
  <c r="Q264" i="1"/>
  <c r="P264" i="1"/>
  <c r="O264" i="1"/>
  <c r="N264" i="1"/>
  <c r="M264" i="1"/>
  <c r="L264" i="1"/>
  <c r="K264" i="1"/>
  <c r="I264" i="1"/>
  <c r="H264" i="1"/>
  <c r="G264" i="1"/>
  <c r="D264" i="1"/>
  <c r="Q263" i="1"/>
  <c r="P263" i="1"/>
  <c r="O263" i="1"/>
  <c r="M263" i="1"/>
  <c r="J263" i="1"/>
  <c r="I263" i="1"/>
  <c r="H263" i="1"/>
  <c r="G263" i="1"/>
  <c r="F263" i="1"/>
  <c r="E263" i="1"/>
  <c r="D263" i="1"/>
  <c r="O262" i="1"/>
  <c r="N262" i="1"/>
  <c r="M262" i="1"/>
  <c r="J262" i="1"/>
  <c r="I262" i="1"/>
  <c r="H262" i="1"/>
  <c r="F262" i="1"/>
  <c r="D262" i="1"/>
  <c r="P261" i="1"/>
  <c r="O261" i="1"/>
  <c r="N261" i="1"/>
  <c r="M261" i="1"/>
  <c r="K261" i="1"/>
  <c r="I261" i="1"/>
  <c r="E261" i="1"/>
  <c r="Q260" i="1"/>
  <c r="P260" i="1"/>
  <c r="O260" i="1"/>
  <c r="N260" i="1"/>
  <c r="K260" i="1"/>
  <c r="J260" i="1"/>
  <c r="I260" i="1"/>
  <c r="H260" i="1"/>
  <c r="F260" i="1"/>
  <c r="E260" i="1"/>
  <c r="D260" i="1"/>
  <c r="Q259" i="1"/>
  <c r="O259" i="1"/>
  <c r="N259" i="1"/>
  <c r="L259" i="1"/>
  <c r="J259" i="1"/>
  <c r="I259" i="1"/>
  <c r="H259" i="1"/>
  <c r="G259" i="1"/>
  <c r="Q258" i="1"/>
  <c r="P258" i="1"/>
  <c r="O258" i="1"/>
  <c r="M258" i="1"/>
  <c r="L258" i="1"/>
  <c r="K258" i="1"/>
  <c r="J258" i="1"/>
  <c r="G258" i="1"/>
  <c r="F258" i="1"/>
  <c r="E258" i="1"/>
  <c r="R257" i="1"/>
  <c r="Q257" i="1"/>
  <c r="P257" i="1"/>
  <c r="O257" i="1"/>
  <c r="M257" i="1"/>
  <c r="K257" i="1"/>
  <c r="J257" i="1"/>
  <c r="I257" i="1"/>
  <c r="G257" i="1"/>
  <c r="F257" i="1"/>
  <c r="D257" i="1"/>
  <c r="R256" i="1"/>
  <c r="Q256" i="1"/>
  <c r="P256" i="1"/>
  <c r="N256" i="1"/>
  <c r="M256" i="1"/>
  <c r="L256" i="1"/>
  <c r="K256" i="1"/>
  <c r="J256" i="1"/>
  <c r="G256" i="1"/>
  <c r="F256" i="1"/>
  <c r="P255" i="1"/>
  <c r="N255" i="1"/>
  <c r="M255" i="1"/>
  <c r="K255" i="1"/>
  <c r="J255" i="1"/>
  <c r="H255" i="1"/>
  <c r="G255" i="1"/>
  <c r="F255" i="1"/>
  <c r="Q254" i="1"/>
  <c r="O254" i="1"/>
  <c r="N254" i="1"/>
  <c r="M254" i="1"/>
  <c r="L254" i="1"/>
  <c r="K254" i="1"/>
  <c r="H254" i="1"/>
  <c r="G254" i="1"/>
  <c r="E254" i="1"/>
  <c r="Q253" i="1"/>
  <c r="O253" i="1"/>
  <c r="N253" i="1"/>
  <c r="M253" i="1"/>
  <c r="L253" i="1"/>
  <c r="K253" i="1"/>
  <c r="I253" i="1"/>
  <c r="G253" i="1"/>
  <c r="F253" i="1"/>
  <c r="E253" i="1"/>
  <c r="D253" i="1"/>
  <c r="Q252" i="1"/>
  <c r="P252" i="1"/>
  <c r="O252" i="1"/>
  <c r="N252" i="1"/>
  <c r="M252" i="1"/>
  <c r="L252" i="1"/>
  <c r="I252" i="1"/>
  <c r="H252" i="1"/>
  <c r="G252" i="1"/>
  <c r="E252" i="1"/>
  <c r="D252" i="1"/>
  <c r="Q251" i="1"/>
  <c r="P251" i="1"/>
  <c r="O251" i="1"/>
  <c r="N251" i="1"/>
  <c r="M251" i="1"/>
  <c r="L251" i="1"/>
  <c r="J251" i="1"/>
  <c r="I251" i="1"/>
  <c r="G251" i="1"/>
  <c r="F251" i="1"/>
  <c r="E251" i="1"/>
  <c r="D251" i="1"/>
  <c r="P250" i="1"/>
  <c r="O250" i="1"/>
  <c r="N250" i="1"/>
  <c r="M250" i="1"/>
  <c r="J250" i="1"/>
  <c r="I250" i="1"/>
  <c r="H250" i="1"/>
  <c r="F250" i="1"/>
  <c r="D250" i="1"/>
  <c r="O249" i="1"/>
  <c r="N249" i="1"/>
  <c r="M249" i="1"/>
  <c r="K249" i="1"/>
  <c r="F249" i="1"/>
  <c r="E249" i="1"/>
  <c r="Q248" i="1"/>
  <c r="P248" i="1"/>
  <c r="O248" i="1"/>
  <c r="N248" i="1"/>
  <c r="K248" i="1"/>
  <c r="J248" i="1"/>
  <c r="I248" i="1"/>
  <c r="F248" i="1"/>
  <c r="D248" i="1"/>
  <c r="Q247" i="1"/>
  <c r="O247" i="1"/>
  <c r="N247" i="1"/>
  <c r="M247" i="1"/>
  <c r="L247" i="1"/>
  <c r="I247" i="1"/>
  <c r="H247" i="1"/>
  <c r="G247" i="1"/>
  <c r="F247" i="1"/>
  <c r="Q246" i="1"/>
  <c r="P246" i="1"/>
  <c r="O246" i="1"/>
  <c r="M246" i="1"/>
  <c r="L246" i="1"/>
  <c r="K246" i="1"/>
  <c r="J246" i="1"/>
  <c r="G246" i="1"/>
  <c r="F246" i="1"/>
  <c r="E246" i="1"/>
  <c r="Q245" i="1"/>
  <c r="P245" i="1"/>
  <c r="O245" i="1"/>
  <c r="M245" i="1"/>
  <c r="K245" i="1"/>
  <c r="J245" i="1"/>
  <c r="I245" i="1"/>
  <c r="G245" i="1"/>
  <c r="F245" i="1"/>
  <c r="D245" i="1"/>
  <c r="S244" i="1"/>
  <c r="Q244" i="1"/>
  <c r="P244" i="1"/>
  <c r="N244" i="1"/>
  <c r="M244" i="1"/>
  <c r="L244" i="1"/>
  <c r="K244" i="1"/>
  <c r="J244" i="1"/>
  <c r="G244" i="1"/>
  <c r="F244" i="1"/>
  <c r="S243" i="1"/>
  <c r="P243" i="1"/>
  <c r="N243" i="1"/>
  <c r="M243" i="1"/>
  <c r="K243" i="1"/>
  <c r="J243" i="1"/>
  <c r="H243" i="1"/>
  <c r="G243" i="1"/>
  <c r="F243" i="1"/>
  <c r="Q242" i="1"/>
  <c r="O242" i="1"/>
  <c r="N242" i="1"/>
  <c r="M242" i="1"/>
  <c r="L242" i="1"/>
  <c r="K242" i="1"/>
  <c r="H242" i="1"/>
  <c r="G242" i="1"/>
  <c r="E242" i="1"/>
  <c r="Q241" i="1"/>
  <c r="O241" i="1"/>
  <c r="N241" i="1"/>
  <c r="M241" i="1"/>
  <c r="L241" i="1"/>
  <c r="K241" i="1"/>
  <c r="I241" i="1"/>
  <c r="G241" i="1"/>
  <c r="E241" i="1"/>
  <c r="D241" i="1"/>
  <c r="Q240" i="1"/>
  <c r="P240" i="1"/>
  <c r="O240" i="1"/>
  <c r="N240" i="1"/>
  <c r="M240" i="1"/>
  <c r="L240" i="1"/>
  <c r="J240" i="1"/>
  <c r="I240" i="1"/>
  <c r="H240" i="1"/>
  <c r="G240" i="1"/>
  <c r="E240" i="1"/>
  <c r="D240" i="1"/>
  <c r="Q239" i="1"/>
  <c r="P239" i="1"/>
  <c r="O239" i="1"/>
  <c r="N239" i="1"/>
  <c r="M239" i="1"/>
  <c r="L239" i="1"/>
  <c r="K239" i="1"/>
  <c r="J239" i="1"/>
  <c r="I239" i="1"/>
  <c r="G239" i="1"/>
  <c r="F239" i="1"/>
  <c r="E239" i="1"/>
  <c r="D239" i="1"/>
  <c r="O238" i="1"/>
  <c r="N238" i="1"/>
  <c r="M238" i="1"/>
  <c r="L238" i="1"/>
  <c r="J238" i="1"/>
  <c r="I238" i="1"/>
  <c r="H238" i="1"/>
  <c r="F238" i="1"/>
  <c r="D238" i="1"/>
  <c r="Q237" i="1"/>
  <c r="P237" i="1"/>
  <c r="O237" i="1"/>
  <c r="N237" i="1"/>
  <c r="M237" i="1"/>
  <c r="K237" i="1"/>
  <c r="H237" i="1"/>
  <c r="E237" i="1"/>
  <c r="S236" i="1"/>
  <c r="P236" i="1"/>
  <c r="O236" i="1"/>
  <c r="N236" i="1"/>
  <c r="K236" i="1"/>
  <c r="J236" i="1"/>
  <c r="I236" i="1"/>
  <c r="F236" i="1"/>
  <c r="E236" i="1"/>
  <c r="D236" i="1"/>
  <c r="Q235" i="1"/>
  <c r="P235" i="1"/>
  <c r="O235" i="1"/>
  <c r="N235" i="1"/>
  <c r="L235" i="1"/>
  <c r="K235" i="1"/>
  <c r="I235" i="1"/>
  <c r="H235" i="1"/>
  <c r="G235" i="1"/>
  <c r="F235" i="1"/>
  <c r="E235" i="1"/>
  <c r="D235" i="1"/>
  <c r="R235" i="1" s="1"/>
  <c r="Q234" i="1"/>
  <c r="O234" i="1"/>
  <c r="M234" i="1"/>
  <c r="L234" i="1"/>
  <c r="K234" i="1"/>
  <c r="J234" i="1"/>
  <c r="I234" i="1"/>
  <c r="G234" i="1"/>
  <c r="F234" i="1"/>
  <c r="E234" i="1"/>
  <c r="D234" i="1"/>
  <c r="Q233" i="1"/>
  <c r="P233" i="1"/>
  <c r="O233" i="1"/>
  <c r="M233" i="1"/>
  <c r="L233" i="1"/>
  <c r="J233" i="1"/>
  <c r="I233" i="1"/>
  <c r="G233" i="1"/>
  <c r="D233" i="1"/>
  <c r="Q232" i="1"/>
  <c r="P232" i="1"/>
  <c r="N232" i="1"/>
  <c r="M232" i="1"/>
  <c r="L232" i="1"/>
  <c r="K232" i="1"/>
  <c r="G232" i="1"/>
  <c r="Q231" i="1"/>
  <c r="P231" i="1"/>
  <c r="N231" i="1"/>
  <c r="M231" i="1"/>
  <c r="L231" i="1"/>
  <c r="K231" i="1"/>
  <c r="J231" i="1"/>
  <c r="H231" i="1"/>
  <c r="Q230" i="1"/>
  <c r="P230" i="1"/>
  <c r="O230" i="1"/>
  <c r="N230" i="1"/>
  <c r="M230" i="1"/>
  <c r="L230" i="1"/>
  <c r="H230" i="1"/>
  <c r="G230" i="1"/>
  <c r="E230" i="1"/>
  <c r="R229" i="1"/>
  <c r="Q229" i="1"/>
  <c r="O229" i="1"/>
  <c r="M229" i="1"/>
  <c r="L229" i="1"/>
  <c r="K229" i="1"/>
  <c r="I229" i="1"/>
  <c r="G229" i="1"/>
  <c r="E229" i="1"/>
  <c r="D229" i="1"/>
  <c r="Q228" i="1"/>
  <c r="O228" i="1"/>
  <c r="N228" i="1"/>
  <c r="M228" i="1"/>
  <c r="L228" i="1"/>
  <c r="I228" i="1"/>
  <c r="H228" i="1"/>
  <c r="D228" i="1"/>
  <c r="Q227" i="1"/>
  <c r="P227" i="1"/>
  <c r="O227" i="1"/>
  <c r="N227" i="1"/>
  <c r="M227" i="1"/>
  <c r="L227" i="1"/>
  <c r="J227" i="1"/>
  <c r="G227" i="1"/>
  <c r="F227" i="1"/>
  <c r="E227" i="1"/>
  <c r="S227" i="1" s="1"/>
  <c r="Q226" i="1"/>
  <c r="P226" i="1"/>
  <c r="O226" i="1"/>
  <c r="N226" i="1"/>
  <c r="M226" i="1"/>
  <c r="J226" i="1"/>
  <c r="I226" i="1"/>
  <c r="H226" i="1"/>
  <c r="F226" i="1"/>
  <c r="D226" i="1"/>
  <c r="R226" i="1" s="1"/>
  <c r="Q225" i="1"/>
  <c r="P225" i="1"/>
  <c r="N225" i="1"/>
  <c r="M225" i="1"/>
  <c r="K225" i="1"/>
  <c r="I225" i="1"/>
  <c r="H225" i="1"/>
  <c r="E225" i="1"/>
  <c r="P224" i="1"/>
  <c r="O224" i="1"/>
  <c r="N224" i="1"/>
  <c r="K224" i="1"/>
  <c r="J224" i="1"/>
  <c r="I224" i="1"/>
  <c r="H224" i="1"/>
  <c r="F224" i="1"/>
  <c r="E224" i="1"/>
  <c r="D224" i="1"/>
  <c r="Q223" i="1"/>
  <c r="P223" i="1"/>
  <c r="O223" i="1"/>
  <c r="N223" i="1"/>
  <c r="L223" i="1"/>
  <c r="K223" i="1"/>
  <c r="I223" i="1"/>
  <c r="H223" i="1"/>
  <c r="G223" i="1"/>
  <c r="D223" i="1"/>
  <c r="Q222" i="1"/>
  <c r="P222" i="1"/>
  <c r="O222" i="1"/>
  <c r="M222" i="1"/>
  <c r="L222" i="1"/>
  <c r="K222" i="1"/>
  <c r="J222" i="1"/>
  <c r="G222" i="1"/>
  <c r="F222" i="1"/>
  <c r="E222" i="1"/>
  <c r="D222" i="1"/>
  <c r="Q221" i="1"/>
  <c r="P221" i="1"/>
  <c r="O221" i="1"/>
  <c r="N221" i="1"/>
  <c r="M221" i="1"/>
  <c r="J221" i="1"/>
  <c r="I221" i="1"/>
  <c r="G221" i="1"/>
  <c r="D221" i="1"/>
  <c r="Q220" i="1"/>
  <c r="P220" i="1"/>
  <c r="N220" i="1"/>
  <c r="M220" i="1"/>
  <c r="L220" i="1"/>
  <c r="K220" i="1"/>
  <c r="G220" i="1"/>
  <c r="Q219" i="1"/>
  <c r="P219" i="1"/>
  <c r="N219" i="1"/>
  <c r="L219" i="1"/>
  <c r="K219" i="1"/>
  <c r="J219" i="1"/>
  <c r="H219" i="1"/>
  <c r="Q218" i="1"/>
  <c r="P218" i="1"/>
  <c r="O218" i="1"/>
  <c r="N218" i="1"/>
  <c r="M218" i="1"/>
  <c r="L218" i="1"/>
  <c r="H218" i="1"/>
  <c r="G218" i="1"/>
  <c r="E218" i="1"/>
  <c r="Q217" i="1"/>
  <c r="O217" i="1"/>
  <c r="M217" i="1"/>
  <c r="L217" i="1"/>
  <c r="K217" i="1"/>
  <c r="I217" i="1"/>
  <c r="G217" i="1"/>
  <c r="E217" i="1"/>
  <c r="D217" i="1"/>
  <c r="Q216" i="1"/>
  <c r="O216" i="1"/>
  <c r="N216" i="1"/>
  <c r="M216" i="1"/>
  <c r="L216" i="1"/>
  <c r="I216" i="1"/>
  <c r="H216" i="1"/>
  <c r="E216" i="1"/>
  <c r="D216" i="1"/>
  <c r="Q215" i="1"/>
  <c r="P215" i="1"/>
  <c r="O215" i="1"/>
  <c r="M215" i="1"/>
  <c r="L215" i="1"/>
  <c r="J215" i="1"/>
  <c r="I215" i="1"/>
  <c r="H215" i="1"/>
  <c r="G215" i="1"/>
  <c r="F215" i="1"/>
  <c r="E215" i="1"/>
  <c r="Q214" i="1"/>
  <c r="P214" i="1"/>
  <c r="O214" i="1"/>
  <c r="N214" i="1"/>
  <c r="M214" i="1"/>
  <c r="J214" i="1"/>
  <c r="I214" i="1"/>
  <c r="H214" i="1"/>
  <c r="F214" i="1"/>
  <c r="D214" i="1"/>
  <c r="P213" i="1"/>
  <c r="O213" i="1"/>
  <c r="N213" i="1"/>
  <c r="M213" i="1"/>
  <c r="K213" i="1"/>
  <c r="H213" i="1"/>
  <c r="E213" i="1"/>
  <c r="P212" i="1"/>
  <c r="O212" i="1"/>
  <c r="N212" i="1"/>
  <c r="K212" i="1"/>
  <c r="J212" i="1"/>
  <c r="I212" i="1"/>
  <c r="F212" i="1"/>
  <c r="E212" i="1"/>
  <c r="D212" i="1"/>
  <c r="Q211" i="1"/>
  <c r="P211" i="1"/>
  <c r="O211" i="1"/>
  <c r="N211" i="1"/>
  <c r="L211" i="1"/>
  <c r="K211" i="1"/>
  <c r="I211" i="1"/>
  <c r="H211" i="1"/>
  <c r="G211" i="1"/>
  <c r="F211" i="1"/>
  <c r="S211" i="1" s="1"/>
  <c r="E211" i="1"/>
  <c r="D211" i="1"/>
  <c r="Q210" i="1"/>
  <c r="O210" i="1"/>
  <c r="M210" i="1"/>
  <c r="L210" i="1"/>
  <c r="K210" i="1"/>
  <c r="J210" i="1"/>
  <c r="I210" i="1"/>
  <c r="G210" i="1"/>
  <c r="F210" i="1"/>
  <c r="E210" i="1"/>
  <c r="D210" i="1"/>
  <c r="Q209" i="1"/>
  <c r="P209" i="1"/>
  <c r="O209" i="1"/>
  <c r="M209" i="1"/>
  <c r="L209" i="1"/>
  <c r="J209" i="1"/>
  <c r="I209" i="1"/>
  <c r="G209" i="1"/>
  <c r="D209" i="1"/>
  <c r="Q208" i="1"/>
  <c r="P208" i="1"/>
  <c r="N208" i="1"/>
  <c r="M208" i="1"/>
  <c r="L208" i="1"/>
  <c r="K208" i="1"/>
  <c r="G208" i="1"/>
  <c r="Q207" i="1"/>
  <c r="P207" i="1"/>
  <c r="N207" i="1"/>
  <c r="M207" i="1"/>
  <c r="L207" i="1"/>
  <c r="K207" i="1"/>
  <c r="J207" i="1"/>
  <c r="H207" i="1"/>
  <c r="Q206" i="1"/>
  <c r="P206" i="1"/>
  <c r="O206" i="1"/>
  <c r="N206" i="1"/>
  <c r="M206" i="1"/>
  <c r="L206" i="1"/>
  <c r="H206" i="1"/>
  <c r="G206" i="1"/>
  <c r="E206" i="1"/>
  <c r="Q205" i="1"/>
  <c r="O205" i="1"/>
  <c r="M205" i="1"/>
  <c r="L205" i="1"/>
  <c r="K205" i="1"/>
  <c r="I205" i="1"/>
  <c r="G205" i="1"/>
  <c r="E205" i="1"/>
  <c r="D205" i="1"/>
  <c r="Q204" i="1"/>
  <c r="O204" i="1"/>
  <c r="N204" i="1"/>
  <c r="M204" i="1"/>
  <c r="L204" i="1"/>
  <c r="I204" i="1"/>
  <c r="H204" i="1"/>
  <c r="D204" i="1"/>
  <c r="Q203" i="1"/>
  <c r="P203" i="1"/>
  <c r="O203" i="1"/>
  <c r="N203" i="1"/>
  <c r="M203" i="1"/>
  <c r="L203" i="1"/>
  <c r="J203" i="1"/>
  <c r="H203" i="1"/>
  <c r="G203" i="1"/>
  <c r="F203" i="1"/>
  <c r="E203" i="1"/>
  <c r="Q202" i="1"/>
  <c r="P202" i="1"/>
  <c r="O202" i="1"/>
  <c r="N202" i="1"/>
  <c r="M202" i="1"/>
  <c r="J202" i="1"/>
  <c r="I202" i="1"/>
  <c r="H202" i="1"/>
  <c r="F202" i="1"/>
  <c r="E202" i="1"/>
  <c r="D202" i="1"/>
  <c r="P201" i="1"/>
  <c r="N201" i="1"/>
  <c r="M201" i="1"/>
  <c r="K201" i="1"/>
  <c r="I201" i="1"/>
  <c r="H201" i="1"/>
  <c r="E201" i="1"/>
  <c r="D201" i="1"/>
  <c r="P200" i="1"/>
  <c r="O200" i="1"/>
  <c r="N200" i="1"/>
  <c r="K200" i="1"/>
  <c r="J200" i="1"/>
  <c r="I200" i="1"/>
  <c r="H200" i="1"/>
  <c r="F200" i="1"/>
  <c r="E200" i="1"/>
  <c r="D200" i="1"/>
  <c r="Q199" i="1"/>
  <c r="P199" i="1"/>
  <c r="O199" i="1"/>
  <c r="N199" i="1"/>
  <c r="M199" i="1"/>
  <c r="L199" i="1"/>
  <c r="K199" i="1"/>
  <c r="I199" i="1"/>
  <c r="H199" i="1"/>
  <c r="G199" i="1"/>
  <c r="F199" i="1"/>
  <c r="D199" i="1"/>
  <c r="Q198" i="1"/>
  <c r="P198" i="1"/>
  <c r="O198" i="1"/>
  <c r="M198" i="1"/>
  <c r="L198" i="1"/>
  <c r="K198" i="1"/>
  <c r="J198" i="1"/>
  <c r="G198" i="1"/>
  <c r="F198" i="1"/>
  <c r="E198" i="1"/>
  <c r="D198" i="1"/>
  <c r="Q197" i="1"/>
  <c r="P197" i="1"/>
  <c r="O197" i="1"/>
  <c r="M197" i="1"/>
  <c r="J197" i="1"/>
  <c r="I197" i="1"/>
  <c r="G197" i="1"/>
  <c r="D197" i="1"/>
  <c r="Q196" i="1"/>
  <c r="P196" i="1"/>
  <c r="N196" i="1"/>
  <c r="M196" i="1"/>
  <c r="L196" i="1"/>
  <c r="K196" i="1"/>
  <c r="G196" i="1"/>
  <c r="Q195" i="1"/>
  <c r="P195" i="1"/>
  <c r="O195" i="1"/>
  <c r="N195" i="1"/>
  <c r="L195" i="1"/>
  <c r="K195" i="1"/>
  <c r="J195" i="1"/>
  <c r="H195" i="1"/>
  <c r="Q194" i="1"/>
  <c r="P194" i="1"/>
  <c r="O194" i="1"/>
  <c r="N194" i="1"/>
  <c r="M194" i="1"/>
  <c r="L194" i="1"/>
  <c r="H194" i="1"/>
  <c r="G194" i="1"/>
  <c r="E194" i="1"/>
  <c r="Q193" i="1"/>
  <c r="O193" i="1"/>
  <c r="M193" i="1"/>
  <c r="L193" i="1"/>
  <c r="K193" i="1"/>
  <c r="I193" i="1"/>
  <c r="G193" i="1"/>
  <c r="E193" i="1"/>
  <c r="D193" i="1"/>
  <c r="Q192" i="1"/>
  <c r="O192" i="1"/>
  <c r="N192" i="1"/>
  <c r="M192" i="1"/>
  <c r="L192" i="1"/>
  <c r="K192" i="1"/>
  <c r="I192" i="1"/>
  <c r="H192" i="1"/>
  <c r="E192" i="1"/>
  <c r="D192" i="1"/>
  <c r="Q191" i="1"/>
  <c r="P191" i="1"/>
  <c r="O191" i="1"/>
  <c r="M191" i="1"/>
  <c r="L191" i="1"/>
  <c r="J191" i="1"/>
  <c r="I191" i="1"/>
  <c r="H191" i="1"/>
  <c r="G191" i="1"/>
  <c r="F191" i="1"/>
  <c r="E191" i="1"/>
  <c r="S191" i="1" s="1"/>
  <c r="Q190" i="1"/>
  <c r="P190" i="1"/>
  <c r="O190" i="1"/>
  <c r="N190" i="1"/>
  <c r="M190" i="1"/>
  <c r="J190" i="1"/>
  <c r="I190" i="1"/>
  <c r="H190" i="1"/>
  <c r="F190" i="1"/>
  <c r="P189" i="1"/>
  <c r="O189" i="1"/>
  <c r="N189" i="1"/>
  <c r="M189" i="1"/>
  <c r="K189" i="1"/>
  <c r="J189" i="1"/>
  <c r="I189" i="1"/>
  <c r="H189" i="1"/>
  <c r="F189" i="1"/>
  <c r="D188" i="1"/>
  <c r="P187" i="1"/>
  <c r="O187" i="1"/>
  <c r="N187" i="1"/>
  <c r="M187" i="1"/>
  <c r="K187" i="1"/>
  <c r="J187" i="1"/>
  <c r="I187" i="1"/>
  <c r="F187" i="1"/>
  <c r="E187" i="1"/>
  <c r="S186" i="1"/>
  <c r="R186" i="1"/>
  <c r="D186" i="1"/>
  <c r="S185" i="1"/>
  <c r="Q185" i="1"/>
  <c r="P185" i="1"/>
  <c r="O185" i="1"/>
  <c r="N185" i="1"/>
  <c r="L185" i="1"/>
  <c r="K185" i="1"/>
  <c r="I185" i="1"/>
  <c r="H185" i="1"/>
  <c r="G185" i="1"/>
  <c r="D185" i="1"/>
  <c r="Q184" i="1"/>
  <c r="P184" i="1"/>
  <c r="O184" i="1"/>
  <c r="M184" i="1"/>
  <c r="L184" i="1"/>
  <c r="K184" i="1"/>
  <c r="J184" i="1"/>
  <c r="G184" i="1"/>
  <c r="F184" i="1"/>
  <c r="Q183" i="1"/>
  <c r="P183" i="1"/>
  <c r="O183" i="1"/>
  <c r="M183" i="1"/>
  <c r="L183" i="1"/>
  <c r="K183" i="1"/>
  <c r="J183" i="1"/>
  <c r="I183" i="1"/>
  <c r="F183" i="1"/>
  <c r="E183" i="1"/>
  <c r="D183" i="1"/>
  <c r="P182" i="1"/>
  <c r="N182" i="1"/>
  <c r="M182" i="1"/>
  <c r="L182" i="1"/>
  <c r="K182" i="1"/>
  <c r="J182" i="1"/>
  <c r="G182" i="1"/>
  <c r="Q181" i="1"/>
  <c r="P181" i="1"/>
  <c r="N181" i="1"/>
  <c r="M181" i="1"/>
  <c r="L181" i="1"/>
  <c r="K181" i="1"/>
  <c r="J181" i="1"/>
  <c r="H181" i="1"/>
  <c r="F181" i="1"/>
  <c r="D181" i="1"/>
  <c r="R181" i="1" s="1"/>
  <c r="Q180" i="1"/>
  <c r="P180" i="1"/>
  <c r="O180" i="1"/>
  <c r="N180" i="1"/>
  <c r="M180" i="1"/>
  <c r="L180" i="1"/>
  <c r="K180" i="1"/>
  <c r="H180" i="1"/>
  <c r="G180" i="1"/>
  <c r="R179" i="1"/>
  <c r="R178" i="1"/>
  <c r="Q178" i="1"/>
  <c r="O178" i="1"/>
  <c r="N178" i="1"/>
  <c r="L178" i="1"/>
  <c r="K178" i="1"/>
  <c r="I178" i="1"/>
  <c r="E178" i="1"/>
  <c r="D178" i="1"/>
  <c r="Q177" i="1"/>
  <c r="O177" i="1"/>
  <c r="N177" i="1"/>
  <c r="M177" i="1"/>
  <c r="I177" i="1"/>
  <c r="H177" i="1"/>
  <c r="E177" i="1"/>
  <c r="D177" i="1"/>
  <c r="Q176" i="1"/>
  <c r="P176" i="1"/>
  <c r="M176" i="1"/>
  <c r="L176" i="1"/>
  <c r="J176" i="1"/>
  <c r="I176" i="1"/>
  <c r="H176" i="1"/>
  <c r="G176" i="1"/>
  <c r="F176" i="1"/>
  <c r="E176" i="1"/>
  <c r="Q175" i="1"/>
  <c r="P175" i="1"/>
  <c r="O175" i="1"/>
  <c r="N175" i="1"/>
  <c r="M175" i="1"/>
  <c r="J175" i="1"/>
  <c r="I175" i="1"/>
  <c r="H175" i="1"/>
  <c r="F175" i="1"/>
  <c r="E175" i="1"/>
  <c r="D175" i="1"/>
  <c r="P174" i="1"/>
  <c r="O174" i="1"/>
  <c r="N174" i="1"/>
  <c r="M174" i="1"/>
  <c r="K174" i="1"/>
  <c r="J174" i="1"/>
  <c r="I174" i="1"/>
  <c r="H174" i="1"/>
  <c r="O173" i="1"/>
  <c r="N173" i="1"/>
  <c r="K173" i="1"/>
  <c r="J173" i="1"/>
  <c r="I173" i="1"/>
  <c r="F173" i="1"/>
  <c r="E173" i="1"/>
  <c r="D173" i="1"/>
  <c r="Q172" i="1"/>
  <c r="P172" i="1"/>
  <c r="O172" i="1"/>
  <c r="N172" i="1"/>
  <c r="L172" i="1"/>
  <c r="J172" i="1"/>
  <c r="I172" i="1"/>
  <c r="H172" i="1"/>
  <c r="G172" i="1"/>
  <c r="E172" i="1"/>
  <c r="D172" i="1"/>
  <c r="Q171" i="1"/>
  <c r="P171" i="1"/>
  <c r="O171" i="1"/>
  <c r="M171" i="1"/>
  <c r="L171" i="1"/>
  <c r="K171" i="1"/>
  <c r="J171" i="1"/>
  <c r="I171" i="1"/>
  <c r="G171" i="1"/>
  <c r="Q170" i="1"/>
  <c r="P170" i="1"/>
  <c r="O170" i="1"/>
  <c r="M170" i="1"/>
  <c r="K170" i="1"/>
  <c r="J170" i="1"/>
  <c r="I170" i="1"/>
  <c r="G170" i="1"/>
  <c r="S169" i="1"/>
  <c r="Q169" i="1"/>
  <c r="P169" i="1"/>
  <c r="N169" i="1"/>
  <c r="M169" i="1"/>
  <c r="L169" i="1"/>
  <c r="K169" i="1"/>
  <c r="J169" i="1"/>
  <c r="G169" i="1"/>
  <c r="F169" i="1"/>
  <c r="E169" i="1"/>
  <c r="D169" i="1"/>
  <c r="R169" i="1" s="1"/>
  <c r="S168" i="1"/>
  <c r="E168" i="1"/>
  <c r="D168" i="1"/>
  <c r="Q167" i="1"/>
  <c r="P167" i="1"/>
  <c r="N167" i="1"/>
  <c r="M167" i="1"/>
  <c r="L167" i="1"/>
  <c r="K167" i="1"/>
  <c r="J167" i="1"/>
  <c r="H167" i="1"/>
  <c r="R166" i="1"/>
  <c r="Q166" i="1"/>
  <c r="P166" i="1"/>
  <c r="O166" i="1"/>
  <c r="N166" i="1"/>
  <c r="M166" i="1"/>
  <c r="L166" i="1"/>
  <c r="K166" i="1"/>
  <c r="H166" i="1"/>
  <c r="G166" i="1"/>
  <c r="F166" i="1"/>
  <c r="Q165" i="1"/>
  <c r="P165" i="1"/>
  <c r="O165" i="1"/>
  <c r="M165" i="1"/>
  <c r="L165" i="1"/>
  <c r="K165" i="1"/>
  <c r="I165" i="1"/>
  <c r="Q164" i="1"/>
  <c r="O164" i="1"/>
  <c r="N164" i="1"/>
  <c r="M164" i="1"/>
  <c r="L164" i="1"/>
  <c r="I164" i="1"/>
  <c r="H164" i="1"/>
  <c r="E164" i="1"/>
  <c r="D164" i="1"/>
  <c r="Q163" i="1"/>
  <c r="P163" i="1"/>
  <c r="M163" i="1"/>
  <c r="L163" i="1"/>
  <c r="J163" i="1"/>
  <c r="I163" i="1"/>
  <c r="G163" i="1"/>
  <c r="E163" i="1"/>
  <c r="D163" i="1"/>
  <c r="Q162" i="1"/>
  <c r="P162" i="1"/>
  <c r="O162" i="1"/>
  <c r="N162" i="1"/>
  <c r="M162" i="1"/>
  <c r="J162" i="1"/>
  <c r="I162" i="1"/>
  <c r="H162" i="1"/>
  <c r="F162" i="1"/>
  <c r="E162" i="1"/>
  <c r="D162" i="1"/>
  <c r="Q161" i="1"/>
  <c r="S161" i="1" s="1"/>
  <c r="P161" i="1"/>
  <c r="N161" i="1"/>
  <c r="M161" i="1"/>
  <c r="K161" i="1"/>
  <c r="I161" i="1"/>
  <c r="H161" i="1"/>
  <c r="F161" i="1"/>
  <c r="E161" i="1"/>
  <c r="D161" i="1"/>
  <c r="P160" i="1"/>
  <c r="O160" i="1"/>
  <c r="M160" i="1"/>
  <c r="K160" i="1"/>
  <c r="J160" i="1"/>
  <c r="I160" i="1"/>
  <c r="H160" i="1"/>
  <c r="F160" i="1"/>
  <c r="Q159" i="1"/>
  <c r="P159" i="1"/>
  <c r="O159" i="1"/>
  <c r="N159" i="1"/>
  <c r="L159" i="1"/>
  <c r="K159" i="1"/>
  <c r="J159" i="1"/>
  <c r="I159" i="1"/>
  <c r="H159" i="1"/>
  <c r="G159" i="1"/>
  <c r="F159" i="1"/>
  <c r="E159" i="1"/>
  <c r="D159" i="1"/>
  <c r="Q158" i="1"/>
  <c r="P158" i="1"/>
  <c r="O158" i="1"/>
  <c r="M158" i="1"/>
  <c r="L158" i="1"/>
  <c r="K158" i="1"/>
  <c r="J158" i="1"/>
  <c r="I158" i="1"/>
  <c r="G158" i="1"/>
  <c r="E158" i="1"/>
  <c r="D158" i="1"/>
  <c r="Q157" i="1"/>
  <c r="P157" i="1"/>
  <c r="O157" i="1"/>
  <c r="M157" i="1"/>
  <c r="J157" i="1"/>
  <c r="I157" i="1"/>
  <c r="G157" i="1"/>
  <c r="F157" i="1"/>
  <c r="E157" i="1"/>
  <c r="D157" i="1"/>
  <c r="Q156" i="1"/>
  <c r="P156" i="1"/>
  <c r="O156" i="1"/>
  <c r="N156" i="1"/>
  <c r="M156" i="1"/>
  <c r="L156" i="1"/>
  <c r="K156" i="1"/>
  <c r="J156" i="1"/>
  <c r="G156" i="1"/>
  <c r="E156" i="1"/>
  <c r="D156" i="1"/>
  <c r="Q155" i="1"/>
  <c r="P155" i="1"/>
  <c r="N155" i="1"/>
  <c r="L155" i="1"/>
  <c r="K155" i="1"/>
  <c r="J155" i="1"/>
  <c r="H155" i="1"/>
  <c r="G155" i="1"/>
  <c r="Q154" i="1"/>
  <c r="P154" i="1"/>
  <c r="O154" i="1"/>
  <c r="N154" i="1"/>
  <c r="M154" i="1"/>
  <c r="L154" i="1"/>
  <c r="K154" i="1"/>
  <c r="H154" i="1"/>
  <c r="G154" i="1"/>
  <c r="F154" i="1"/>
  <c r="Q153" i="1"/>
  <c r="O153" i="1"/>
  <c r="M153" i="1"/>
  <c r="L153" i="1"/>
  <c r="K153" i="1"/>
  <c r="I153" i="1"/>
  <c r="G153" i="1"/>
  <c r="Q152" i="1"/>
  <c r="O152" i="1"/>
  <c r="N152" i="1"/>
  <c r="M152" i="1"/>
  <c r="L152" i="1"/>
  <c r="I152" i="1"/>
  <c r="H152" i="1"/>
  <c r="G152" i="1"/>
  <c r="E152" i="1"/>
  <c r="D152" i="1"/>
  <c r="Q151" i="1"/>
  <c r="P151" i="1"/>
  <c r="O151" i="1"/>
  <c r="M151" i="1"/>
  <c r="L151" i="1"/>
  <c r="J151" i="1"/>
  <c r="I151" i="1"/>
  <c r="G151" i="1"/>
  <c r="E151" i="1"/>
  <c r="D151" i="1"/>
  <c r="Q150" i="1"/>
  <c r="P150" i="1"/>
  <c r="O150" i="1"/>
  <c r="N150" i="1"/>
  <c r="M150" i="1"/>
  <c r="J150" i="1"/>
  <c r="I150" i="1"/>
  <c r="H150" i="1"/>
  <c r="F150" i="1"/>
  <c r="E150" i="1"/>
  <c r="D150" i="1"/>
  <c r="P149" i="1"/>
  <c r="O149" i="1"/>
  <c r="N149" i="1"/>
  <c r="M149" i="1"/>
  <c r="K149" i="1"/>
  <c r="I149" i="1"/>
  <c r="H149" i="1"/>
  <c r="G149" i="1"/>
  <c r="F149" i="1"/>
  <c r="E149" i="1"/>
  <c r="D149" i="1"/>
  <c r="P148" i="1"/>
  <c r="O148" i="1"/>
  <c r="K148" i="1"/>
  <c r="J148" i="1"/>
  <c r="I148" i="1"/>
  <c r="H148" i="1"/>
  <c r="Q147" i="1"/>
  <c r="P147" i="1"/>
  <c r="O147" i="1"/>
  <c r="N147" i="1"/>
  <c r="L147" i="1"/>
  <c r="K147" i="1"/>
  <c r="I147" i="1"/>
  <c r="H147" i="1"/>
  <c r="G147" i="1"/>
  <c r="F147" i="1"/>
  <c r="E147" i="1"/>
  <c r="S147" i="1" s="1"/>
  <c r="D147" i="1"/>
  <c r="Q146" i="1"/>
  <c r="P146" i="1"/>
  <c r="O146" i="1"/>
  <c r="N146" i="1"/>
  <c r="M146" i="1"/>
  <c r="L146" i="1"/>
  <c r="K146" i="1"/>
  <c r="J146" i="1"/>
  <c r="I146" i="1"/>
  <c r="G146" i="1"/>
  <c r="E146" i="1"/>
  <c r="D146" i="1"/>
  <c r="Q145" i="1"/>
  <c r="P145" i="1"/>
  <c r="O145" i="1"/>
  <c r="M145" i="1"/>
  <c r="K145" i="1"/>
  <c r="J145" i="1"/>
  <c r="I145" i="1"/>
  <c r="G145" i="1"/>
  <c r="F145" i="1"/>
  <c r="E145" i="1"/>
  <c r="D145" i="1"/>
  <c r="Q144" i="1"/>
  <c r="P144" i="1"/>
  <c r="N144" i="1"/>
  <c r="M144" i="1"/>
  <c r="L144" i="1"/>
  <c r="K144" i="1"/>
  <c r="J144" i="1"/>
  <c r="G144" i="1"/>
  <c r="E144" i="1"/>
  <c r="D144" i="1"/>
  <c r="Q143" i="1"/>
  <c r="P143" i="1"/>
  <c r="O143" i="1"/>
  <c r="N143" i="1"/>
  <c r="M143" i="1"/>
  <c r="L143" i="1"/>
  <c r="K143" i="1"/>
  <c r="J143" i="1"/>
  <c r="H143" i="1"/>
  <c r="Q142" i="1"/>
  <c r="P142" i="1"/>
  <c r="O142" i="1"/>
  <c r="N142" i="1"/>
  <c r="M142" i="1"/>
  <c r="L142" i="1"/>
  <c r="K142" i="1"/>
  <c r="H142" i="1"/>
  <c r="G142" i="1"/>
  <c r="F142" i="1"/>
  <c r="Q141" i="1"/>
  <c r="P141" i="1"/>
  <c r="O141" i="1"/>
  <c r="M141" i="1"/>
  <c r="L141" i="1"/>
  <c r="K141" i="1"/>
  <c r="I141" i="1"/>
  <c r="H141" i="1"/>
  <c r="G141" i="1"/>
  <c r="Q140" i="1"/>
  <c r="O140" i="1"/>
  <c r="N140" i="1"/>
  <c r="M140" i="1"/>
  <c r="L140" i="1"/>
  <c r="I140" i="1"/>
  <c r="H140" i="1"/>
  <c r="G140" i="1"/>
  <c r="E140" i="1"/>
  <c r="D140" i="1"/>
  <c r="Q139" i="1"/>
  <c r="P139" i="1"/>
  <c r="O139" i="1"/>
  <c r="M139" i="1"/>
  <c r="L139" i="1"/>
  <c r="J139" i="1"/>
  <c r="H139" i="1"/>
  <c r="G139" i="1"/>
  <c r="E139" i="1"/>
  <c r="D139" i="1"/>
  <c r="Q138" i="1"/>
  <c r="P138" i="1"/>
  <c r="O138" i="1"/>
  <c r="N138" i="1"/>
  <c r="M138" i="1"/>
  <c r="J138" i="1"/>
  <c r="I138" i="1"/>
  <c r="H138" i="1"/>
  <c r="G138" i="1"/>
  <c r="F138" i="1"/>
  <c r="D138" i="1"/>
  <c r="P137" i="1"/>
  <c r="O137" i="1"/>
  <c r="N137" i="1"/>
  <c r="M137" i="1"/>
  <c r="K137" i="1"/>
  <c r="I137" i="1"/>
  <c r="H137" i="1"/>
  <c r="F137" i="1"/>
  <c r="E137" i="1"/>
  <c r="D137" i="1"/>
  <c r="P136" i="1"/>
  <c r="O136" i="1"/>
  <c r="M136" i="1"/>
  <c r="K136" i="1"/>
  <c r="J136" i="1"/>
  <c r="I136" i="1"/>
  <c r="F136" i="1"/>
  <c r="Q135" i="1"/>
  <c r="P135" i="1"/>
  <c r="O135" i="1"/>
  <c r="N135" i="1"/>
  <c r="L135" i="1"/>
  <c r="J135" i="1"/>
  <c r="I135" i="1"/>
  <c r="H135" i="1"/>
  <c r="G135" i="1"/>
  <c r="F135" i="1"/>
  <c r="E135" i="1"/>
  <c r="D135" i="1"/>
  <c r="Q134" i="1"/>
  <c r="O134" i="1"/>
  <c r="M134" i="1"/>
  <c r="L134" i="1"/>
  <c r="K134" i="1"/>
  <c r="J134" i="1"/>
  <c r="I134" i="1"/>
  <c r="G134" i="1"/>
  <c r="E134" i="1"/>
  <c r="D134" i="1"/>
  <c r="Q133" i="1"/>
  <c r="P133" i="1"/>
  <c r="O133" i="1"/>
  <c r="M133" i="1"/>
  <c r="L133" i="1"/>
  <c r="K133" i="1"/>
  <c r="J133" i="1"/>
  <c r="I133" i="1"/>
  <c r="H133" i="1"/>
  <c r="F133" i="1"/>
  <c r="E133" i="1"/>
  <c r="Q132" i="1"/>
  <c r="P132" i="1"/>
  <c r="N132" i="1"/>
  <c r="M132" i="1"/>
  <c r="L132" i="1"/>
  <c r="K132" i="1"/>
  <c r="J132" i="1"/>
  <c r="G132" i="1"/>
  <c r="E132" i="1"/>
  <c r="D132" i="1"/>
  <c r="S132" i="1" s="1"/>
  <c r="Q131" i="1"/>
  <c r="P131" i="1"/>
  <c r="N131" i="1"/>
  <c r="M131" i="1"/>
  <c r="K131" i="1"/>
  <c r="J131" i="1"/>
  <c r="H131" i="1"/>
  <c r="G131" i="1"/>
  <c r="S130" i="1"/>
  <c r="R130" i="1"/>
  <c r="Q130" i="1"/>
  <c r="P130" i="1"/>
  <c r="O130" i="1"/>
  <c r="N130" i="1"/>
  <c r="M130" i="1"/>
  <c r="L130" i="1"/>
  <c r="K130" i="1"/>
  <c r="H130" i="1"/>
  <c r="G130" i="1"/>
  <c r="F130" i="1"/>
  <c r="S129" i="1"/>
  <c r="Q129" i="1"/>
  <c r="O129" i="1"/>
  <c r="N129" i="1"/>
  <c r="M129" i="1"/>
  <c r="L129" i="1"/>
  <c r="K129" i="1"/>
  <c r="I129" i="1"/>
  <c r="H129" i="1"/>
  <c r="G129" i="1"/>
  <c r="F129" i="1"/>
  <c r="Q128" i="1"/>
  <c r="O128" i="1"/>
  <c r="N128" i="1"/>
  <c r="M128" i="1"/>
  <c r="L128" i="1"/>
  <c r="I128" i="1"/>
  <c r="H128" i="1"/>
  <c r="G128" i="1"/>
  <c r="Q126" i="1"/>
  <c r="P126" i="1"/>
  <c r="O126" i="1"/>
  <c r="N126" i="1"/>
  <c r="M126" i="1"/>
  <c r="L126" i="1"/>
  <c r="J126" i="1"/>
  <c r="I126" i="1"/>
  <c r="G126" i="1"/>
  <c r="Q125" i="1"/>
  <c r="P125" i="1"/>
  <c r="O125" i="1"/>
  <c r="N125" i="1"/>
  <c r="M125" i="1"/>
  <c r="J125" i="1"/>
  <c r="I125" i="1"/>
  <c r="H125" i="1"/>
  <c r="F125" i="1"/>
  <c r="E125" i="1"/>
  <c r="D125" i="1"/>
  <c r="Q124" i="1"/>
  <c r="P124" i="1"/>
  <c r="O124" i="1"/>
  <c r="N124" i="1"/>
  <c r="M124" i="1"/>
  <c r="K124" i="1"/>
  <c r="J124" i="1"/>
  <c r="I124" i="1"/>
  <c r="F124" i="1"/>
  <c r="E123" i="1"/>
  <c r="D123" i="1"/>
  <c r="P122" i="1"/>
  <c r="O122" i="1"/>
  <c r="K122" i="1"/>
  <c r="J122" i="1"/>
  <c r="I122" i="1"/>
  <c r="H122" i="1"/>
  <c r="F122" i="1"/>
  <c r="Q121" i="1"/>
  <c r="P121" i="1"/>
  <c r="O121" i="1"/>
  <c r="N121" i="1"/>
  <c r="L121" i="1"/>
  <c r="K121" i="1"/>
  <c r="J121" i="1"/>
  <c r="I121" i="1"/>
  <c r="H121" i="1"/>
  <c r="G121" i="1"/>
  <c r="F121" i="1"/>
  <c r="E121" i="1"/>
  <c r="D121" i="1"/>
  <c r="R121" i="1" s="1"/>
  <c r="Q120" i="1"/>
  <c r="P120" i="1"/>
  <c r="O120" i="1"/>
  <c r="M120" i="1"/>
  <c r="L120" i="1"/>
  <c r="K120" i="1"/>
  <c r="J120" i="1"/>
  <c r="I120" i="1"/>
  <c r="G120" i="1"/>
  <c r="E120" i="1"/>
  <c r="R119" i="1"/>
  <c r="Q119" i="1"/>
  <c r="P119" i="1"/>
  <c r="O119" i="1"/>
  <c r="M119" i="1"/>
  <c r="L119" i="1"/>
  <c r="K119" i="1"/>
  <c r="J119" i="1"/>
  <c r="I119" i="1"/>
  <c r="F119" i="1"/>
  <c r="E119" i="1"/>
  <c r="D119" i="1"/>
  <c r="S119" i="1" s="1"/>
  <c r="Q118" i="1"/>
  <c r="P118" i="1"/>
  <c r="N118" i="1"/>
  <c r="M118" i="1"/>
  <c r="L118" i="1"/>
  <c r="K118" i="1"/>
  <c r="J118" i="1"/>
  <c r="G118" i="1"/>
  <c r="E118" i="1"/>
  <c r="D118" i="1"/>
  <c r="Q117" i="1"/>
  <c r="P117" i="1"/>
  <c r="N117" i="1"/>
  <c r="M117" i="1"/>
  <c r="K117" i="1"/>
  <c r="J117" i="1"/>
  <c r="H117" i="1"/>
  <c r="G117" i="1"/>
  <c r="Q116" i="1"/>
  <c r="P116" i="1"/>
  <c r="O116" i="1"/>
  <c r="N116" i="1"/>
  <c r="M116" i="1"/>
  <c r="L116" i="1"/>
  <c r="K116" i="1"/>
  <c r="H116" i="1"/>
  <c r="G116" i="1"/>
  <c r="F116" i="1"/>
  <c r="E116" i="1"/>
  <c r="D116" i="1"/>
  <c r="Q115" i="1"/>
  <c r="O115" i="1"/>
  <c r="M115" i="1"/>
  <c r="L115" i="1"/>
  <c r="K115" i="1"/>
  <c r="I115" i="1"/>
  <c r="H115" i="1"/>
  <c r="G115" i="1"/>
  <c r="Q114" i="1"/>
  <c r="O114" i="1"/>
  <c r="N114" i="1"/>
  <c r="M114" i="1"/>
  <c r="L114" i="1"/>
  <c r="I114" i="1"/>
  <c r="H114" i="1"/>
  <c r="G114" i="1"/>
  <c r="Q113" i="1"/>
  <c r="P113" i="1"/>
  <c r="O113" i="1"/>
  <c r="M113" i="1"/>
  <c r="L113" i="1"/>
  <c r="J113" i="1"/>
  <c r="I113" i="1"/>
  <c r="H113" i="1"/>
  <c r="G113" i="1"/>
  <c r="Q112" i="1"/>
  <c r="P112" i="1"/>
  <c r="O112" i="1"/>
  <c r="N112" i="1"/>
  <c r="M112" i="1"/>
  <c r="J112" i="1"/>
  <c r="I112" i="1"/>
  <c r="H112" i="1"/>
  <c r="F112" i="1"/>
  <c r="E112" i="1"/>
  <c r="D112" i="1"/>
  <c r="P111" i="1"/>
  <c r="O111" i="1"/>
  <c r="N111" i="1"/>
  <c r="M111" i="1"/>
  <c r="K111" i="1"/>
  <c r="I111" i="1"/>
  <c r="H111" i="1"/>
  <c r="F111" i="1"/>
  <c r="E111" i="1"/>
  <c r="D111" i="1"/>
  <c r="P110" i="1"/>
  <c r="O110" i="1"/>
  <c r="K110" i="1"/>
  <c r="J110" i="1"/>
  <c r="I110" i="1"/>
  <c r="E110" i="1"/>
  <c r="D110" i="1"/>
  <c r="Q109" i="1"/>
  <c r="P109" i="1"/>
  <c r="O109" i="1"/>
  <c r="N109" i="1"/>
  <c r="L109" i="1"/>
  <c r="J109" i="1"/>
  <c r="I109" i="1"/>
  <c r="H109" i="1"/>
  <c r="G109" i="1"/>
  <c r="F109" i="1"/>
  <c r="E109" i="1"/>
  <c r="D109" i="1"/>
  <c r="Q108" i="1"/>
  <c r="P108" i="1"/>
  <c r="O108" i="1"/>
  <c r="M108" i="1"/>
  <c r="L108" i="1"/>
  <c r="K108" i="1"/>
  <c r="J108" i="1"/>
  <c r="I108" i="1"/>
  <c r="G108" i="1"/>
  <c r="Q107" i="1"/>
  <c r="F107" i="1"/>
  <c r="E107" i="1"/>
  <c r="S107" i="1" s="1"/>
  <c r="D107" i="1"/>
  <c r="Q106" i="1"/>
  <c r="G106" i="1"/>
  <c r="F106" i="1"/>
  <c r="E106" i="1"/>
  <c r="D106" i="1"/>
  <c r="Q105" i="1"/>
  <c r="H105" i="1"/>
  <c r="G105" i="1"/>
  <c r="S105" i="1" s="1"/>
  <c r="D105" i="1"/>
  <c r="P104" i="1"/>
  <c r="O104" i="1"/>
  <c r="M104" i="1"/>
  <c r="L104" i="1"/>
  <c r="J104" i="1"/>
  <c r="I104" i="1"/>
  <c r="Q103" i="1"/>
  <c r="P103" i="1"/>
  <c r="N103" i="1"/>
  <c r="M103" i="1"/>
  <c r="L103" i="1"/>
  <c r="K103" i="1"/>
  <c r="J103" i="1"/>
  <c r="I103" i="1"/>
  <c r="H103" i="1"/>
  <c r="G103" i="1"/>
  <c r="F103" i="1"/>
  <c r="E103" i="1"/>
  <c r="D103" i="1"/>
  <c r="Q102" i="1"/>
  <c r="P102" i="1"/>
  <c r="N102" i="1"/>
  <c r="M102" i="1"/>
  <c r="K102" i="1"/>
  <c r="J102" i="1"/>
  <c r="H102" i="1"/>
  <c r="G102" i="1"/>
  <c r="Q101" i="1"/>
  <c r="P101" i="1"/>
  <c r="O101" i="1"/>
  <c r="N101" i="1"/>
  <c r="M101" i="1"/>
  <c r="L101" i="1"/>
  <c r="K101" i="1"/>
  <c r="H101" i="1"/>
  <c r="R100" i="1"/>
  <c r="Q100" i="1"/>
  <c r="O100" i="1"/>
  <c r="N100" i="1"/>
  <c r="M100" i="1"/>
  <c r="L100" i="1"/>
  <c r="K100" i="1"/>
  <c r="I100" i="1"/>
  <c r="G100" i="1"/>
  <c r="Q99" i="1"/>
  <c r="O99" i="1"/>
  <c r="N99" i="1"/>
  <c r="M99" i="1"/>
  <c r="I99" i="1"/>
  <c r="H99" i="1"/>
  <c r="F99" i="1"/>
  <c r="E99" i="1"/>
  <c r="D99" i="1"/>
  <c r="P98" i="1"/>
  <c r="O98" i="1"/>
  <c r="M98" i="1"/>
  <c r="L98" i="1"/>
  <c r="J98" i="1"/>
  <c r="F98" i="1"/>
  <c r="E98" i="1"/>
  <c r="D98" i="1"/>
  <c r="P97" i="1"/>
  <c r="O97" i="1"/>
  <c r="N97" i="1"/>
  <c r="M97" i="1"/>
  <c r="J97" i="1"/>
  <c r="I97" i="1"/>
  <c r="F97" i="1"/>
  <c r="E97" i="1"/>
  <c r="S97" i="1" s="1"/>
  <c r="R96" i="1"/>
  <c r="Q96" i="1"/>
  <c r="P96" i="1"/>
  <c r="O96" i="1"/>
  <c r="N96" i="1"/>
  <c r="M96" i="1"/>
  <c r="K96" i="1"/>
  <c r="J96" i="1"/>
  <c r="I96" i="1"/>
  <c r="H96" i="1"/>
  <c r="G96" i="1"/>
  <c r="F96" i="1"/>
  <c r="E96" i="1"/>
  <c r="D96" i="1"/>
  <c r="Q95" i="1"/>
  <c r="P95" i="1"/>
  <c r="O95" i="1"/>
  <c r="N95" i="1"/>
  <c r="K95" i="1"/>
  <c r="J95" i="1"/>
  <c r="I95" i="1"/>
  <c r="G95" i="1"/>
  <c r="F95" i="1"/>
  <c r="Q94" i="1"/>
  <c r="P94" i="1"/>
  <c r="O94" i="1"/>
  <c r="N94" i="1"/>
  <c r="L94" i="1"/>
  <c r="K94" i="1"/>
  <c r="I94" i="1"/>
  <c r="F94" i="1"/>
  <c r="Q92" i="1"/>
  <c r="P92" i="1"/>
  <c r="O92" i="1"/>
  <c r="M92" i="1"/>
  <c r="L92" i="1"/>
  <c r="K92" i="1"/>
  <c r="J92" i="1"/>
  <c r="I92" i="1"/>
  <c r="G92" i="1"/>
  <c r="F92" i="1"/>
  <c r="E92" i="1"/>
  <c r="D92" i="1"/>
  <c r="Q91" i="1"/>
  <c r="P91" i="1"/>
  <c r="O91" i="1"/>
  <c r="N91" i="1"/>
  <c r="S91" i="1" s="1"/>
  <c r="M91" i="1"/>
  <c r="L91" i="1"/>
  <c r="J91" i="1"/>
  <c r="I91" i="1"/>
  <c r="H91" i="1"/>
  <c r="G91" i="1"/>
  <c r="F91" i="1"/>
  <c r="E91" i="1"/>
  <c r="D91" i="1"/>
  <c r="Q90" i="1"/>
  <c r="P90" i="1"/>
  <c r="N90" i="1"/>
  <c r="M90" i="1"/>
  <c r="L90" i="1"/>
  <c r="K90" i="1"/>
  <c r="J90" i="1"/>
  <c r="H90" i="1"/>
  <c r="G90" i="1"/>
  <c r="F90" i="1"/>
  <c r="E90" i="1"/>
  <c r="D90" i="1"/>
  <c r="Q89" i="1"/>
  <c r="P89" i="1"/>
  <c r="N89" i="1"/>
  <c r="M89" i="1"/>
  <c r="L89" i="1"/>
  <c r="K89" i="1"/>
  <c r="J89" i="1"/>
  <c r="H89" i="1"/>
  <c r="G89" i="1"/>
  <c r="E89" i="1"/>
  <c r="Q88" i="1"/>
  <c r="P88" i="1"/>
  <c r="O88" i="1"/>
  <c r="N88" i="1"/>
  <c r="M88" i="1"/>
  <c r="L88" i="1"/>
  <c r="K88" i="1"/>
  <c r="H88" i="1"/>
  <c r="D88" i="1"/>
  <c r="Q87" i="1"/>
  <c r="O87" i="1"/>
  <c r="N87" i="1"/>
  <c r="L87" i="1"/>
  <c r="K87" i="1"/>
  <c r="I87" i="1"/>
  <c r="G87" i="1"/>
  <c r="Q86" i="1"/>
  <c r="O86" i="1"/>
  <c r="N86" i="1"/>
  <c r="M86" i="1"/>
  <c r="L86" i="1"/>
  <c r="I86" i="1"/>
  <c r="H86" i="1"/>
  <c r="F86" i="1"/>
  <c r="P85" i="1"/>
  <c r="O85" i="1"/>
  <c r="N85" i="1"/>
  <c r="M85" i="1"/>
  <c r="L85" i="1"/>
  <c r="K85" i="1"/>
  <c r="J85" i="1"/>
  <c r="H85" i="1"/>
  <c r="F85" i="1"/>
  <c r="E85" i="1"/>
  <c r="P84" i="1"/>
  <c r="O84" i="1"/>
  <c r="N84" i="1"/>
  <c r="M84" i="1"/>
  <c r="J84" i="1"/>
  <c r="I84" i="1"/>
  <c r="H84" i="1"/>
  <c r="F84" i="1"/>
  <c r="E84" i="1"/>
  <c r="D84" i="1"/>
  <c r="Q83" i="1"/>
  <c r="P83" i="1"/>
  <c r="O83" i="1"/>
  <c r="N83" i="1"/>
  <c r="M83" i="1"/>
  <c r="K83" i="1"/>
  <c r="J83" i="1"/>
  <c r="I83" i="1"/>
  <c r="H83" i="1"/>
  <c r="G83" i="1"/>
  <c r="F83" i="1"/>
  <c r="D83" i="1"/>
  <c r="Q82" i="1"/>
  <c r="P82" i="1"/>
  <c r="O82" i="1"/>
  <c r="N82" i="1"/>
  <c r="K82" i="1"/>
  <c r="J82" i="1"/>
  <c r="I82" i="1"/>
  <c r="H82" i="1"/>
  <c r="G82" i="1"/>
  <c r="F82" i="1"/>
  <c r="E82" i="1"/>
  <c r="Q81" i="1"/>
  <c r="P81" i="1"/>
  <c r="O81" i="1"/>
  <c r="N81" i="1"/>
  <c r="L81" i="1"/>
  <c r="K81" i="1"/>
  <c r="J81" i="1"/>
  <c r="I81" i="1"/>
  <c r="G81" i="1"/>
  <c r="F81" i="1"/>
  <c r="D81" i="1"/>
  <c r="Q80" i="1"/>
  <c r="P80" i="1"/>
  <c r="O80" i="1"/>
  <c r="M80" i="1"/>
  <c r="L80" i="1"/>
  <c r="K80" i="1"/>
  <c r="J80" i="1"/>
  <c r="I80" i="1"/>
  <c r="G80" i="1"/>
  <c r="S80" i="1" s="1"/>
  <c r="F80" i="1"/>
  <c r="E80" i="1"/>
  <c r="Q79" i="1"/>
  <c r="P79" i="1"/>
  <c r="O79" i="1"/>
  <c r="M79" i="1"/>
  <c r="L79" i="1"/>
  <c r="K79" i="1"/>
  <c r="J79" i="1"/>
  <c r="I79" i="1"/>
  <c r="H79" i="1"/>
  <c r="F79" i="1"/>
  <c r="E79" i="1"/>
  <c r="D79" i="1"/>
  <c r="Q78" i="1"/>
  <c r="P78" i="1"/>
  <c r="N78" i="1"/>
  <c r="M78" i="1"/>
  <c r="L78" i="1"/>
  <c r="K78" i="1"/>
  <c r="J78" i="1"/>
  <c r="H78" i="1"/>
  <c r="G78" i="1"/>
  <c r="F78" i="1"/>
  <c r="E78" i="1"/>
  <c r="D78" i="1"/>
  <c r="Q77" i="1"/>
  <c r="P77" i="1"/>
  <c r="N77" i="1"/>
  <c r="M77" i="1"/>
  <c r="L77" i="1"/>
  <c r="K77" i="1"/>
  <c r="J77" i="1"/>
  <c r="H77" i="1"/>
  <c r="G77" i="1"/>
  <c r="E77" i="1"/>
  <c r="D77" i="1"/>
  <c r="Q76" i="1"/>
  <c r="P76" i="1"/>
  <c r="O76" i="1"/>
  <c r="N76" i="1"/>
  <c r="M76" i="1"/>
  <c r="L76" i="1"/>
  <c r="K76" i="1"/>
  <c r="H76" i="1"/>
  <c r="G76" i="1"/>
  <c r="D76" i="1"/>
  <c r="Q75" i="1"/>
  <c r="O75" i="1"/>
  <c r="N75" i="1"/>
  <c r="L75" i="1"/>
  <c r="K75" i="1"/>
  <c r="J75" i="1"/>
  <c r="I75" i="1"/>
  <c r="G75" i="1"/>
  <c r="E75" i="1"/>
  <c r="Q74" i="1"/>
  <c r="O74" i="1"/>
  <c r="N74" i="1"/>
  <c r="M74" i="1"/>
  <c r="L74" i="1"/>
  <c r="I74" i="1"/>
  <c r="H74" i="1"/>
  <c r="G74" i="1"/>
  <c r="F74" i="1"/>
  <c r="P73" i="1"/>
  <c r="O73" i="1"/>
  <c r="N73" i="1"/>
  <c r="M73" i="1"/>
  <c r="L73" i="1"/>
  <c r="J73" i="1"/>
  <c r="H73" i="1"/>
  <c r="F73" i="1"/>
  <c r="E73" i="1"/>
  <c r="P72" i="1"/>
  <c r="O72" i="1"/>
  <c r="N72" i="1"/>
  <c r="M72" i="1"/>
  <c r="J72" i="1"/>
  <c r="I72" i="1"/>
  <c r="H72" i="1"/>
  <c r="F72" i="1"/>
  <c r="E72" i="1"/>
  <c r="D72" i="1"/>
  <c r="Q71" i="1"/>
  <c r="P71" i="1"/>
  <c r="O71" i="1"/>
  <c r="N71" i="1"/>
  <c r="M71" i="1"/>
  <c r="K71" i="1"/>
  <c r="J71" i="1"/>
  <c r="I71" i="1"/>
  <c r="H71" i="1"/>
  <c r="G71" i="1"/>
  <c r="F71" i="1"/>
  <c r="D71" i="1"/>
  <c r="Q70" i="1"/>
  <c r="P70" i="1"/>
  <c r="O70" i="1"/>
  <c r="N70" i="1"/>
  <c r="K70" i="1"/>
  <c r="J70" i="1"/>
  <c r="I70" i="1"/>
  <c r="G70" i="1"/>
  <c r="F70" i="1"/>
  <c r="E70" i="1"/>
  <c r="Q69" i="1"/>
  <c r="P69" i="1"/>
  <c r="O69" i="1"/>
  <c r="N69" i="1"/>
  <c r="L69" i="1"/>
  <c r="K69" i="1"/>
  <c r="J69" i="1"/>
  <c r="I69" i="1"/>
  <c r="G69" i="1"/>
  <c r="F69" i="1"/>
  <c r="D69" i="1"/>
  <c r="Q68" i="1"/>
  <c r="P68" i="1"/>
  <c r="O68" i="1"/>
  <c r="M68" i="1"/>
  <c r="L68" i="1"/>
  <c r="K68" i="1"/>
  <c r="J68" i="1"/>
  <c r="I68" i="1"/>
  <c r="G68" i="1"/>
  <c r="F68" i="1"/>
  <c r="E68" i="1"/>
  <c r="D68" i="1"/>
  <c r="Q67" i="1"/>
  <c r="P67" i="1"/>
  <c r="O67" i="1"/>
  <c r="N67" i="1"/>
  <c r="M67" i="1"/>
  <c r="L67" i="1"/>
  <c r="K67" i="1"/>
  <c r="J67" i="1"/>
  <c r="I67" i="1"/>
  <c r="H67" i="1"/>
  <c r="F67" i="1"/>
  <c r="E67" i="1"/>
  <c r="D67" i="1"/>
  <c r="Q66" i="1"/>
  <c r="P66" i="1"/>
  <c r="N66" i="1"/>
  <c r="M66" i="1"/>
  <c r="L66" i="1"/>
  <c r="K66" i="1"/>
  <c r="J66" i="1"/>
  <c r="H66" i="1"/>
  <c r="G66" i="1"/>
  <c r="F66" i="1"/>
  <c r="E66" i="1"/>
  <c r="D66" i="1"/>
  <c r="Q65" i="1"/>
  <c r="P65" i="1"/>
  <c r="N65" i="1"/>
  <c r="M65" i="1"/>
  <c r="L65" i="1"/>
  <c r="K65" i="1"/>
  <c r="Q64" i="1"/>
  <c r="P64" i="1"/>
  <c r="O64" i="1"/>
  <c r="N64" i="1"/>
  <c r="M64" i="1"/>
  <c r="L64" i="1"/>
  <c r="K64" i="1"/>
  <c r="J64" i="1"/>
  <c r="H64" i="1"/>
  <c r="G64" i="1"/>
  <c r="E64" i="1"/>
  <c r="D64" i="1"/>
  <c r="Q63" i="1"/>
  <c r="O63" i="1"/>
  <c r="N63" i="1"/>
  <c r="M63" i="1"/>
  <c r="L63" i="1"/>
  <c r="K63" i="1"/>
  <c r="J63" i="1"/>
  <c r="I63" i="1"/>
  <c r="H63" i="1"/>
  <c r="D63" i="1"/>
  <c r="I62" i="1"/>
  <c r="H62" i="1"/>
  <c r="G62" i="1"/>
  <c r="Q61" i="1"/>
  <c r="O61" i="1"/>
  <c r="N61" i="1"/>
  <c r="M61" i="1"/>
  <c r="L61" i="1"/>
  <c r="I61" i="1"/>
  <c r="H61" i="1"/>
  <c r="F61" i="1"/>
  <c r="P60" i="1"/>
  <c r="O60" i="1"/>
  <c r="N60" i="1"/>
  <c r="M60" i="1"/>
  <c r="L60" i="1"/>
  <c r="J60" i="1"/>
  <c r="H60" i="1"/>
  <c r="F60" i="1"/>
  <c r="E60" i="1"/>
  <c r="P59" i="1"/>
  <c r="O59" i="1"/>
  <c r="N59" i="1"/>
  <c r="M59" i="1"/>
  <c r="J59" i="1"/>
  <c r="I59" i="1"/>
  <c r="H59" i="1"/>
  <c r="F59" i="1"/>
  <c r="E59" i="1"/>
  <c r="D59" i="1"/>
  <c r="Q58" i="1"/>
  <c r="P58" i="1"/>
  <c r="O58" i="1"/>
  <c r="N58" i="1"/>
  <c r="M58" i="1"/>
  <c r="L58" i="1"/>
  <c r="K58" i="1"/>
  <c r="J58" i="1"/>
  <c r="I58" i="1"/>
  <c r="H58" i="1"/>
  <c r="G58" i="1"/>
  <c r="F58" i="1"/>
  <c r="D58" i="1"/>
  <c r="Q57" i="1"/>
  <c r="P57" i="1"/>
  <c r="O57" i="1"/>
  <c r="N57" i="1"/>
  <c r="M57" i="1"/>
  <c r="K57" i="1"/>
  <c r="J57" i="1"/>
  <c r="I57" i="1"/>
  <c r="G57" i="1"/>
  <c r="E57" i="1"/>
  <c r="D57" i="1"/>
  <c r="Q56" i="1"/>
  <c r="P56" i="1"/>
  <c r="O56" i="1"/>
  <c r="N56" i="1"/>
  <c r="L56" i="1"/>
  <c r="K56" i="1"/>
  <c r="I56" i="1"/>
  <c r="H56" i="1"/>
  <c r="R56" i="1" s="1"/>
  <c r="G56" i="1"/>
  <c r="F56" i="1"/>
  <c r="D56" i="1"/>
  <c r="Q55" i="1"/>
  <c r="P55" i="1"/>
  <c r="O55" i="1"/>
  <c r="M55" i="1"/>
  <c r="L55" i="1"/>
  <c r="K55" i="1"/>
  <c r="J55" i="1"/>
  <c r="I55" i="1"/>
  <c r="G55" i="1"/>
  <c r="F55" i="1"/>
  <c r="E55" i="1"/>
  <c r="D55" i="1"/>
  <c r="Q54" i="1"/>
  <c r="P54" i="1"/>
  <c r="O54" i="1"/>
  <c r="M54" i="1"/>
  <c r="L54" i="1"/>
  <c r="J54" i="1"/>
  <c r="I54" i="1"/>
  <c r="H54" i="1"/>
  <c r="G54" i="1"/>
  <c r="F54" i="1"/>
  <c r="E54" i="1"/>
  <c r="D54" i="1"/>
  <c r="Q53" i="1"/>
  <c r="P53" i="1"/>
  <c r="N53" i="1"/>
  <c r="M53" i="1"/>
  <c r="L53" i="1"/>
  <c r="K53" i="1"/>
  <c r="J53" i="1"/>
  <c r="H53" i="1"/>
  <c r="G53" i="1"/>
  <c r="F53" i="1"/>
  <c r="E53" i="1"/>
  <c r="D53" i="1"/>
  <c r="Q52" i="1"/>
  <c r="P52" i="1"/>
  <c r="N52" i="1"/>
  <c r="M52" i="1"/>
  <c r="L52" i="1"/>
  <c r="K52" i="1"/>
  <c r="J52" i="1"/>
  <c r="G52" i="1"/>
  <c r="E52" i="1"/>
  <c r="D52" i="1"/>
  <c r="Q51" i="1"/>
  <c r="P51" i="1"/>
  <c r="O51" i="1"/>
  <c r="N51" i="1"/>
  <c r="M51" i="1"/>
  <c r="L51" i="1"/>
  <c r="K51" i="1"/>
  <c r="H51" i="1"/>
  <c r="G51" i="1"/>
  <c r="D51" i="1"/>
  <c r="Q50" i="1"/>
  <c r="Q49" i="1"/>
  <c r="P49" i="1"/>
  <c r="O49" i="1"/>
  <c r="N49" i="1"/>
  <c r="M49" i="1"/>
  <c r="L49" i="1"/>
  <c r="K49" i="1"/>
  <c r="I49" i="1"/>
  <c r="G49" i="1"/>
  <c r="Q48" i="1"/>
  <c r="P48" i="1"/>
  <c r="O48" i="1"/>
  <c r="N48" i="1"/>
  <c r="M48" i="1"/>
  <c r="L48" i="1"/>
  <c r="I48" i="1"/>
  <c r="H48" i="1"/>
  <c r="F48" i="1"/>
  <c r="D48" i="1"/>
  <c r="P47" i="1"/>
  <c r="O47" i="1"/>
  <c r="N47" i="1"/>
  <c r="M47" i="1"/>
  <c r="L47" i="1"/>
  <c r="J47" i="1"/>
  <c r="I47" i="1"/>
  <c r="H47" i="1"/>
  <c r="F47" i="1"/>
  <c r="E47" i="1"/>
  <c r="Q46" i="1"/>
  <c r="P46" i="1"/>
  <c r="O46" i="1"/>
  <c r="N46" i="1"/>
  <c r="M46" i="1"/>
  <c r="J46" i="1"/>
  <c r="I46" i="1"/>
  <c r="H46" i="1"/>
  <c r="F46" i="1"/>
  <c r="E46" i="1"/>
  <c r="D46" i="1"/>
  <c r="Q45" i="1"/>
  <c r="P45" i="1"/>
  <c r="O45" i="1"/>
  <c r="N45" i="1"/>
  <c r="M45" i="1"/>
  <c r="K45" i="1"/>
  <c r="J45" i="1"/>
  <c r="H45" i="1"/>
  <c r="G45" i="1"/>
  <c r="F45" i="1"/>
  <c r="E45" i="1"/>
  <c r="D45" i="1"/>
  <c r="R45" i="1" s="1"/>
  <c r="Q44" i="1"/>
  <c r="P44" i="1"/>
  <c r="O44" i="1"/>
  <c r="N44" i="1"/>
  <c r="K44" i="1"/>
  <c r="J44" i="1"/>
  <c r="I44" i="1"/>
  <c r="G44" i="1"/>
  <c r="E44" i="1"/>
  <c r="Q43" i="1"/>
  <c r="P43" i="1"/>
  <c r="O43" i="1"/>
  <c r="N43" i="1"/>
  <c r="L43" i="1"/>
  <c r="K43" i="1"/>
  <c r="J43" i="1"/>
  <c r="I43" i="1"/>
  <c r="F43" i="1"/>
  <c r="D43" i="1"/>
  <c r="Q42" i="1"/>
  <c r="P42" i="1"/>
  <c r="S42" i="1" s="1"/>
  <c r="O42" i="1"/>
  <c r="M42" i="1"/>
  <c r="L42" i="1"/>
  <c r="K42" i="1"/>
  <c r="J42" i="1"/>
  <c r="I42" i="1"/>
  <c r="G42" i="1"/>
  <c r="F42" i="1"/>
  <c r="E42" i="1"/>
  <c r="D42" i="1"/>
  <c r="Q41" i="1"/>
  <c r="P41" i="1"/>
  <c r="O41" i="1"/>
  <c r="M41" i="1"/>
  <c r="L41" i="1"/>
  <c r="K41" i="1"/>
  <c r="J41" i="1"/>
  <c r="I41" i="1"/>
  <c r="H41" i="1"/>
  <c r="G41" i="1"/>
  <c r="F41" i="1"/>
  <c r="E41" i="1"/>
  <c r="D41" i="1"/>
  <c r="Q40" i="1"/>
  <c r="P40" i="1"/>
  <c r="N40" i="1"/>
  <c r="M40" i="1"/>
  <c r="L40" i="1"/>
  <c r="K40" i="1"/>
  <c r="J40" i="1"/>
  <c r="H40" i="1"/>
  <c r="G40" i="1"/>
  <c r="F40" i="1"/>
  <c r="D40" i="1"/>
  <c r="Q39" i="1"/>
  <c r="P39" i="1"/>
  <c r="N39" i="1"/>
  <c r="M39" i="1"/>
  <c r="K39" i="1"/>
  <c r="J39" i="1"/>
  <c r="H39" i="1"/>
  <c r="G39" i="1"/>
  <c r="E39" i="1"/>
  <c r="D39" i="1"/>
  <c r="Q38" i="1"/>
  <c r="O38" i="1"/>
  <c r="N38" i="1"/>
  <c r="M38" i="1"/>
  <c r="L38" i="1"/>
  <c r="K38" i="1"/>
  <c r="H38" i="1"/>
  <c r="G38" i="1"/>
  <c r="F38" i="1"/>
  <c r="E38" i="1"/>
  <c r="D38" i="1"/>
  <c r="Q37" i="1"/>
  <c r="O37" i="1"/>
  <c r="N37" i="1"/>
  <c r="M37" i="1"/>
  <c r="L37" i="1"/>
  <c r="K37" i="1"/>
  <c r="I37" i="1"/>
  <c r="G37" i="1"/>
  <c r="Q36" i="1"/>
  <c r="P36" i="1"/>
  <c r="O36" i="1"/>
  <c r="N36" i="1"/>
  <c r="M36" i="1"/>
  <c r="L36" i="1"/>
  <c r="I36" i="1"/>
  <c r="H36" i="1"/>
  <c r="F36" i="1"/>
  <c r="D36" i="1"/>
  <c r="S35" i="1"/>
  <c r="R35" i="1"/>
  <c r="P35" i="1"/>
  <c r="O35" i="1"/>
  <c r="N35" i="1"/>
  <c r="M35" i="1"/>
  <c r="L35" i="1"/>
  <c r="J35" i="1"/>
  <c r="I35" i="1"/>
  <c r="H35" i="1"/>
  <c r="G35" i="1"/>
  <c r="F35" i="1"/>
  <c r="E35" i="1"/>
  <c r="Q34" i="1"/>
  <c r="P34" i="1"/>
  <c r="O34" i="1"/>
  <c r="N34" i="1"/>
  <c r="M34" i="1"/>
  <c r="J34" i="1"/>
  <c r="I34" i="1"/>
  <c r="H34" i="1"/>
  <c r="F34" i="1"/>
  <c r="E34" i="1"/>
  <c r="D34" i="1"/>
  <c r="Q33" i="1"/>
  <c r="P33" i="1"/>
  <c r="O33" i="1"/>
  <c r="N33" i="1"/>
  <c r="M33" i="1"/>
  <c r="K33" i="1"/>
  <c r="J33" i="1"/>
  <c r="H33" i="1"/>
  <c r="G33" i="1"/>
  <c r="F33" i="1"/>
  <c r="E33" i="1"/>
  <c r="D33" i="1"/>
  <c r="Q32" i="1"/>
  <c r="P32" i="1"/>
  <c r="O32" i="1"/>
  <c r="N32" i="1"/>
  <c r="K32" i="1"/>
  <c r="J32" i="1"/>
  <c r="I32" i="1"/>
  <c r="G32" i="1"/>
  <c r="F32" i="1"/>
  <c r="E32" i="1"/>
  <c r="Q31" i="1"/>
  <c r="P31" i="1"/>
  <c r="O31" i="1"/>
  <c r="N31" i="1"/>
  <c r="L31" i="1"/>
  <c r="K31" i="1"/>
  <c r="J31" i="1"/>
  <c r="I31" i="1"/>
  <c r="F31" i="1"/>
  <c r="D31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Q29" i="1"/>
  <c r="P29" i="1"/>
  <c r="O29" i="1"/>
  <c r="M29" i="1"/>
  <c r="L29" i="1"/>
  <c r="K29" i="1"/>
  <c r="J29" i="1"/>
  <c r="I29" i="1"/>
  <c r="H29" i="1"/>
  <c r="G29" i="1"/>
  <c r="F29" i="1"/>
  <c r="E29" i="1"/>
  <c r="S29" i="1" s="1"/>
  <c r="D29" i="1"/>
  <c r="Q28" i="1"/>
  <c r="P28" i="1"/>
  <c r="O28" i="1"/>
  <c r="N28" i="1"/>
  <c r="M28" i="1"/>
  <c r="L28" i="1"/>
  <c r="K28" i="1"/>
  <c r="J28" i="1"/>
  <c r="H28" i="1"/>
  <c r="G28" i="1"/>
  <c r="F28" i="1"/>
  <c r="E28" i="1"/>
  <c r="D28" i="1"/>
  <c r="Q27" i="1"/>
  <c r="P27" i="1"/>
  <c r="N27" i="1"/>
  <c r="S27" i="1" s="1"/>
  <c r="M27" i="1"/>
  <c r="K27" i="1"/>
  <c r="J27" i="1"/>
  <c r="H27" i="1"/>
  <c r="G27" i="1"/>
  <c r="E27" i="1"/>
  <c r="D27" i="1"/>
  <c r="Q26" i="1"/>
  <c r="O26" i="1"/>
  <c r="N26" i="1"/>
  <c r="M26" i="1"/>
  <c r="L26" i="1"/>
  <c r="K26" i="1"/>
  <c r="H26" i="1"/>
  <c r="G26" i="1"/>
  <c r="D26" i="1"/>
  <c r="Q25" i="1"/>
  <c r="P25" i="1"/>
  <c r="O25" i="1"/>
  <c r="N25" i="1"/>
  <c r="M25" i="1"/>
  <c r="L25" i="1"/>
  <c r="K25" i="1"/>
  <c r="I25" i="1"/>
  <c r="G25" i="1"/>
  <c r="Q24" i="1"/>
  <c r="P24" i="1"/>
  <c r="O24" i="1"/>
  <c r="N24" i="1"/>
  <c r="M24" i="1"/>
  <c r="L24" i="1"/>
  <c r="I24" i="1"/>
  <c r="H24" i="1"/>
  <c r="F24" i="1"/>
  <c r="P23" i="1"/>
  <c r="O23" i="1"/>
  <c r="N23" i="1"/>
  <c r="M23" i="1"/>
  <c r="L23" i="1"/>
  <c r="J23" i="1"/>
  <c r="I23" i="1"/>
  <c r="H23" i="1"/>
  <c r="F23" i="1"/>
  <c r="E23" i="1"/>
  <c r="Q22" i="1"/>
  <c r="P22" i="1"/>
  <c r="O22" i="1"/>
  <c r="N22" i="1"/>
  <c r="M22" i="1"/>
  <c r="J22" i="1"/>
  <c r="I22" i="1"/>
  <c r="H22" i="1"/>
  <c r="F22" i="1"/>
  <c r="E22" i="1"/>
  <c r="D22" i="1"/>
  <c r="Q21" i="1"/>
  <c r="P21" i="1"/>
  <c r="O21" i="1"/>
  <c r="N21" i="1"/>
  <c r="M21" i="1"/>
  <c r="K21" i="1"/>
  <c r="J21" i="1"/>
  <c r="H21" i="1"/>
  <c r="G21" i="1"/>
  <c r="F21" i="1"/>
  <c r="E21" i="1"/>
  <c r="D21" i="1"/>
  <c r="Q20" i="1"/>
  <c r="P20" i="1"/>
  <c r="O20" i="1"/>
  <c r="N20" i="1"/>
  <c r="L20" i="1"/>
  <c r="K20" i="1"/>
  <c r="J20" i="1"/>
  <c r="I20" i="1"/>
  <c r="G20" i="1"/>
  <c r="E20" i="1"/>
  <c r="R20" i="1" s="1"/>
  <c r="Q19" i="1"/>
  <c r="P19" i="1"/>
  <c r="O19" i="1"/>
  <c r="N19" i="1"/>
  <c r="M19" i="1"/>
  <c r="L19" i="1"/>
  <c r="K19" i="1"/>
  <c r="J19" i="1"/>
  <c r="I19" i="1"/>
  <c r="F19" i="1"/>
  <c r="D19" i="1"/>
  <c r="R19" i="1" s="1"/>
  <c r="Q18" i="1"/>
  <c r="P18" i="1"/>
  <c r="O18" i="1"/>
  <c r="N18" i="1"/>
  <c r="M18" i="1"/>
  <c r="L18" i="1"/>
  <c r="K18" i="1"/>
  <c r="J18" i="1"/>
  <c r="I18" i="1"/>
  <c r="G18" i="1"/>
  <c r="F18" i="1"/>
  <c r="E18" i="1"/>
  <c r="Q17" i="1"/>
  <c r="P17" i="1"/>
  <c r="O17" i="1"/>
  <c r="M17" i="1"/>
  <c r="L17" i="1"/>
  <c r="K17" i="1"/>
  <c r="J17" i="1"/>
  <c r="I17" i="1"/>
  <c r="H17" i="1"/>
  <c r="G17" i="1"/>
  <c r="F17" i="1"/>
  <c r="E17" i="1"/>
  <c r="D17" i="1"/>
  <c r="Q16" i="1"/>
  <c r="P16" i="1"/>
  <c r="N16" i="1"/>
  <c r="M16" i="1"/>
  <c r="L16" i="1"/>
  <c r="K16" i="1"/>
  <c r="J16" i="1"/>
  <c r="H16" i="1"/>
  <c r="G16" i="1"/>
  <c r="F16" i="1"/>
  <c r="E16" i="1"/>
  <c r="D16" i="1"/>
  <c r="Q15" i="1"/>
  <c r="P15" i="1"/>
  <c r="N15" i="1"/>
  <c r="M15" i="1"/>
  <c r="K15" i="1"/>
  <c r="J15" i="1"/>
  <c r="H15" i="1"/>
  <c r="G15" i="1"/>
  <c r="E15" i="1"/>
  <c r="D15" i="1"/>
  <c r="S15" i="1" s="1"/>
  <c r="Q14" i="1"/>
  <c r="O14" i="1"/>
  <c r="N14" i="1"/>
  <c r="M14" i="1"/>
  <c r="L14" i="1"/>
  <c r="K14" i="1"/>
  <c r="H14" i="1"/>
  <c r="G14" i="1"/>
  <c r="D14" i="1"/>
  <c r="Q13" i="1"/>
  <c r="O13" i="1"/>
  <c r="N13" i="1"/>
  <c r="M13" i="1"/>
  <c r="L13" i="1"/>
  <c r="K13" i="1"/>
  <c r="I13" i="1"/>
  <c r="G13" i="1"/>
  <c r="D13" i="1"/>
  <c r="P12" i="1"/>
  <c r="O12" i="1"/>
  <c r="N12" i="1"/>
  <c r="M12" i="1"/>
  <c r="L12" i="1"/>
  <c r="I12" i="1"/>
  <c r="H12" i="1"/>
  <c r="F12" i="1"/>
  <c r="Q11" i="1"/>
  <c r="P11" i="1"/>
  <c r="O11" i="1"/>
  <c r="N11" i="1"/>
  <c r="M11" i="1"/>
  <c r="L11" i="1"/>
  <c r="J11" i="1"/>
  <c r="I11" i="1"/>
  <c r="H11" i="1"/>
  <c r="G11" i="1"/>
  <c r="F11" i="1"/>
  <c r="E11" i="1"/>
  <c r="Q10" i="1"/>
  <c r="P10" i="1"/>
  <c r="O10" i="1"/>
  <c r="N10" i="1"/>
  <c r="M10" i="1"/>
  <c r="L10" i="1"/>
  <c r="J10" i="1"/>
  <c r="I10" i="1"/>
  <c r="H10" i="1"/>
  <c r="F10" i="1"/>
  <c r="E10" i="1"/>
  <c r="D10" i="1"/>
  <c r="Q9" i="1"/>
  <c r="P9" i="1"/>
  <c r="O9" i="1"/>
  <c r="N9" i="1"/>
  <c r="M9" i="1"/>
  <c r="K9" i="1"/>
  <c r="J9" i="1"/>
  <c r="I9" i="1"/>
  <c r="H9" i="1"/>
  <c r="G9" i="1"/>
  <c r="F9" i="1"/>
  <c r="E9" i="1"/>
  <c r="S9" i="1" s="1"/>
  <c r="D9" i="1"/>
  <c r="Q8" i="1"/>
  <c r="P8" i="1"/>
  <c r="O8" i="1"/>
  <c r="N8" i="1"/>
  <c r="K8" i="1"/>
  <c r="J8" i="1"/>
  <c r="I8" i="1"/>
  <c r="G8" i="1"/>
  <c r="E8" i="1"/>
  <c r="Q7" i="1"/>
  <c r="P7" i="1"/>
  <c r="O7" i="1"/>
  <c r="N7" i="1"/>
  <c r="M7" i="1"/>
  <c r="L7" i="1"/>
  <c r="K7" i="1"/>
  <c r="J7" i="1"/>
  <c r="I7" i="1"/>
  <c r="F7" i="1"/>
  <c r="D7" i="1"/>
  <c r="Q6" i="1"/>
  <c r="P6" i="1"/>
  <c r="O6" i="1"/>
  <c r="N6" i="1"/>
  <c r="M6" i="1"/>
  <c r="L6" i="1"/>
  <c r="K6" i="1"/>
  <c r="J6" i="1"/>
  <c r="I6" i="1"/>
  <c r="G6" i="1"/>
  <c r="F6" i="1"/>
  <c r="E6" i="1"/>
  <c r="S11" i="1" l="1"/>
  <c r="R23" i="1"/>
  <c r="R60" i="1"/>
  <c r="S60" i="1"/>
  <c r="R194" i="1"/>
  <c r="S194" i="1"/>
  <c r="R13" i="1"/>
  <c r="S276" i="1"/>
  <c r="R276" i="1"/>
  <c r="S61" i="1"/>
  <c r="R61" i="1"/>
  <c r="R241" i="1"/>
  <c r="S241" i="1"/>
  <c r="S75" i="1"/>
  <c r="R75" i="1"/>
  <c r="R87" i="1"/>
  <c r="S87" i="1"/>
  <c r="R115" i="1"/>
  <c r="S115" i="1"/>
  <c r="R26" i="1"/>
  <c r="S26" i="1"/>
  <c r="R24" i="1"/>
  <c r="S24" i="1"/>
  <c r="S41" i="1"/>
  <c r="S195" i="1"/>
  <c r="R195" i="1"/>
  <c r="R11" i="1"/>
  <c r="R30" i="1"/>
  <c r="S30" i="1"/>
  <c r="S213" i="1"/>
  <c r="R213" i="1"/>
  <c r="S274" i="1"/>
  <c r="R274" i="1"/>
  <c r="S17" i="1"/>
  <c r="X34" i="8"/>
  <c r="Z34" i="8" s="1"/>
  <c r="B34" i="8"/>
  <c r="D34" i="8" s="1"/>
  <c r="AT34" i="8"/>
  <c r="AV34" i="8" s="1"/>
  <c r="AT82" i="8"/>
  <c r="AV82" i="8" s="1"/>
  <c r="B82" i="8"/>
  <c r="D82" i="8" s="1"/>
  <c r="X82" i="8"/>
  <c r="Z82" i="8" s="1"/>
  <c r="S214" i="1"/>
  <c r="R214" i="1"/>
  <c r="S73" i="1"/>
  <c r="R73" i="1"/>
  <c r="S113" i="1"/>
  <c r="R113" i="1"/>
  <c r="S151" i="1"/>
  <c r="R86" i="1"/>
  <c r="S86" i="1"/>
  <c r="S142" i="1"/>
  <c r="S231" i="1"/>
  <c r="R231" i="1"/>
  <c r="N20" i="2"/>
  <c r="N233" i="1"/>
  <c r="O11" i="2"/>
  <c r="O77" i="1"/>
  <c r="R77" i="1" s="1"/>
  <c r="Q9" i="2"/>
  <c r="Q59" i="1"/>
  <c r="C6" i="4"/>
  <c r="D6" i="4" s="1"/>
  <c r="E6" i="4" s="1"/>
  <c r="AT40" i="8"/>
  <c r="AV40" i="8" s="1"/>
  <c r="X40" i="8"/>
  <c r="Z40" i="8" s="1"/>
  <c r="B40" i="8"/>
  <c r="D40" i="8" s="1"/>
  <c r="S110" i="1"/>
  <c r="R110" i="1"/>
  <c r="N22" i="2"/>
  <c r="S62" i="1"/>
  <c r="R155" i="1"/>
  <c r="S220" i="1"/>
  <c r="R220" i="1"/>
  <c r="S256" i="1"/>
  <c r="J18" i="2"/>
  <c r="J194" i="1"/>
  <c r="M32" i="1"/>
  <c r="M7" i="2"/>
  <c r="N16" i="2"/>
  <c r="N158" i="1"/>
  <c r="N210" i="1"/>
  <c r="R210" i="1" s="1"/>
  <c r="N19" i="2"/>
  <c r="O14" i="2"/>
  <c r="O90" i="1"/>
  <c r="R90" i="1" s="1"/>
  <c r="S50" i="1"/>
  <c r="R50" i="1"/>
  <c r="Q17" i="2"/>
  <c r="Q174" i="1"/>
  <c r="Z9" i="8"/>
  <c r="S40" i="1"/>
  <c r="R40" i="1"/>
  <c r="X10" i="8"/>
  <c r="Z10" i="8" s="1"/>
  <c r="B10" i="8"/>
  <c r="D10" i="8" s="1"/>
  <c r="AT10" i="8"/>
  <c r="AV10" i="8" s="1"/>
  <c r="AT64" i="8"/>
  <c r="AV64" i="8" s="1"/>
  <c r="B64" i="8"/>
  <c r="D64" i="8" s="1"/>
  <c r="X64" i="8"/>
  <c r="Z64" i="8" s="1"/>
  <c r="R42" i="1"/>
  <c r="S272" i="1"/>
  <c r="S47" i="1"/>
  <c r="R141" i="1"/>
  <c r="S141" i="1"/>
  <c r="S254" i="1"/>
  <c r="R254" i="1"/>
  <c r="R48" i="1"/>
  <c r="S219" i="1"/>
  <c r="R219" i="1"/>
  <c r="S279" i="1"/>
  <c r="R279" i="1"/>
  <c r="E49" i="1"/>
  <c r="E8" i="2"/>
  <c r="S8" i="2" s="1"/>
  <c r="I11" i="2"/>
  <c r="I77" i="1"/>
  <c r="L71" i="1"/>
  <c r="R71" i="1" s="1"/>
  <c r="L10" i="2"/>
  <c r="S10" i="2" s="1"/>
  <c r="L12" i="2"/>
  <c r="L83" i="1"/>
  <c r="R83" i="1" s="1"/>
  <c r="R68" i="1"/>
  <c r="R89" i="1"/>
  <c r="R275" i="1"/>
  <c r="S37" i="1"/>
  <c r="R37" i="1"/>
  <c r="R143" i="1"/>
  <c r="S143" i="1"/>
  <c r="R182" i="1"/>
  <c r="S182" i="1"/>
  <c r="R232" i="1"/>
  <c r="S232" i="1"/>
  <c r="S280" i="1"/>
  <c r="R280" i="1"/>
  <c r="S64" i="1"/>
  <c r="F11" i="2"/>
  <c r="F77" i="1"/>
  <c r="F18" i="2"/>
  <c r="S18" i="2" s="1"/>
  <c r="F194" i="1"/>
  <c r="H19" i="2"/>
  <c r="H210" i="1"/>
  <c r="S210" i="1" s="1"/>
  <c r="H258" i="1"/>
  <c r="S258" i="1" s="1"/>
  <c r="H21" i="2"/>
  <c r="I90" i="1"/>
  <c r="S90" i="1" s="1"/>
  <c r="I14" i="2"/>
  <c r="L9" i="2"/>
  <c r="L59" i="1"/>
  <c r="R59" i="1" s="1"/>
  <c r="N6" i="2"/>
  <c r="C16" i="4"/>
  <c r="N21" i="2"/>
  <c r="N258" i="1"/>
  <c r="L32" i="1"/>
  <c r="D49" i="1"/>
  <c r="S69" i="1"/>
  <c r="S71" i="1"/>
  <c r="R91" i="1"/>
  <c r="S92" i="1"/>
  <c r="S93" i="1"/>
  <c r="R116" i="1"/>
  <c r="R152" i="1"/>
  <c r="S152" i="1"/>
  <c r="S189" i="1"/>
  <c r="E233" i="1"/>
  <c r="S31" i="1"/>
  <c r="R31" i="1"/>
  <c r="R38" i="1"/>
  <c r="S139" i="1"/>
  <c r="X22" i="8"/>
  <c r="Z22" i="8" s="1"/>
  <c r="B22" i="8"/>
  <c r="D22" i="8" s="1"/>
  <c r="AT22" i="8"/>
  <c r="AV22" i="8" s="1"/>
  <c r="AT70" i="8"/>
  <c r="AV70" i="8" s="1"/>
  <c r="B70" i="8"/>
  <c r="D70" i="8" s="1"/>
  <c r="X70" i="8"/>
  <c r="Z70" i="8" s="1"/>
  <c r="S165" i="1"/>
  <c r="R165" i="1"/>
  <c r="S242" i="1"/>
  <c r="R242" i="1"/>
  <c r="S252" i="1"/>
  <c r="R252" i="1"/>
  <c r="G59" i="1"/>
  <c r="G9" i="2"/>
  <c r="S9" i="2" s="1"/>
  <c r="S95" i="1"/>
  <c r="R118" i="1"/>
  <c r="S118" i="1"/>
  <c r="R12" i="1"/>
  <c r="S12" i="1"/>
  <c r="S101" i="1"/>
  <c r="R101" i="1"/>
  <c r="S166" i="1"/>
  <c r="R255" i="1"/>
  <c r="S255" i="1"/>
  <c r="R265" i="1"/>
  <c r="K15" i="2"/>
  <c r="S15" i="2" s="1"/>
  <c r="K139" i="1"/>
  <c r="R139" i="1" s="1"/>
  <c r="S19" i="1"/>
  <c r="F49" i="1"/>
  <c r="S88" i="1"/>
  <c r="S94" i="1"/>
  <c r="R94" i="1"/>
  <c r="R102" i="1"/>
  <c r="R127" i="1"/>
  <c r="S155" i="1"/>
  <c r="S158" i="1"/>
  <c r="S201" i="1"/>
  <c r="R201" i="1"/>
  <c r="R211" i="1"/>
  <c r="S23" i="1"/>
  <c r="R51" i="1"/>
  <c r="S51" i="1"/>
  <c r="S53" i="1"/>
  <c r="R53" i="1"/>
  <c r="R54" i="1"/>
  <c r="S54" i="1"/>
  <c r="R72" i="1"/>
  <c r="S99" i="1"/>
  <c r="R151" i="1"/>
  <c r="S184" i="1"/>
  <c r="S199" i="1"/>
  <c r="R199" i="1"/>
  <c r="S228" i="1"/>
  <c r="R228" i="1"/>
  <c r="R248" i="1"/>
  <c r="BG7" i="8"/>
  <c r="BI7" i="8" s="1"/>
  <c r="BK7" i="8" s="1"/>
  <c r="BH8" i="8"/>
  <c r="R41" i="1"/>
  <c r="S216" i="1"/>
  <c r="R216" i="1"/>
  <c r="X28" i="8"/>
  <c r="Z28" i="8" s="1"/>
  <c r="AT28" i="8"/>
  <c r="AV28" i="8" s="1"/>
  <c r="B28" i="8"/>
  <c r="D28" i="8" s="1"/>
  <c r="AT52" i="8"/>
  <c r="AV52" i="8" s="1"/>
  <c r="B52" i="8"/>
  <c r="D52" i="8" s="1"/>
  <c r="X52" i="8"/>
  <c r="Z52" i="8" s="1"/>
  <c r="R36" i="1"/>
  <c r="S145" i="1"/>
  <c r="S234" i="1"/>
  <c r="R234" i="1"/>
  <c r="S126" i="1"/>
  <c r="R126" i="1"/>
  <c r="S266" i="1"/>
  <c r="R266" i="1"/>
  <c r="K9" i="2"/>
  <c r="K59" i="1"/>
  <c r="S13" i="1"/>
  <c r="S66" i="1"/>
  <c r="R66" i="1"/>
  <c r="R74" i="1"/>
  <c r="G174" i="1"/>
  <c r="G17" i="2"/>
  <c r="S22" i="1"/>
  <c r="R22" i="1"/>
  <c r="S58" i="1"/>
  <c r="C7" i="4"/>
  <c r="D7" i="4" s="1"/>
  <c r="E7" i="4" s="1"/>
  <c r="C12" i="4"/>
  <c r="C18" i="4"/>
  <c r="D18" i="4" s="1"/>
  <c r="E18" i="4" s="1"/>
  <c r="B46" i="8"/>
  <c r="D46" i="8" s="1"/>
  <c r="AT46" i="8"/>
  <c r="AV46" i="8" s="1"/>
  <c r="X46" i="8"/>
  <c r="Z46" i="8" s="1"/>
  <c r="S204" i="1"/>
  <c r="R204" i="1"/>
  <c r="R153" i="1"/>
  <c r="S153" i="1"/>
  <c r="R206" i="1"/>
  <c r="S206" i="1"/>
  <c r="R230" i="1"/>
  <c r="S230" i="1"/>
  <c r="I18" i="2"/>
  <c r="R18" i="2" s="1"/>
  <c r="I194" i="1"/>
  <c r="R17" i="1"/>
  <c r="S202" i="1"/>
  <c r="R202" i="1"/>
  <c r="S271" i="1"/>
  <c r="S207" i="1"/>
  <c r="R207" i="1"/>
  <c r="R243" i="1"/>
  <c r="R128" i="1"/>
  <c r="S128" i="1"/>
  <c r="R124" i="1"/>
  <c r="S170" i="1"/>
  <c r="R170" i="1"/>
  <c r="H20" i="2"/>
  <c r="S20" i="2" s="1"/>
  <c r="H233" i="1"/>
  <c r="R233" i="1" s="1"/>
  <c r="H22" i="2"/>
  <c r="H281" i="1"/>
  <c r="S48" i="1"/>
  <c r="S68" i="1"/>
  <c r="R145" i="1"/>
  <c r="R8" i="2"/>
  <c r="S268" i="1"/>
  <c r="R268" i="1"/>
  <c r="R171" i="1"/>
  <c r="S20" i="1"/>
  <c r="R29" i="1"/>
  <c r="S78" i="1"/>
  <c r="R99" i="1"/>
  <c r="S239" i="1"/>
  <c r="L17" i="2"/>
  <c r="S8" i="1"/>
  <c r="R58" i="1"/>
  <c r="R18" i="1"/>
  <c r="R120" i="1"/>
  <c r="R136" i="1"/>
  <c r="S136" i="1"/>
  <c r="S148" i="1"/>
  <c r="R148" i="1"/>
  <c r="R160" i="1"/>
  <c r="S160" i="1"/>
  <c r="D17" i="2"/>
  <c r="D174" i="1"/>
  <c r="R187" i="1"/>
  <c r="S187" i="1"/>
  <c r="S225" i="1"/>
  <c r="R225" i="1"/>
  <c r="S237" i="1"/>
  <c r="R237" i="1"/>
  <c r="R249" i="1"/>
  <c r="R261" i="1"/>
  <c r="S261" i="1"/>
  <c r="S273" i="1"/>
  <c r="R273" i="1"/>
  <c r="S56" i="1"/>
  <c r="E17" i="2"/>
  <c r="E174" i="1"/>
  <c r="S250" i="1"/>
  <c r="R250" i="1"/>
  <c r="S262" i="1"/>
  <c r="R262" i="1"/>
  <c r="R7" i="2"/>
  <c r="S44" i="1"/>
  <c r="S104" i="1"/>
  <c r="R104" i="1"/>
  <c r="AT58" i="8"/>
  <c r="AV58" i="8" s="1"/>
  <c r="B58" i="8"/>
  <c r="D58" i="8" s="1"/>
  <c r="X58" i="8"/>
  <c r="Z58" i="8" s="1"/>
  <c r="S121" i="1"/>
  <c r="S235" i="1"/>
  <c r="R253" i="1"/>
  <c r="S253" i="1"/>
  <c r="R218" i="1"/>
  <c r="S218" i="1"/>
  <c r="S278" i="1"/>
  <c r="R278" i="1"/>
  <c r="F15" i="2"/>
  <c r="R15" i="2" s="1"/>
  <c r="F139" i="1"/>
  <c r="I13" i="2"/>
  <c r="I89" i="1"/>
  <c r="S89" i="1" s="1"/>
  <c r="R10" i="2"/>
  <c r="R131" i="1"/>
  <c r="S131" i="1"/>
  <c r="S208" i="1"/>
  <c r="R208" i="1"/>
  <c r="E281" i="1"/>
  <c r="R281" i="1" s="1"/>
  <c r="E22" i="2"/>
  <c r="S52" i="1"/>
  <c r="R52" i="1"/>
  <c r="S7" i="1"/>
  <c r="S226" i="1"/>
  <c r="R62" i="1"/>
  <c r="R64" i="1"/>
  <c r="S74" i="1"/>
  <c r="R79" i="1"/>
  <c r="S81" i="1"/>
  <c r="S83" i="1"/>
  <c r="S106" i="1"/>
  <c r="R123" i="1"/>
  <c r="S123" i="1"/>
  <c r="S125" i="1"/>
  <c r="R133" i="1"/>
  <c r="S134" i="1"/>
  <c r="S140" i="1"/>
  <c r="S149" i="1"/>
  <c r="R164" i="1"/>
  <c r="S164" i="1"/>
  <c r="S171" i="1"/>
  <c r="S176" i="1"/>
  <c r="S238" i="1"/>
  <c r="R238" i="1"/>
  <c r="S240" i="1"/>
  <c r="R240" i="1"/>
  <c r="S247" i="1"/>
  <c r="S251" i="1"/>
  <c r="F13" i="2"/>
  <c r="S13" i="2" s="1"/>
  <c r="R39" i="1"/>
  <c r="X16" i="8"/>
  <c r="Z16" i="8" s="1"/>
  <c r="B16" i="8"/>
  <c r="D16" i="8" s="1"/>
  <c r="AT16" i="8"/>
  <c r="AV16" i="8" s="1"/>
  <c r="AT76" i="8"/>
  <c r="AV76" i="8" s="1"/>
  <c r="X76" i="8"/>
  <c r="Z76" i="8" s="1"/>
  <c r="B76" i="8"/>
  <c r="D76" i="8" s="1"/>
  <c r="S45" i="1"/>
  <c r="S46" i="1"/>
  <c r="R46" i="1"/>
  <c r="R111" i="1"/>
  <c r="S111" i="1"/>
  <c r="S85" i="1"/>
  <c r="R85" i="1"/>
  <c r="S180" i="1"/>
  <c r="R180" i="1"/>
  <c r="C10" i="4"/>
  <c r="D10" i="4" s="1"/>
  <c r="E10" i="4" s="1"/>
  <c r="H6" i="1"/>
  <c r="R44" i="1"/>
  <c r="R114" i="1"/>
  <c r="S114" i="1"/>
  <c r="S154" i="1"/>
  <c r="R154" i="1"/>
  <c r="S267" i="1"/>
  <c r="R267" i="1"/>
  <c r="R67" i="1"/>
  <c r="R129" i="1"/>
  <c r="R142" i="1"/>
  <c r="S25" i="1"/>
  <c r="R25" i="1"/>
  <c r="R167" i="1"/>
  <c r="S167" i="1"/>
  <c r="S196" i="1"/>
  <c r="S14" i="1"/>
  <c r="R76" i="1"/>
  <c r="S269" i="1"/>
  <c r="H7" i="2"/>
  <c r="S7" i="2" s="1"/>
  <c r="H32" i="1"/>
  <c r="H16" i="2"/>
  <c r="H158" i="1"/>
  <c r="R158" i="1" s="1"/>
  <c r="S55" i="1"/>
  <c r="S72" i="1"/>
  <c r="S198" i="1"/>
  <c r="R198" i="1"/>
  <c r="R193" i="1"/>
  <c r="R217" i="1"/>
  <c r="D6" i="2"/>
  <c r="D6" i="1"/>
  <c r="R80" i="1"/>
  <c r="R108" i="1"/>
  <c r="S108" i="1"/>
  <c r="S38" i="1"/>
  <c r="S39" i="1"/>
  <c r="S59" i="1"/>
  <c r="S65" i="1"/>
  <c r="R82" i="1"/>
  <c r="S84" i="1"/>
  <c r="R84" i="1"/>
  <c r="S98" i="1"/>
  <c r="R98" i="1"/>
  <c r="S120" i="1"/>
  <c r="R175" i="1"/>
  <c r="S181" i="1"/>
  <c r="R196" i="1"/>
  <c r="S249" i="1"/>
  <c r="S281" i="1"/>
  <c r="S12" i="2"/>
  <c r="S76" i="1"/>
  <c r="S156" i="1"/>
  <c r="R156" i="1"/>
  <c r="S157" i="1"/>
  <c r="R157" i="1"/>
  <c r="S162" i="1"/>
  <c r="R162" i="1"/>
  <c r="S163" i="1"/>
  <c r="S178" i="1"/>
  <c r="S223" i="1"/>
  <c r="R223" i="1"/>
  <c r="S245" i="1"/>
  <c r="R246" i="1"/>
  <c r="S260" i="1"/>
  <c r="R260" i="1"/>
  <c r="R20" i="2"/>
  <c r="R69" i="1"/>
  <c r="S43" i="1"/>
  <c r="R125" i="1"/>
  <c r="R137" i="1"/>
  <c r="S137" i="1"/>
  <c r="R138" i="1"/>
  <c r="S138" i="1"/>
  <c r="R161" i="1"/>
  <c r="S177" i="1"/>
  <c r="S222" i="1"/>
  <c r="R222" i="1"/>
  <c r="S14" i="2"/>
  <c r="R14" i="2"/>
  <c r="R117" i="1"/>
  <c r="S117" i="1"/>
  <c r="S133" i="1"/>
  <c r="R184" i="1"/>
  <c r="S246" i="1"/>
  <c r="R270" i="1"/>
  <c r="S270" i="1"/>
  <c r="R282" i="1"/>
  <c r="R247" i="1"/>
  <c r="R57" i="1"/>
  <c r="S57" i="1"/>
  <c r="R107" i="1"/>
  <c r="S124" i="1"/>
  <c r="R132" i="1"/>
  <c r="R135" i="1"/>
  <c r="S135" i="1"/>
  <c r="R140" i="1"/>
  <c r="S144" i="1"/>
  <c r="R146" i="1"/>
  <c r="S146" i="1"/>
  <c r="R150" i="1"/>
  <c r="S150" i="1"/>
  <c r="S19" i="2"/>
  <c r="R19" i="2"/>
  <c r="S16" i="2"/>
  <c r="R271" i="1"/>
  <c r="R27" i="1"/>
  <c r="S28" i="1"/>
  <c r="R33" i="1"/>
  <c r="S33" i="1"/>
  <c r="S103" i="1"/>
  <c r="R103" i="1"/>
  <c r="R9" i="1"/>
  <c r="R15" i="1"/>
  <c r="S16" i="1"/>
  <c r="R21" i="1"/>
  <c r="S21" i="1"/>
  <c r="S34" i="1"/>
  <c r="S63" i="1"/>
  <c r="S79" i="1"/>
  <c r="R95" i="1"/>
  <c r="R185" i="1"/>
  <c r="S192" i="1"/>
  <c r="R192" i="1"/>
  <c r="S205" i="1"/>
  <c r="S257" i="1"/>
  <c r="R258" i="1"/>
  <c r="S265" i="1"/>
  <c r="S70" i="1"/>
  <c r="S82" i="1"/>
  <c r="R97" i="1"/>
  <c r="R122" i="1"/>
  <c r="R176" i="1"/>
  <c r="R191" i="1"/>
  <c r="R203" i="1"/>
  <c r="R215" i="1"/>
  <c r="R227" i="1"/>
  <c r="S172" i="1"/>
  <c r="R172" i="1"/>
  <c r="R183" i="1"/>
  <c r="R190" i="1"/>
  <c r="S229" i="1"/>
  <c r="S67" i="1"/>
  <c r="S10" i="1"/>
  <c r="R16" i="1"/>
  <c r="R65" i="1"/>
  <c r="S96" i="1"/>
  <c r="R109" i="1"/>
  <c r="S109" i="1"/>
  <c r="S173" i="1"/>
  <c r="S188" i="1"/>
  <c r="R188" i="1"/>
  <c r="S203" i="1"/>
  <c r="S215" i="1"/>
  <c r="R105" i="1"/>
  <c r="R163" i="1"/>
  <c r="R212" i="1"/>
  <c r="R236" i="1"/>
  <c r="S277" i="1"/>
  <c r="H8" i="2"/>
  <c r="C11" i="4"/>
  <c r="D11" i="4" s="1"/>
  <c r="E11" i="4" s="1"/>
  <c r="I258" i="1"/>
  <c r="I21" i="2"/>
  <c r="K18" i="2"/>
  <c r="K194" i="1"/>
  <c r="D14" i="4"/>
  <c r="E14" i="4" s="1"/>
  <c r="R147" i="1"/>
  <c r="R197" i="1"/>
  <c r="S197" i="1"/>
  <c r="R221" i="1"/>
  <c r="S221" i="1"/>
  <c r="N15" i="2"/>
  <c r="S259" i="1"/>
  <c r="R259" i="1"/>
  <c r="R283" i="1"/>
  <c r="R272" i="1"/>
  <c r="C8" i="4"/>
  <c r="F6" i="2"/>
  <c r="C9" i="4"/>
  <c r="D9" i="4" s="1"/>
  <c r="E9" i="4" s="1"/>
  <c r="S159" i="1"/>
  <c r="R159" i="1"/>
  <c r="D21" i="2"/>
  <c r="Z7" i="8"/>
  <c r="AB7" i="8" s="1"/>
  <c r="AD7" i="8" s="1"/>
  <c r="AA8" i="8"/>
  <c r="C13" i="4"/>
  <c r="D13" i="4" s="1"/>
  <c r="E13" i="4" s="1"/>
  <c r="L281" i="1"/>
  <c r="L22" i="2"/>
  <c r="C19" i="4"/>
  <c r="D19" i="4" s="1"/>
  <c r="E19" i="4" s="1"/>
  <c r="S264" i="1"/>
  <c r="R63" i="1"/>
  <c r="R92" i="1"/>
  <c r="R106" i="1"/>
  <c r="R144" i="1"/>
  <c r="R168" i="1"/>
  <c r="S175" i="1"/>
  <c r="S183" i="1"/>
  <c r="S190" i="1"/>
  <c r="R200" i="1"/>
  <c r="R224" i="1"/>
  <c r="R239" i="1"/>
  <c r="R251" i="1"/>
  <c r="R264" i="1"/>
  <c r="R12" i="2"/>
  <c r="F16" i="2"/>
  <c r="G22" i="2"/>
  <c r="S263" i="1"/>
  <c r="R263" i="1"/>
  <c r="D32" i="1"/>
  <c r="R112" i="1"/>
  <c r="R134" i="1"/>
  <c r="R149" i="1"/>
  <c r="F174" i="1"/>
  <c r="R209" i="1"/>
  <c r="S209" i="1"/>
  <c r="S233" i="1"/>
  <c r="R269" i="1"/>
  <c r="S283" i="1"/>
  <c r="D12" i="4"/>
  <c r="E12" i="4" s="1"/>
  <c r="BG13" i="8"/>
  <c r="C17" i="4"/>
  <c r="D17" i="4" s="1"/>
  <c r="E17" i="4" s="1"/>
  <c r="D66" i="8"/>
  <c r="D8" i="4"/>
  <c r="E8" i="4" s="1"/>
  <c r="O12" i="8"/>
  <c r="AK10" i="8"/>
  <c r="Z14" i="8"/>
  <c r="C14" i="4"/>
  <c r="AL8" i="8"/>
  <c r="AN7" i="8"/>
  <c r="AM7" i="8"/>
  <c r="D15" i="4"/>
  <c r="E15" i="4" s="1"/>
  <c r="AT9" i="8"/>
  <c r="AV9" i="8" s="1"/>
  <c r="B9" i="8"/>
  <c r="D9" i="8" s="1"/>
  <c r="AT15" i="8"/>
  <c r="AV15" i="8" s="1"/>
  <c r="X15" i="8"/>
  <c r="Z15" i="8" s="1"/>
  <c r="AT21" i="8"/>
  <c r="AV21" i="8" s="1"/>
  <c r="B21" i="8"/>
  <c r="D21" i="8" s="1"/>
  <c r="X21" i="8"/>
  <c r="Z21" i="8" s="1"/>
  <c r="AT27" i="8"/>
  <c r="AV27" i="8" s="1"/>
  <c r="B27" i="8"/>
  <c r="D27" i="8" s="1"/>
  <c r="X27" i="8"/>
  <c r="Z27" i="8" s="1"/>
  <c r="AT33" i="8"/>
  <c r="AV33" i="8" s="1"/>
  <c r="B33" i="8"/>
  <c r="D33" i="8" s="1"/>
  <c r="X33" i="8"/>
  <c r="Z33" i="8" s="1"/>
  <c r="AT39" i="8"/>
  <c r="AV39" i="8" s="1"/>
  <c r="X39" i="8"/>
  <c r="Z39" i="8" s="1"/>
  <c r="B39" i="8"/>
  <c r="D39" i="8" s="1"/>
  <c r="B45" i="8"/>
  <c r="D45" i="8" s="1"/>
  <c r="AT45" i="8"/>
  <c r="AV45" i="8" s="1"/>
  <c r="X45" i="8"/>
  <c r="Z45" i="8" s="1"/>
  <c r="X51" i="8"/>
  <c r="Z51" i="8" s="1"/>
  <c r="B51" i="8"/>
  <c r="D51" i="8" s="1"/>
  <c r="AT51" i="8"/>
  <c r="AV51" i="8" s="1"/>
  <c r="X57" i="8"/>
  <c r="Z57" i="8" s="1"/>
  <c r="B57" i="8"/>
  <c r="D57" i="8" s="1"/>
  <c r="AT57" i="8"/>
  <c r="AV57" i="8" s="1"/>
  <c r="X63" i="8"/>
  <c r="Z63" i="8" s="1"/>
  <c r="AT63" i="8"/>
  <c r="AV63" i="8" s="1"/>
  <c r="B63" i="8"/>
  <c r="D63" i="8" s="1"/>
  <c r="B69" i="8"/>
  <c r="D69" i="8" s="1"/>
  <c r="AT69" i="8"/>
  <c r="AV69" i="8" s="1"/>
  <c r="X69" i="8"/>
  <c r="Z69" i="8" s="1"/>
  <c r="B75" i="8"/>
  <c r="D75" i="8" s="1"/>
  <c r="X75" i="8"/>
  <c r="Z75" i="8" s="1"/>
  <c r="AT75" i="8"/>
  <c r="AV75" i="8" s="1"/>
  <c r="X81" i="8"/>
  <c r="Z81" i="8" s="1"/>
  <c r="AT81" i="8"/>
  <c r="AV81" i="8" s="1"/>
  <c r="B81" i="8"/>
  <c r="D81" i="8" s="1"/>
  <c r="X87" i="8"/>
  <c r="Z87" i="8" s="1"/>
  <c r="B87" i="8"/>
  <c r="D87" i="8" s="1"/>
  <c r="AT87" i="8"/>
  <c r="AV87" i="8" s="1"/>
  <c r="C15" i="4"/>
  <c r="D16" i="4"/>
  <c r="E16" i="4" s="1"/>
  <c r="AK15" i="8"/>
  <c r="Z68" i="8"/>
  <c r="AK8" i="8"/>
  <c r="BG31" i="8"/>
  <c r="AV73" i="8"/>
  <c r="M9" i="8"/>
  <c r="O9" i="8" s="1"/>
  <c r="BE9" i="8"/>
  <c r="BG9" i="8" s="1"/>
  <c r="M15" i="8"/>
  <c r="O15" i="8" s="1"/>
  <c r="BE15" i="8"/>
  <c r="BG15" i="8" s="1"/>
  <c r="BE21" i="8"/>
  <c r="BG21" i="8" s="1"/>
  <c r="AI21" i="8"/>
  <c r="AK21" i="8" s="1"/>
  <c r="M21" i="8"/>
  <c r="O21" i="8" s="1"/>
  <c r="BE27" i="8"/>
  <c r="BG27" i="8" s="1"/>
  <c r="M27" i="8"/>
  <c r="O27" i="8" s="1"/>
  <c r="M33" i="8"/>
  <c r="O33" i="8" s="1"/>
  <c r="AI33" i="8"/>
  <c r="AK33" i="8" s="1"/>
  <c r="BE33" i="8"/>
  <c r="BG33" i="8" s="1"/>
  <c r="AI39" i="8"/>
  <c r="AK39" i="8" s="1"/>
  <c r="M39" i="8"/>
  <c r="O39" i="8" s="1"/>
  <c r="BE39" i="8"/>
  <c r="BG39" i="8" s="1"/>
  <c r="BE45" i="8"/>
  <c r="BG45" i="8" s="1"/>
  <c r="AI45" i="8"/>
  <c r="AK45" i="8" s="1"/>
  <c r="M45" i="8"/>
  <c r="O45" i="8" s="1"/>
  <c r="M51" i="8"/>
  <c r="O51" i="8" s="1"/>
  <c r="AI51" i="8"/>
  <c r="AK51" i="8" s="1"/>
  <c r="BE51" i="8"/>
  <c r="BG51" i="8" s="1"/>
  <c r="BE57" i="8"/>
  <c r="BG57" i="8" s="1"/>
  <c r="AI57" i="8"/>
  <c r="AK57" i="8" s="1"/>
  <c r="M57" i="8"/>
  <c r="O57" i="8" s="1"/>
  <c r="M63" i="8"/>
  <c r="O63" i="8" s="1"/>
  <c r="BE63" i="8"/>
  <c r="BG63" i="8" s="1"/>
  <c r="AI63" i="8"/>
  <c r="AK63" i="8" s="1"/>
  <c r="M69" i="8"/>
  <c r="O69" i="8" s="1"/>
  <c r="BE69" i="8"/>
  <c r="BG69" i="8" s="1"/>
  <c r="AI69" i="8"/>
  <c r="AK69" i="8" s="1"/>
  <c r="BE75" i="8"/>
  <c r="BG75" i="8" s="1"/>
  <c r="M75" i="8"/>
  <c r="O75" i="8" s="1"/>
  <c r="AI75" i="8"/>
  <c r="AK75" i="8" s="1"/>
  <c r="M81" i="8"/>
  <c r="O81" i="8" s="1"/>
  <c r="BE81" i="8"/>
  <c r="BG81" i="8" s="1"/>
  <c r="AI81" i="8"/>
  <c r="AK81" i="8" s="1"/>
  <c r="BE87" i="8"/>
  <c r="BG87" i="8" s="1"/>
  <c r="AI87" i="8"/>
  <c r="AK87" i="8" s="1"/>
  <c r="M87" i="8"/>
  <c r="O87" i="8" s="1"/>
  <c r="AT17" i="8"/>
  <c r="AV17" i="8" s="1"/>
  <c r="X17" i="8"/>
  <c r="Z17" i="8" s="1"/>
  <c r="AT23" i="8"/>
  <c r="AV23" i="8" s="1"/>
  <c r="B23" i="8"/>
  <c r="D23" i="8" s="1"/>
  <c r="X23" i="8"/>
  <c r="Z23" i="8" s="1"/>
  <c r="AT29" i="8"/>
  <c r="AV29" i="8" s="1"/>
  <c r="B29" i="8"/>
  <c r="D29" i="8" s="1"/>
  <c r="X29" i="8"/>
  <c r="Z29" i="8" s="1"/>
  <c r="X35" i="8"/>
  <c r="Z35" i="8" s="1"/>
  <c r="B35" i="8"/>
  <c r="D35" i="8" s="1"/>
  <c r="AT35" i="8"/>
  <c r="AV35" i="8" s="1"/>
  <c r="B41" i="8"/>
  <c r="D41" i="8" s="1"/>
  <c r="AT41" i="8"/>
  <c r="AV41" i="8" s="1"/>
  <c r="X41" i="8"/>
  <c r="Z41" i="8" s="1"/>
  <c r="X47" i="8"/>
  <c r="Z47" i="8" s="1"/>
  <c r="AT47" i="8"/>
  <c r="AV47" i="8" s="1"/>
  <c r="B47" i="8"/>
  <c r="D47" i="8" s="1"/>
  <c r="X53" i="8"/>
  <c r="Z53" i="8" s="1"/>
  <c r="AT53" i="8"/>
  <c r="AV53" i="8" s="1"/>
  <c r="B53" i="8"/>
  <c r="D53" i="8" s="1"/>
  <c r="X59" i="8"/>
  <c r="Z59" i="8" s="1"/>
  <c r="AT59" i="8"/>
  <c r="AV59" i="8" s="1"/>
  <c r="B59" i="8"/>
  <c r="D59" i="8" s="1"/>
  <c r="X65" i="8"/>
  <c r="Z65" i="8" s="1"/>
  <c r="B65" i="8"/>
  <c r="D65" i="8" s="1"/>
  <c r="AT65" i="8"/>
  <c r="AV65" i="8" s="1"/>
  <c r="B71" i="8"/>
  <c r="D71" i="8" s="1"/>
  <c r="X71" i="8"/>
  <c r="Z71" i="8" s="1"/>
  <c r="AT71" i="8"/>
  <c r="AV71" i="8" s="1"/>
  <c r="AT77" i="8"/>
  <c r="AV77" i="8" s="1"/>
  <c r="X77" i="8"/>
  <c r="Z77" i="8" s="1"/>
  <c r="B77" i="8"/>
  <c r="D77" i="8" s="1"/>
  <c r="X83" i="8"/>
  <c r="Z83" i="8" s="1"/>
  <c r="AT83" i="8"/>
  <c r="AV83" i="8" s="1"/>
  <c r="B83" i="8"/>
  <c r="D83" i="8" s="1"/>
  <c r="BE17" i="8"/>
  <c r="BG17" i="8" s="1"/>
  <c r="AI17" i="8"/>
  <c r="AK17" i="8" s="1"/>
  <c r="AI23" i="8"/>
  <c r="AK23" i="8" s="1"/>
  <c r="M23" i="8"/>
  <c r="O23" i="8" s="1"/>
  <c r="AI29" i="8"/>
  <c r="AK29" i="8" s="1"/>
  <c r="M29" i="8"/>
  <c r="O29" i="8" s="1"/>
  <c r="BE29" i="8"/>
  <c r="BG29" i="8" s="1"/>
  <c r="BE35" i="8"/>
  <c r="BG35" i="8" s="1"/>
  <c r="M35" i="8"/>
  <c r="O35" i="8" s="1"/>
  <c r="AI35" i="8"/>
  <c r="AK35" i="8" s="1"/>
  <c r="M41" i="8"/>
  <c r="O41" i="8" s="1"/>
  <c r="AI41" i="8"/>
  <c r="AK41" i="8" s="1"/>
  <c r="BE41" i="8"/>
  <c r="BG41" i="8" s="1"/>
  <c r="AI47" i="8"/>
  <c r="AK47" i="8" s="1"/>
  <c r="BE47" i="8"/>
  <c r="BG47" i="8" s="1"/>
  <c r="M47" i="8"/>
  <c r="O47" i="8" s="1"/>
  <c r="AI53" i="8"/>
  <c r="AK53" i="8" s="1"/>
  <c r="BE53" i="8"/>
  <c r="BG53" i="8" s="1"/>
  <c r="M53" i="8"/>
  <c r="O53" i="8" s="1"/>
  <c r="BE59" i="8"/>
  <c r="BG59" i="8" s="1"/>
  <c r="AI59" i="8"/>
  <c r="AK59" i="8" s="1"/>
  <c r="BE65" i="8"/>
  <c r="BG65" i="8" s="1"/>
  <c r="AI65" i="8"/>
  <c r="AK65" i="8" s="1"/>
  <c r="M65" i="8"/>
  <c r="O65" i="8" s="1"/>
  <c r="BE71" i="8"/>
  <c r="BG71" i="8" s="1"/>
  <c r="M71" i="8"/>
  <c r="O71" i="8" s="1"/>
  <c r="AI71" i="8"/>
  <c r="AK71" i="8" s="1"/>
  <c r="BE77" i="8"/>
  <c r="BG77" i="8" s="1"/>
  <c r="M77" i="8"/>
  <c r="O77" i="8" s="1"/>
  <c r="AI77" i="8"/>
  <c r="AK77" i="8" s="1"/>
  <c r="BE83" i="8"/>
  <c r="BG83" i="8" s="1"/>
  <c r="M83" i="8"/>
  <c r="O83" i="8" s="1"/>
  <c r="AI83" i="8"/>
  <c r="AK83" i="8" s="1"/>
  <c r="AV8" i="8"/>
  <c r="AI11" i="8"/>
  <c r="AK11" i="8" s="1"/>
  <c r="O61" i="8"/>
  <c r="X12" i="8"/>
  <c r="Z12" i="8" s="1"/>
  <c r="B12" i="8"/>
  <c r="D12" i="8" s="1"/>
  <c r="AT12" i="8"/>
  <c r="AV12" i="8" s="1"/>
  <c r="X18" i="8"/>
  <c r="Z18" i="8" s="1"/>
  <c r="AT18" i="8"/>
  <c r="AV18" i="8" s="1"/>
  <c r="B18" i="8"/>
  <c r="D18" i="8" s="1"/>
  <c r="X24" i="8"/>
  <c r="Z24" i="8" s="1"/>
  <c r="B24" i="8"/>
  <c r="D24" i="8" s="1"/>
  <c r="AT24" i="8"/>
  <c r="AV24" i="8" s="1"/>
  <c r="X30" i="8"/>
  <c r="Z30" i="8" s="1"/>
  <c r="AT30" i="8"/>
  <c r="AV30" i="8" s="1"/>
  <c r="B30" i="8"/>
  <c r="D30" i="8" s="1"/>
  <c r="B36" i="8"/>
  <c r="D36" i="8" s="1"/>
  <c r="AT36" i="8"/>
  <c r="AV36" i="8" s="1"/>
  <c r="X36" i="8"/>
  <c r="Z36" i="8" s="1"/>
  <c r="AW8" i="8"/>
  <c r="AX7" i="8"/>
  <c r="AZ7" i="8" s="1"/>
  <c r="B17" i="8"/>
  <c r="D17" i="8" s="1"/>
  <c r="AI27" i="8"/>
  <c r="AK27" i="8" s="1"/>
  <c r="Z38" i="8"/>
  <c r="BE12" i="8"/>
  <c r="BG12" i="8" s="1"/>
  <c r="AI12" i="8"/>
  <c r="AK12" i="8" s="1"/>
  <c r="M18" i="8"/>
  <c r="O18" i="8" s="1"/>
  <c r="AI18" i="8"/>
  <c r="AK18" i="8" s="1"/>
  <c r="BE18" i="8"/>
  <c r="BG18" i="8" s="1"/>
  <c r="M24" i="8"/>
  <c r="O24" i="8" s="1"/>
  <c r="BE24" i="8"/>
  <c r="BG24" i="8" s="1"/>
  <c r="AI30" i="8"/>
  <c r="AK30" i="8" s="1"/>
  <c r="BE30" i="8"/>
  <c r="BG30" i="8" s="1"/>
  <c r="AI36" i="8"/>
  <c r="AK36" i="8" s="1"/>
  <c r="M36" i="8"/>
  <c r="O36" i="8" s="1"/>
  <c r="BE36" i="8"/>
  <c r="BG36" i="8" s="1"/>
  <c r="M42" i="8"/>
  <c r="O42" i="8" s="1"/>
  <c r="AI42" i="8"/>
  <c r="AK42" i="8" s="1"/>
  <c r="M48" i="8"/>
  <c r="O48" i="8" s="1"/>
  <c r="BE48" i="8"/>
  <c r="BG48" i="8" s="1"/>
  <c r="AI48" i="8"/>
  <c r="AK48" i="8" s="1"/>
  <c r="BE54" i="8"/>
  <c r="BG54" i="8" s="1"/>
  <c r="AI54" i="8"/>
  <c r="AK54" i="8" s="1"/>
  <c r="M54" i="8"/>
  <c r="O54" i="8" s="1"/>
  <c r="BE60" i="8"/>
  <c r="BG60" i="8" s="1"/>
  <c r="M60" i="8"/>
  <c r="O60" i="8" s="1"/>
  <c r="AI60" i="8"/>
  <c r="AK60" i="8" s="1"/>
  <c r="M66" i="8"/>
  <c r="O66" i="8" s="1"/>
  <c r="AI66" i="8"/>
  <c r="AK66" i="8" s="1"/>
  <c r="BE66" i="8"/>
  <c r="BG66" i="8" s="1"/>
  <c r="AI72" i="8"/>
  <c r="AK72" i="8" s="1"/>
  <c r="BE72" i="8"/>
  <c r="BG72" i="8" s="1"/>
  <c r="M72" i="8"/>
  <c r="O72" i="8" s="1"/>
  <c r="AI78" i="8"/>
  <c r="AK78" i="8" s="1"/>
  <c r="BE78" i="8"/>
  <c r="BG78" i="8" s="1"/>
  <c r="M78" i="8"/>
  <c r="O78" i="8" s="1"/>
  <c r="M84" i="8"/>
  <c r="O84" i="8" s="1"/>
  <c r="AI84" i="8"/>
  <c r="AK84" i="8" s="1"/>
  <c r="BE84" i="8"/>
  <c r="BG84" i="8" s="1"/>
  <c r="AY7" i="8"/>
  <c r="B11" i="8"/>
  <c r="D11" i="8" s="1"/>
  <c r="BE16" i="8"/>
  <c r="BG16" i="8" s="1"/>
  <c r="AI16" i="8"/>
  <c r="AK16" i="8" s="1"/>
  <c r="M28" i="8"/>
  <c r="O28" i="8" s="1"/>
  <c r="BE28" i="8"/>
  <c r="BG28" i="8" s="1"/>
  <c r="M34" i="8"/>
  <c r="O34" i="8" s="1"/>
  <c r="BE34" i="8"/>
  <c r="BG34" i="8" s="1"/>
  <c r="AI40" i="8"/>
  <c r="AK40" i="8" s="1"/>
  <c r="M40" i="8"/>
  <c r="O40" i="8" s="1"/>
  <c r="BE40" i="8"/>
  <c r="BG40" i="8" s="1"/>
  <c r="AI46" i="8"/>
  <c r="AK46" i="8" s="1"/>
  <c r="M46" i="8"/>
  <c r="O46" i="8" s="1"/>
  <c r="BE46" i="8"/>
  <c r="BG46" i="8" s="1"/>
  <c r="AI52" i="8"/>
  <c r="AK52" i="8" s="1"/>
  <c r="M52" i="8"/>
  <c r="O52" i="8" s="1"/>
  <c r="BE52" i="8"/>
  <c r="BG52" i="8" s="1"/>
  <c r="BE58" i="8"/>
  <c r="BG58" i="8" s="1"/>
  <c r="AI58" i="8"/>
  <c r="AK58" i="8" s="1"/>
  <c r="M58" i="8"/>
  <c r="O58" i="8" s="1"/>
  <c r="AI64" i="8"/>
  <c r="AK64" i="8" s="1"/>
  <c r="M64" i="8"/>
  <c r="O64" i="8" s="1"/>
  <c r="BE64" i="8"/>
  <c r="BG64" i="8" s="1"/>
  <c r="AI70" i="8"/>
  <c r="AK70" i="8" s="1"/>
  <c r="M70" i="8"/>
  <c r="O70" i="8" s="1"/>
  <c r="BE70" i="8"/>
  <c r="BG70" i="8" s="1"/>
  <c r="AI76" i="8"/>
  <c r="AK76" i="8" s="1"/>
  <c r="M76" i="8"/>
  <c r="O76" i="8" s="1"/>
  <c r="BE76" i="8"/>
  <c r="BG76" i="8" s="1"/>
  <c r="BE82" i="8"/>
  <c r="BG82" i="8" s="1"/>
  <c r="AI82" i="8"/>
  <c r="AK82" i="8" s="1"/>
  <c r="M82" i="8"/>
  <c r="O82" i="8" s="1"/>
  <c r="M14" i="8"/>
  <c r="O14" i="8" s="1"/>
  <c r="B43" i="8"/>
  <c r="D43" i="8" s="1"/>
  <c r="AT42" i="8"/>
  <c r="AV42" i="8" s="1"/>
  <c r="X42" i="8"/>
  <c r="Z42" i="8" s="1"/>
  <c r="AT48" i="8"/>
  <c r="AV48" i="8" s="1"/>
  <c r="X48" i="8"/>
  <c r="Z48" i="8" s="1"/>
  <c r="B48" i="8"/>
  <c r="D48" i="8" s="1"/>
  <c r="AT54" i="8"/>
  <c r="AV54" i="8" s="1"/>
  <c r="B54" i="8"/>
  <c r="D54" i="8" s="1"/>
  <c r="X54" i="8"/>
  <c r="Z54" i="8" s="1"/>
  <c r="AT60" i="8"/>
  <c r="AV60" i="8" s="1"/>
  <c r="B60" i="8"/>
  <c r="D60" i="8" s="1"/>
  <c r="X60" i="8"/>
  <c r="Z60" i="8" s="1"/>
  <c r="AT66" i="8"/>
  <c r="AV66" i="8" s="1"/>
  <c r="X66" i="8"/>
  <c r="Z66" i="8" s="1"/>
  <c r="X72" i="8"/>
  <c r="Z72" i="8" s="1"/>
  <c r="B72" i="8"/>
  <c r="D72" i="8" s="1"/>
  <c r="AT72" i="8"/>
  <c r="AV72" i="8" s="1"/>
  <c r="AT78" i="8"/>
  <c r="AV78" i="8" s="1"/>
  <c r="B78" i="8"/>
  <c r="D78" i="8" s="1"/>
  <c r="X78" i="8"/>
  <c r="Z78" i="8" s="1"/>
  <c r="AT84" i="8"/>
  <c r="AV84" i="8" s="1"/>
  <c r="B84" i="8"/>
  <c r="D84" i="8" s="1"/>
  <c r="X84" i="8"/>
  <c r="Z84" i="8" s="1"/>
  <c r="AI14" i="8"/>
  <c r="AK14" i="8" s="1"/>
  <c r="AI37" i="8"/>
  <c r="AK37" i="8" s="1"/>
  <c r="B14" i="8"/>
  <c r="D14" i="8" s="1"/>
  <c r="B20" i="8"/>
  <c r="D20" i="8" s="1"/>
  <c r="AT43" i="8"/>
  <c r="AV43" i="8" s="1"/>
  <c r="AT19" i="8"/>
  <c r="AV19" i="8" s="1"/>
  <c r="B19" i="8"/>
  <c r="D19" i="8" s="1"/>
  <c r="AT25" i="8"/>
  <c r="AV25" i="8" s="1"/>
  <c r="B25" i="8"/>
  <c r="D25" i="8" s="1"/>
  <c r="AT31" i="8"/>
  <c r="AV31" i="8" s="1"/>
  <c r="B31" i="8"/>
  <c r="D31" i="8" s="1"/>
  <c r="B37" i="8"/>
  <c r="D37" i="8" s="1"/>
  <c r="X37" i="8"/>
  <c r="Z37" i="8" s="1"/>
  <c r="AT37" i="8"/>
  <c r="AV37" i="8" s="1"/>
  <c r="Z43" i="8"/>
  <c r="B49" i="8"/>
  <c r="D49" i="8" s="1"/>
  <c r="X49" i="8"/>
  <c r="Z49" i="8" s="1"/>
  <c r="X55" i="8"/>
  <c r="Z55" i="8" s="1"/>
  <c r="AT55" i="8"/>
  <c r="AV55" i="8" s="1"/>
  <c r="X61" i="8"/>
  <c r="Z61" i="8" s="1"/>
  <c r="AT61" i="8"/>
  <c r="AV61" i="8" s="1"/>
  <c r="B61" i="8"/>
  <c r="D61" i="8" s="1"/>
  <c r="X67" i="8"/>
  <c r="Z67" i="8" s="1"/>
  <c r="AT67" i="8"/>
  <c r="AV67" i="8" s="1"/>
  <c r="B67" i="8"/>
  <c r="D67" i="8" s="1"/>
  <c r="B73" i="8"/>
  <c r="D73" i="8" s="1"/>
  <c r="X73" i="8"/>
  <c r="Z73" i="8" s="1"/>
  <c r="X79" i="8"/>
  <c r="Z79" i="8" s="1"/>
  <c r="B79" i="8"/>
  <c r="D79" i="8" s="1"/>
  <c r="AT79" i="8"/>
  <c r="AV79" i="8" s="1"/>
  <c r="X85" i="8"/>
  <c r="Z85" i="8" s="1"/>
  <c r="AT85" i="8"/>
  <c r="AV85" i="8" s="1"/>
  <c r="B85" i="8"/>
  <c r="D85" i="8" s="1"/>
  <c r="M7" i="8"/>
  <c r="AO7" i="8"/>
  <c r="BE10" i="8"/>
  <c r="BG10" i="8" s="1"/>
  <c r="B42" i="8"/>
  <c r="D42" i="8" s="1"/>
  <c r="M19" i="8"/>
  <c r="O19" i="8" s="1"/>
  <c r="BE19" i="8"/>
  <c r="BG19" i="8" s="1"/>
  <c r="AI25" i="8"/>
  <c r="AK25" i="8" s="1"/>
  <c r="M25" i="8"/>
  <c r="O25" i="8" s="1"/>
  <c r="AI31" i="8"/>
  <c r="AK31" i="8" s="1"/>
  <c r="M31" i="8"/>
  <c r="O31" i="8" s="1"/>
  <c r="O37" i="8"/>
  <c r="BE43" i="8"/>
  <c r="BG43" i="8" s="1"/>
  <c r="AI43" i="8"/>
  <c r="AK43" i="8" s="1"/>
  <c r="M43" i="8"/>
  <c r="O43" i="8" s="1"/>
  <c r="M49" i="8"/>
  <c r="O49" i="8" s="1"/>
  <c r="AI49" i="8"/>
  <c r="AK49" i="8" s="1"/>
  <c r="BE49" i="8"/>
  <c r="BG49" i="8" s="1"/>
  <c r="M55" i="8"/>
  <c r="O55" i="8" s="1"/>
  <c r="BE55" i="8"/>
  <c r="BG55" i="8" s="1"/>
  <c r="AI55" i="8"/>
  <c r="AK55" i="8" s="1"/>
  <c r="BE61" i="8"/>
  <c r="BG61" i="8" s="1"/>
  <c r="AI61" i="8"/>
  <c r="AK61" i="8" s="1"/>
  <c r="AI67" i="8"/>
  <c r="AK67" i="8" s="1"/>
  <c r="M67" i="8"/>
  <c r="O67" i="8" s="1"/>
  <c r="BE67" i="8"/>
  <c r="BG67" i="8" s="1"/>
  <c r="BE73" i="8"/>
  <c r="BG73" i="8" s="1"/>
  <c r="M73" i="8"/>
  <c r="O73" i="8" s="1"/>
  <c r="AI73" i="8"/>
  <c r="AK73" i="8" s="1"/>
  <c r="AI79" i="8"/>
  <c r="AK79" i="8" s="1"/>
  <c r="M79" i="8"/>
  <c r="O79" i="8" s="1"/>
  <c r="BE79" i="8"/>
  <c r="BG79" i="8" s="1"/>
  <c r="M85" i="8"/>
  <c r="O85" i="8" s="1"/>
  <c r="BE85" i="8"/>
  <c r="BG85" i="8" s="1"/>
  <c r="AI85" i="8"/>
  <c r="AK85" i="8" s="1"/>
  <c r="M22" i="8"/>
  <c r="O22" i="8" s="1"/>
  <c r="X25" i="8"/>
  <c r="Z25" i="8" s="1"/>
  <c r="AI28" i="8"/>
  <c r="AK28" i="8" s="1"/>
  <c r="AI34" i="8"/>
  <c r="AK34" i="8" s="1"/>
  <c r="BE37" i="8"/>
  <c r="BG37" i="8" s="1"/>
  <c r="Z20" i="8"/>
  <c r="X26" i="8"/>
  <c r="Z26" i="8" s="1"/>
  <c r="AT26" i="8"/>
  <c r="AV26" i="8" s="1"/>
  <c r="B26" i="8"/>
  <c r="D26" i="8" s="1"/>
  <c r="X32" i="8"/>
  <c r="Z32" i="8" s="1"/>
  <c r="B32" i="8"/>
  <c r="D32" i="8" s="1"/>
  <c r="AT32" i="8"/>
  <c r="AV32" i="8" s="1"/>
  <c r="AT38" i="8"/>
  <c r="AV38" i="8" s="1"/>
  <c r="B38" i="8"/>
  <c r="D38" i="8" s="1"/>
  <c r="AT44" i="8"/>
  <c r="AV44" i="8" s="1"/>
  <c r="B44" i="8"/>
  <c r="D44" i="8" s="1"/>
  <c r="B50" i="8"/>
  <c r="D50" i="8" s="1"/>
  <c r="AT50" i="8"/>
  <c r="AV50" i="8" s="1"/>
  <c r="X50" i="8"/>
  <c r="Z50" i="8" s="1"/>
  <c r="AT56" i="8"/>
  <c r="AV56" i="8" s="1"/>
  <c r="B56" i="8"/>
  <c r="D56" i="8" s="1"/>
  <c r="X56" i="8"/>
  <c r="Z56" i="8" s="1"/>
  <c r="AT62" i="8"/>
  <c r="AV62" i="8" s="1"/>
  <c r="B62" i="8"/>
  <c r="D62" i="8" s="1"/>
  <c r="X62" i="8"/>
  <c r="Z62" i="8" s="1"/>
  <c r="B68" i="8"/>
  <c r="D68" i="8" s="1"/>
  <c r="AT68" i="8"/>
  <c r="AV68" i="8" s="1"/>
  <c r="AT74" i="8"/>
  <c r="AV74" i="8" s="1"/>
  <c r="X74" i="8"/>
  <c r="Z74" i="8" s="1"/>
  <c r="B74" i="8"/>
  <c r="D74" i="8" s="1"/>
  <c r="AT80" i="8"/>
  <c r="AV80" i="8" s="1"/>
  <c r="B80" i="8"/>
  <c r="D80" i="8" s="1"/>
  <c r="X80" i="8"/>
  <c r="Z80" i="8" s="1"/>
  <c r="AT86" i="8"/>
  <c r="AV86" i="8" s="1"/>
  <c r="B86" i="8"/>
  <c r="D86" i="8" s="1"/>
  <c r="X86" i="8"/>
  <c r="Z86" i="8" s="1"/>
  <c r="AC7" i="8"/>
  <c r="AY8" i="8"/>
  <c r="AI20" i="8"/>
  <c r="AK20" i="8" s="1"/>
  <c r="M20" i="8"/>
  <c r="O20" i="8" s="1"/>
  <c r="BE26" i="8"/>
  <c r="BG26" i="8" s="1"/>
  <c r="AI26" i="8"/>
  <c r="AK26" i="8" s="1"/>
  <c r="BE32" i="8"/>
  <c r="BG32" i="8" s="1"/>
  <c r="AI32" i="8"/>
  <c r="AK32" i="8" s="1"/>
  <c r="AI38" i="8"/>
  <c r="AK38" i="8" s="1"/>
  <c r="M38" i="8"/>
  <c r="O38" i="8" s="1"/>
  <c r="BE44" i="8"/>
  <c r="BG44" i="8" s="1"/>
  <c r="AI44" i="8"/>
  <c r="AK44" i="8" s="1"/>
  <c r="M50" i="8"/>
  <c r="O50" i="8" s="1"/>
  <c r="BE50" i="8"/>
  <c r="BG50" i="8" s="1"/>
  <c r="AI50" i="8"/>
  <c r="AK50" i="8" s="1"/>
  <c r="BE56" i="8"/>
  <c r="BG56" i="8" s="1"/>
  <c r="M56" i="8"/>
  <c r="O56" i="8" s="1"/>
  <c r="AI56" i="8"/>
  <c r="AK56" i="8" s="1"/>
  <c r="BE62" i="8"/>
  <c r="BG62" i="8" s="1"/>
  <c r="M62" i="8"/>
  <c r="O62" i="8" s="1"/>
  <c r="AI62" i="8"/>
  <c r="AK62" i="8" s="1"/>
  <c r="AI68" i="8"/>
  <c r="AK68" i="8" s="1"/>
  <c r="BE68" i="8"/>
  <c r="BG68" i="8" s="1"/>
  <c r="M68" i="8"/>
  <c r="O68" i="8" s="1"/>
  <c r="AI74" i="8"/>
  <c r="AK74" i="8" s="1"/>
  <c r="BE74" i="8"/>
  <c r="BG74" i="8" s="1"/>
  <c r="M74" i="8"/>
  <c r="O74" i="8" s="1"/>
  <c r="BE80" i="8"/>
  <c r="BG80" i="8" s="1"/>
  <c r="AI80" i="8"/>
  <c r="AK80" i="8" s="1"/>
  <c r="M80" i="8"/>
  <c r="O80" i="8" s="1"/>
  <c r="AI86" i="8"/>
  <c r="AK86" i="8" s="1"/>
  <c r="M86" i="8"/>
  <c r="O86" i="8" s="1"/>
  <c r="BE86" i="8"/>
  <c r="BG86" i="8" s="1"/>
  <c r="B7" i="8"/>
  <c r="M16" i="8"/>
  <c r="O16" i="8" s="1"/>
  <c r="X44" i="8"/>
  <c r="Z44" i="8" s="1"/>
  <c r="B55" i="8"/>
  <c r="D55" i="8" s="1"/>
  <c r="L7" i="9"/>
  <c r="R22" i="2" l="1"/>
  <c r="S22" i="2"/>
  <c r="BH9" i="8"/>
  <c r="BJ8" i="8"/>
  <c r="BI8" i="8"/>
  <c r="BK8" i="8" s="1"/>
  <c r="S11" i="2"/>
  <c r="R11" i="2"/>
  <c r="D7" i="8"/>
  <c r="F7" i="8" s="1"/>
  <c r="H7" i="8" s="1"/>
  <c r="E8" i="8"/>
  <c r="R16" i="2"/>
  <c r="S77" i="1"/>
  <c r="S21" i="2"/>
  <c r="R21" i="2"/>
  <c r="R9" i="2"/>
  <c r="R13" i="2"/>
  <c r="S6" i="2"/>
  <c r="R6" i="2"/>
  <c r="H3" i="10" s="1"/>
  <c r="S49" i="1"/>
  <c r="R49" i="1"/>
  <c r="AX8" i="8"/>
  <c r="AZ8" i="8" s="1"/>
  <c r="AW9" i="8"/>
  <c r="S174" i="1"/>
  <c r="R174" i="1"/>
  <c r="R6" i="1"/>
  <c r="S6" i="1"/>
  <c r="O7" i="8"/>
  <c r="Q7" i="8" s="1"/>
  <c r="S7" i="8" s="1"/>
  <c r="P8" i="8"/>
  <c r="S32" i="1"/>
  <c r="R32" i="1"/>
  <c r="S17" i="2"/>
  <c r="R17" i="2"/>
  <c r="AL9" i="8"/>
  <c r="AM8" i="8"/>
  <c r="AO8" i="8" s="1"/>
  <c r="AN8" i="8"/>
  <c r="AA9" i="8"/>
  <c r="AB8" i="8"/>
  <c r="AD8" i="8" s="1"/>
  <c r="AC8" i="8"/>
  <c r="F8" i="8" l="1"/>
  <c r="H8" i="8" s="1"/>
  <c r="E9" i="8"/>
  <c r="G8" i="8"/>
  <c r="BH10" i="8"/>
  <c r="BI9" i="8"/>
  <c r="BK9" i="8" s="1"/>
  <c r="BJ9" i="8"/>
  <c r="AL10" i="8"/>
  <c r="AM9" i="8"/>
  <c r="AO9" i="8" s="1"/>
  <c r="AN9" i="8"/>
  <c r="P9" i="8"/>
  <c r="R8" i="8"/>
  <c r="Q8" i="8"/>
  <c r="S8" i="8" s="1"/>
  <c r="AA10" i="8"/>
  <c r="AB9" i="8"/>
  <c r="AD9" i="8" s="1"/>
  <c r="AC9" i="8"/>
  <c r="AW10" i="8"/>
  <c r="AY9" i="8"/>
  <c r="AX9" i="8"/>
  <c r="AZ9" i="8" s="1"/>
  <c r="AX10" i="8" l="1"/>
  <c r="AZ10" i="8" s="1"/>
  <c r="AY10" i="8"/>
  <c r="AW11" i="8"/>
  <c r="AL11" i="8"/>
  <c r="AM10" i="8"/>
  <c r="AO10" i="8" s="1"/>
  <c r="AN10" i="8"/>
  <c r="AB10" i="8"/>
  <c r="AD10" i="8" s="1"/>
  <c r="AC10" i="8"/>
  <c r="AA11" i="8"/>
  <c r="BJ10" i="8"/>
  <c r="BI10" i="8"/>
  <c r="BK10" i="8" s="1"/>
  <c r="BH11" i="8"/>
  <c r="E10" i="8"/>
  <c r="F9" i="8"/>
  <c r="H9" i="8" s="1"/>
  <c r="G9" i="8"/>
  <c r="R9" i="8"/>
  <c r="Q9" i="8"/>
  <c r="S9" i="8" s="1"/>
  <c r="P10" i="8"/>
  <c r="AL12" i="8" l="1"/>
  <c r="AM11" i="8"/>
  <c r="AO11" i="8" s="1"/>
  <c r="AN11" i="8"/>
  <c r="AW12" i="8"/>
  <c r="AY11" i="8"/>
  <c r="AX11" i="8"/>
  <c r="AZ11" i="8" s="1"/>
  <c r="E11" i="8"/>
  <c r="F10" i="8"/>
  <c r="H10" i="8" s="1"/>
  <c r="G10" i="8"/>
  <c r="BI11" i="8"/>
  <c r="BK11" i="8" s="1"/>
  <c r="BH12" i="8"/>
  <c r="BJ11" i="8"/>
  <c r="AA12" i="8"/>
  <c r="AC11" i="8"/>
  <c r="AB11" i="8"/>
  <c r="AD11" i="8" s="1"/>
  <c r="Q10" i="8"/>
  <c r="S10" i="8" s="1"/>
  <c r="P11" i="8"/>
  <c r="R10" i="8"/>
  <c r="AW13" i="8" l="1"/>
  <c r="AX12" i="8"/>
  <c r="AZ12" i="8" s="1"/>
  <c r="AY12" i="8"/>
  <c r="BH13" i="8"/>
  <c r="BI12" i="8"/>
  <c r="BK12" i="8" s="1"/>
  <c r="BJ12" i="8"/>
  <c r="P12" i="8"/>
  <c r="Q11" i="8"/>
  <c r="S11" i="8" s="1"/>
  <c r="R11" i="8"/>
  <c r="AA13" i="8"/>
  <c r="AB12" i="8"/>
  <c r="AD12" i="8" s="1"/>
  <c r="AC12" i="8"/>
  <c r="E12" i="8"/>
  <c r="F11" i="8"/>
  <c r="H11" i="8" s="1"/>
  <c r="G11" i="8"/>
  <c r="AL13" i="8"/>
  <c r="AM12" i="8"/>
  <c r="AO12" i="8" s="1"/>
  <c r="AN12" i="8"/>
  <c r="AC13" i="8" l="1"/>
  <c r="AB13" i="8"/>
  <c r="AD13" i="8" s="1"/>
  <c r="AA14" i="8"/>
  <c r="BI13" i="8"/>
  <c r="BK13" i="8" s="1"/>
  <c r="BJ13" i="8"/>
  <c r="BH14" i="8"/>
  <c r="AL14" i="8"/>
  <c r="AN13" i="8"/>
  <c r="AM13" i="8"/>
  <c r="AO13" i="8" s="1"/>
  <c r="AX13" i="8"/>
  <c r="AZ13" i="8" s="1"/>
  <c r="AW14" i="8"/>
  <c r="AY13" i="8"/>
  <c r="P13" i="8"/>
  <c r="Q12" i="8"/>
  <c r="S12" i="8" s="1"/>
  <c r="R12" i="8"/>
  <c r="G12" i="8"/>
  <c r="E13" i="8"/>
  <c r="F12" i="8"/>
  <c r="H12" i="8" s="1"/>
  <c r="AM14" i="8" l="1"/>
  <c r="AO14" i="8" s="1"/>
  <c r="AL15" i="8"/>
  <c r="AN14" i="8"/>
  <c r="BH15" i="8"/>
  <c r="BI14" i="8"/>
  <c r="BK14" i="8" s="1"/>
  <c r="BJ14" i="8"/>
  <c r="Q13" i="8"/>
  <c r="S13" i="8" s="1"/>
  <c r="P14" i="8"/>
  <c r="R13" i="8"/>
  <c r="AW15" i="8"/>
  <c r="AY14" i="8"/>
  <c r="AX14" i="8"/>
  <c r="AZ14" i="8" s="1"/>
  <c r="AA15" i="8"/>
  <c r="AB14" i="8"/>
  <c r="AD14" i="8" s="1"/>
  <c r="AC14" i="8"/>
  <c r="F13" i="8"/>
  <c r="H13" i="8" s="1"/>
  <c r="E14" i="8"/>
  <c r="G13" i="8"/>
  <c r="BI15" i="8" l="1"/>
  <c r="BK15" i="8" s="1"/>
  <c r="BH16" i="8"/>
  <c r="BJ15" i="8"/>
  <c r="AA16" i="8"/>
  <c r="AB15" i="8"/>
  <c r="AD15" i="8" s="1"/>
  <c r="AC15" i="8"/>
  <c r="AX15" i="8"/>
  <c r="AZ15" i="8" s="1"/>
  <c r="AW16" i="8"/>
  <c r="AY15" i="8"/>
  <c r="AL16" i="8"/>
  <c r="AM15" i="8"/>
  <c r="AO15" i="8" s="1"/>
  <c r="AN15" i="8"/>
  <c r="Q14" i="8"/>
  <c r="S14" i="8" s="1"/>
  <c r="P15" i="8"/>
  <c r="R14" i="8"/>
  <c r="F14" i="8"/>
  <c r="H14" i="8" s="1"/>
  <c r="E15" i="8"/>
  <c r="G14" i="8"/>
  <c r="Q15" i="8" l="1"/>
  <c r="S15" i="8" s="1"/>
  <c r="R15" i="8"/>
  <c r="P16" i="8"/>
  <c r="BH17" i="8"/>
  <c r="BI16" i="8"/>
  <c r="BK16" i="8" s="1"/>
  <c r="BJ16" i="8"/>
  <c r="E16" i="8"/>
  <c r="F15" i="8"/>
  <c r="H15" i="8" s="1"/>
  <c r="G15" i="8"/>
  <c r="AA17" i="8"/>
  <c r="AB16" i="8"/>
  <c r="AD16" i="8" s="1"/>
  <c r="AC16" i="8"/>
  <c r="AM16" i="8"/>
  <c r="AO16" i="8" s="1"/>
  <c r="AL17" i="8"/>
  <c r="AN16" i="8"/>
  <c r="AX16" i="8"/>
  <c r="AZ16" i="8" s="1"/>
  <c r="AW17" i="8"/>
  <c r="AY16" i="8"/>
  <c r="AA18" i="8" l="1"/>
  <c r="AC17" i="8"/>
  <c r="AB17" i="8"/>
  <c r="AD17" i="8" s="1"/>
  <c r="AX17" i="8"/>
  <c r="AZ17" i="8" s="1"/>
  <c r="AW18" i="8"/>
  <c r="AY17" i="8"/>
  <c r="BH18" i="8"/>
  <c r="BJ17" i="8"/>
  <c r="BI17" i="8"/>
  <c r="BK17" i="8" s="1"/>
  <c r="E17" i="8"/>
  <c r="F16" i="8"/>
  <c r="H16" i="8" s="1"/>
  <c r="G16" i="8"/>
  <c r="AL18" i="8"/>
  <c r="AM17" i="8"/>
  <c r="AO17" i="8" s="1"/>
  <c r="AN17" i="8"/>
  <c r="P17" i="8"/>
  <c r="Q16" i="8"/>
  <c r="S16" i="8" s="1"/>
  <c r="R16" i="8"/>
  <c r="AW19" i="8" l="1"/>
  <c r="AX18" i="8"/>
  <c r="AZ18" i="8" s="1"/>
  <c r="AY18" i="8"/>
  <c r="AL19" i="8"/>
  <c r="AM18" i="8"/>
  <c r="AO18" i="8" s="1"/>
  <c r="AN18" i="8"/>
  <c r="Q17" i="8"/>
  <c r="S17" i="8" s="1"/>
  <c r="P18" i="8"/>
  <c r="R17" i="8"/>
  <c r="F17" i="8"/>
  <c r="H17" i="8" s="1"/>
  <c r="E18" i="8"/>
  <c r="G17" i="8"/>
  <c r="AA19" i="8"/>
  <c r="AB18" i="8"/>
  <c r="AD18" i="8" s="1"/>
  <c r="AC18" i="8"/>
  <c r="BH19" i="8"/>
  <c r="BI18" i="8"/>
  <c r="BK18" i="8" s="1"/>
  <c r="BJ18" i="8"/>
  <c r="P19" i="8" l="1"/>
  <c r="Q18" i="8"/>
  <c r="S18" i="8" s="1"/>
  <c r="R18" i="8"/>
  <c r="BI19" i="8"/>
  <c r="BK19" i="8" s="1"/>
  <c r="BH20" i="8"/>
  <c r="BJ19" i="8"/>
  <c r="AB19" i="8"/>
  <c r="AD19" i="8" s="1"/>
  <c r="AA20" i="8"/>
  <c r="AC19" i="8"/>
  <c r="F18" i="8"/>
  <c r="H18" i="8" s="1"/>
  <c r="E19" i="8"/>
  <c r="G18" i="8"/>
  <c r="AL20" i="8"/>
  <c r="AM19" i="8"/>
  <c r="AO19" i="8" s="1"/>
  <c r="AN19" i="8"/>
  <c r="AW20" i="8"/>
  <c r="AY19" i="8"/>
  <c r="AX19" i="8"/>
  <c r="AZ19" i="8" s="1"/>
  <c r="BH21" i="8" l="1"/>
  <c r="BI20" i="8"/>
  <c r="BK20" i="8" s="1"/>
  <c r="BJ20" i="8"/>
  <c r="AB20" i="8"/>
  <c r="AD20" i="8" s="1"/>
  <c r="AA21" i="8"/>
  <c r="AC20" i="8"/>
  <c r="AX20" i="8"/>
  <c r="AZ20" i="8" s="1"/>
  <c r="AW21" i="8"/>
  <c r="AY20" i="8"/>
  <c r="AL21" i="8"/>
  <c r="AM20" i="8"/>
  <c r="AO20" i="8" s="1"/>
  <c r="AN20" i="8"/>
  <c r="E20" i="8"/>
  <c r="F19" i="8"/>
  <c r="H19" i="8" s="1"/>
  <c r="G19" i="8"/>
  <c r="P20" i="8"/>
  <c r="R19" i="8"/>
  <c r="Q19" i="8"/>
  <c r="S19" i="8" s="1"/>
  <c r="AB21" i="8" l="1"/>
  <c r="AD21" i="8" s="1"/>
  <c r="AA22" i="8"/>
  <c r="AC21" i="8"/>
  <c r="F20" i="8"/>
  <c r="H20" i="8" s="1"/>
  <c r="E21" i="8"/>
  <c r="G20" i="8"/>
  <c r="P21" i="8"/>
  <c r="Q20" i="8"/>
  <c r="S20" i="8" s="1"/>
  <c r="R20" i="8"/>
  <c r="AX21" i="8"/>
  <c r="AZ21" i="8" s="1"/>
  <c r="AW22" i="8"/>
  <c r="AY21" i="8"/>
  <c r="BH22" i="8"/>
  <c r="BI21" i="8"/>
  <c r="BK21" i="8" s="1"/>
  <c r="BJ21" i="8"/>
  <c r="AL22" i="8"/>
  <c r="AM21" i="8"/>
  <c r="AO21" i="8" s="1"/>
  <c r="AN21" i="8"/>
  <c r="E22" i="8" l="1"/>
  <c r="F21" i="8"/>
  <c r="H21" i="8" s="1"/>
  <c r="G21" i="8"/>
  <c r="AA23" i="8"/>
  <c r="AB22" i="8"/>
  <c r="AD22" i="8" s="1"/>
  <c r="AC22" i="8"/>
  <c r="AX22" i="8"/>
  <c r="AZ22" i="8" s="1"/>
  <c r="AW23" i="8"/>
  <c r="AY22" i="8"/>
  <c r="BH23" i="8"/>
  <c r="BI22" i="8"/>
  <c r="BK22" i="8" s="1"/>
  <c r="BJ22" i="8"/>
  <c r="AM22" i="8"/>
  <c r="AO22" i="8" s="1"/>
  <c r="AL23" i="8"/>
  <c r="AN22" i="8"/>
  <c r="Q21" i="8"/>
  <c r="S21" i="8" s="1"/>
  <c r="P22" i="8"/>
  <c r="R21" i="8"/>
  <c r="AB23" i="8" l="1"/>
  <c r="AD23" i="8" s="1"/>
  <c r="AA24" i="8"/>
  <c r="AC23" i="8"/>
  <c r="BI23" i="8"/>
  <c r="BK23" i="8" s="1"/>
  <c r="BH24" i="8"/>
  <c r="BJ23" i="8"/>
  <c r="AW24" i="8"/>
  <c r="AX23" i="8"/>
  <c r="AZ23" i="8" s="1"/>
  <c r="AY23" i="8"/>
  <c r="P23" i="8"/>
  <c r="Q22" i="8"/>
  <c r="S22" i="8" s="1"/>
  <c r="R22" i="8"/>
  <c r="AL24" i="8"/>
  <c r="AM23" i="8"/>
  <c r="AO23" i="8" s="1"/>
  <c r="AN23" i="8"/>
  <c r="F22" i="8"/>
  <c r="H22" i="8" s="1"/>
  <c r="E23" i="8"/>
  <c r="G22" i="8"/>
  <c r="Q23" i="8" l="1"/>
  <c r="S23" i="8" s="1"/>
  <c r="P24" i="8"/>
  <c r="R23" i="8"/>
  <c r="F23" i="8"/>
  <c r="H23" i="8" s="1"/>
  <c r="E24" i="8"/>
  <c r="G23" i="8"/>
  <c r="AM24" i="8"/>
  <c r="AO24" i="8" s="1"/>
  <c r="AL25" i="8"/>
  <c r="AN24" i="8"/>
  <c r="AB24" i="8"/>
  <c r="AD24" i="8" s="1"/>
  <c r="AA25" i="8"/>
  <c r="AC24" i="8"/>
  <c r="BH25" i="8"/>
  <c r="BI24" i="8"/>
  <c r="BK24" i="8" s="1"/>
  <c r="BJ24" i="8"/>
  <c r="AX24" i="8"/>
  <c r="AZ24" i="8" s="1"/>
  <c r="AW25" i="8"/>
  <c r="AY24" i="8"/>
  <c r="F24" i="8" l="1"/>
  <c r="H24" i="8" s="1"/>
  <c r="E25" i="8"/>
  <c r="G24" i="8"/>
  <c r="P25" i="8"/>
  <c r="Q24" i="8"/>
  <c r="S24" i="8" s="1"/>
  <c r="R24" i="8"/>
  <c r="BI25" i="8"/>
  <c r="BK25" i="8" s="1"/>
  <c r="BH26" i="8"/>
  <c r="BJ25" i="8"/>
  <c r="AB25" i="8"/>
  <c r="AD25" i="8" s="1"/>
  <c r="AA26" i="8"/>
  <c r="AC25" i="8"/>
  <c r="AX25" i="8"/>
  <c r="AZ25" i="8" s="1"/>
  <c r="AW26" i="8"/>
  <c r="AY25" i="8"/>
  <c r="AL26" i="8"/>
  <c r="AN25" i="8"/>
  <c r="AM25" i="8"/>
  <c r="AO25" i="8" s="1"/>
  <c r="AA27" i="8" l="1"/>
  <c r="AB26" i="8"/>
  <c r="AD26" i="8" s="1"/>
  <c r="AC26" i="8"/>
  <c r="AM26" i="8"/>
  <c r="AO26" i="8" s="1"/>
  <c r="AL27" i="8"/>
  <c r="AN26" i="8"/>
  <c r="E26" i="8"/>
  <c r="F25" i="8"/>
  <c r="H25" i="8" s="1"/>
  <c r="G25" i="8"/>
  <c r="BH27" i="8"/>
  <c r="BI26" i="8"/>
  <c r="BK26" i="8" s="1"/>
  <c r="BJ26" i="8"/>
  <c r="Q25" i="8"/>
  <c r="S25" i="8" s="1"/>
  <c r="P26" i="8"/>
  <c r="R25" i="8"/>
  <c r="AW27" i="8"/>
  <c r="AX26" i="8"/>
  <c r="AZ26" i="8" s="1"/>
  <c r="AY26" i="8"/>
  <c r="AL28" i="8" l="1"/>
  <c r="AM27" i="8"/>
  <c r="AO27" i="8" s="1"/>
  <c r="AN27" i="8"/>
  <c r="AX27" i="8"/>
  <c r="AZ27" i="8" s="1"/>
  <c r="AW28" i="8"/>
  <c r="AY27" i="8"/>
  <c r="P27" i="8"/>
  <c r="Q26" i="8"/>
  <c r="S26" i="8" s="1"/>
  <c r="R26" i="8"/>
  <c r="E27" i="8"/>
  <c r="F26" i="8"/>
  <c r="H26" i="8" s="1"/>
  <c r="G26" i="8"/>
  <c r="BI27" i="8"/>
  <c r="BK27" i="8" s="1"/>
  <c r="BH28" i="8"/>
  <c r="BJ27" i="8"/>
  <c r="AA28" i="8"/>
  <c r="AB27" i="8"/>
  <c r="AD27" i="8" s="1"/>
  <c r="AC27" i="8"/>
  <c r="AW29" i="8" l="1"/>
  <c r="AY28" i="8"/>
  <c r="AX28" i="8"/>
  <c r="AZ28" i="8" s="1"/>
  <c r="F27" i="8"/>
  <c r="H27" i="8" s="1"/>
  <c r="E28" i="8"/>
  <c r="G27" i="8"/>
  <c r="AM28" i="8"/>
  <c r="AO28" i="8" s="1"/>
  <c r="AL29" i="8"/>
  <c r="AN28" i="8"/>
  <c r="AB28" i="8"/>
  <c r="AD28" i="8" s="1"/>
  <c r="AA29" i="8"/>
  <c r="AC28" i="8"/>
  <c r="Q27" i="8"/>
  <c r="S27" i="8" s="1"/>
  <c r="P28" i="8"/>
  <c r="R27" i="8"/>
  <c r="BH29" i="8"/>
  <c r="BI28" i="8"/>
  <c r="BK28" i="8" s="1"/>
  <c r="BJ28" i="8"/>
  <c r="F28" i="8" l="1"/>
  <c r="H28" i="8" s="1"/>
  <c r="E29" i="8"/>
  <c r="G28" i="8"/>
  <c r="BI29" i="8"/>
  <c r="BK29" i="8" s="1"/>
  <c r="BH30" i="8"/>
  <c r="BJ29" i="8"/>
  <c r="AL30" i="8"/>
  <c r="AM29" i="8"/>
  <c r="AO29" i="8" s="1"/>
  <c r="AN29" i="8"/>
  <c r="AX29" i="8"/>
  <c r="AZ29" i="8" s="1"/>
  <c r="AW30" i="8"/>
  <c r="AY29" i="8"/>
  <c r="AA30" i="8"/>
  <c r="AB29" i="8"/>
  <c r="AD29" i="8" s="1"/>
  <c r="AC29" i="8"/>
  <c r="P29" i="8"/>
  <c r="Q28" i="8"/>
  <c r="S28" i="8" s="1"/>
  <c r="R28" i="8"/>
  <c r="AX30" i="8" l="1"/>
  <c r="AZ30" i="8" s="1"/>
  <c r="AW31" i="8"/>
  <c r="AY30" i="8"/>
  <c r="AA31" i="8"/>
  <c r="AB30" i="8"/>
  <c r="AD30" i="8" s="1"/>
  <c r="AC30" i="8"/>
  <c r="E30" i="8"/>
  <c r="F29" i="8"/>
  <c r="H29" i="8" s="1"/>
  <c r="G29" i="8"/>
  <c r="Q29" i="8"/>
  <c r="S29" i="8" s="1"/>
  <c r="P30" i="8"/>
  <c r="R29" i="8"/>
  <c r="AL31" i="8"/>
  <c r="AM30" i="8"/>
  <c r="AO30" i="8" s="1"/>
  <c r="AN30" i="8"/>
  <c r="BH31" i="8"/>
  <c r="BI30" i="8"/>
  <c r="BK30" i="8" s="1"/>
  <c r="BJ30" i="8"/>
  <c r="F30" i="8" l="1"/>
  <c r="H30" i="8" s="1"/>
  <c r="E31" i="8"/>
  <c r="G30" i="8"/>
  <c r="AA32" i="8"/>
  <c r="AB31" i="8"/>
  <c r="AD31" i="8" s="1"/>
  <c r="AC31" i="8"/>
  <c r="AL32" i="8"/>
  <c r="AM31" i="8"/>
  <c r="AO31" i="8" s="1"/>
  <c r="AN31" i="8"/>
  <c r="AX31" i="8"/>
  <c r="AZ31" i="8" s="1"/>
  <c r="AW32" i="8"/>
  <c r="AY31" i="8"/>
  <c r="P31" i="8"/>
  <c r="Q30" i="8"/>
  <c r="S30" i="8" s="1"/>
  <c r="R30" i="8"/>
  <c r="BI31" i="8"/>
  <c r="BK31" i="8" s="1"/>
  <c r="BH32" i="8"/>
  <c r="BJ31" i="8"/>
  <c r="Q31" i="8" l="1"/>
  <c r="S31" i="8" s="1"/>
  <c r="P32" i="8"/>
  <c r="R31" i="8"/>
  <c r="AX32" i="8"/>
  <c r="AZ32" i="8" s="1"/>
  <c r="AW33" i="8"/>
  <c r="AY32" i="8"/>
  <c r="AM32" i="8"/>
  <c r="AO32" i="8" s="1"/>
  <c r="AL33" i="8"/>
  <c r="AN32" i="8"/>
  <c r="AB32" i="8"/>
  <c r="AD32" i="8" s="1"/>
  <c r="AA33" i="8"/>
  <c r="AC32" i="8"/>
  <c r="BH33" i="8"/>
  <c r="BI32" i="8"/>
  <c r="BK32" i="8" s="1"/>
  <c r="BJ32" i="8"/>
  <c r="F31" i="8"/>
  <c r="H31" i="8" s="1"/>
  <c r="E32" i="8"/>
  <c r="G31" i="8"/>
  <c r="BI33" i="8" l="1"/>
  <c r="BK33" i="8" s="1"/>
  <c r="BH34" i="8"/>
  <c r="BJ33" i="8"/>
  <c r="E33" i="8"/>
  <c r="F32" i="8"/>
  <c r="H32" i="8" s="1"/>
  <c r="G32" i="8"/>
  <c r="AA34" i="8"/>
  <c r="AB33" i="8"/>
  <c r="AD33" i="8" s="1"/>
  <c r="AC33" i="8"/>
  <c r="AL34" i="8"/>
  <c r="AM33" i="8"/>
  <c r="AO33" i="8" s="1"/>
  <c r="AN33" i="8"/>
  <c r="P33" i="8"/>
  <c r="Q32" i="8"/>
  <c r="S32" i="8" s="1"/>
  <c r="R32" i="8"/>
  <c r="AW34" i="8"/>
  <c r="AX33" i="8"/>
  <c r="AZ33" i="8" s="1"/>
  <c r="AY33" i="8"/>
  <c r="F33" i="8" l="1"/>
  <c r="H33" i="8" s="1"/>
  <c r="E34" i="8"/>
  <c r="G33" i="8"/>
  <c r="P34" i="8"/>
  <c r="Q33" i="8"/>
  <c r="S33" i="8" s="1"/>
  <c r="R33" i="8"/>
  <c r="AM34" i="8"/>
  <c r="AO34" i="8" s="1"/>
  <c r="AL35" i="8"/>
  <c r="AN34" i="8"/>
  <c r="BH35" i="8"/>
  <c r="BI34" i="8"/>
  <c r="BK34" i="8" s="1"/>
  <c r="BJ34" i="8"/>
  <c r="AX34" i="8"/>
  <c r="AZ34" i="8" s="1"/>
  <c r="AW35" i="8"/>
  <c r="AY34" i="8"/>
  <c r="AB34" i="8"/>
  <c r="AD34" i="8" s="1"/>
  <c r="AA35" i="8"/>
  <c r="AC34" i="8"/>
  <c r="AM35" i="8" l="1"/>
  <c r="AO35" i="8" s="1"/>
  <c r="AL36" i="8"/>
  <c r="AN35" i="8"/>
  <c r="P35" i="8"/>
  <c r="Q34" i="8"/>
  <c r="S34" i="8" s="1"/>
  <c r="R34" i="8"/>
  <c r="AW36" i="8"/>
  <c r="AX35" i="8"/>
  <c r="AZ35" i="8" s="1"/>
  <c r="AY35" i="8"/>
  <c r="AA36" i="8"/>
  <c r="AB35" i="8"/>
  <c r="AD35" i="8" s="1"/>
  <c r="AC35" i="8"/>
  <c r="BI35" i="8"/>
  <c r="BK35" i="8" s="1"/>
  <c r="BH36" i="8"/>
  <c r="BJ35" i="8"/>
  <c r="E35" i="8"/>
  <c r="F34" i="8"/>
  <c r="H34" i="8" s="1"/>
  <c r="G34" i="8"/>
  <c r="E36" i="8" l="1"/>
  <c r="F35" i="8"/>
  <c r="H35" i="8" s="1"/>
  <c r="G35" i="8"/>
  <c r="AL37" i="8"/>
  <c r="AM36" i="8"/>
  <c r="AO36" i="8" s="1"/>
  <c r="AN36" i="8"/>
  <c r="BH37" i="8"/>
  <c r="BI36" i="8"/>
  <c r="BK36" i="8" s="1"/>
  <c r="BJ36" i="8"/>
  <c r="AW37" i="8"/>
  <c r="AX36" i="8"/>
  <c r="AZ36" i="8" s="1"/>
  <c r="AY36" i="8"/>
  <c r="P36" i="8"/>
  <c r="Q35" i="8"/>
  <c r="S35" i="8" s="1"/>
  <c r="R35" i="8"/>
  <c r="AB36" i="8"/>
  <c r="AD36" i="8" s="1"/>
  <c r="AA37" i="8"/>
  <c r="AC36" i="8"/>
  <c r="AW38" i="8" l="1"/>
  <c r="AX37" i="8"/>
  <c r="AZ37" i="8" s="1"/>
  <c r="AY37" i="8"/>
  <c r="E37" i="8"/>
  <c r="F36" i="8"/>
  <c r="H36" i="8" s="1"/>
  <c r="G36" i="8"/>
  <c r="P37" i="8"/>
  <c r="Q36" i="8"/>
  <c r="S36" i="8" s="1"/>
  <c r="R36" i="8"/>
  <c r="BI37" i="8"/>
  <c r="BK37" i="8" s="1"/>
  <c r="BH38" i="8"/>
  <c r="BJ37" i="8"/>
  <c r="AM37" i="8"/>
  <c r="AO37" i="8" s="1"/>
  <c r="AL38" i="8"/>
  <c r="AN37" i="8"/>
  <c r="AB37" i="8"/>
  <c r="AD37" i="8" s="1"/>
  <c r="AA38" i="8"/>
  <c r="AC37" i="8"/>
  <c r="AM38" i="8" l="1"/>
  <c r="AO38" i="8" s="1"/>
  <c r="AL39" i="8"/>
  <c r="AN38" i="8"/>
  <c r="BI38" i="8"/>
  <c r="BK38" i="8" s="1"/>
  <c r="BH39" i="8"/>
  <c r="BJ38" i="8"/>
  <c r="Q37" i="8"/>
  <c r="S37" i="8" s="1"/>
  <c r="P38" i="8"/>
  <c r="R37" i="8"/>
  <c r="F37" i="8"/>
  <c r="H37" i="8" s="1"/>
  <c r="E38" i="8"/>
  <c r="G37" i="8"/>
  <c r="AB38" i="8"/>
  <c r="AD38" i="8" s="1"/>
  <c r="AA39" i="8"/>
  <c r="AC38" i="8"/>
  <c r="AW39" i="8"/>
  <c r="AX38" i="8"/>
  <c r="AZ38" i="8" s="1"/>
  <c r="AY38" i="8"/>
  <c r="AW40" i="8" l="1"/>
  <c r="AX39" i="8"/>
  <c r="AZ39" i="8" s="1"/>
  <c r="AY39" i="8"/>
  <c r="AB39" i="8"/>
  <c r="AD39" i="8" s="1"/>
  <c r="AA40" i="8"/>
  <c r="AC39" i="8"/>
  <c r="BH40" i="8"/>
  <c r="BI39" i="8"/>
  <c r="BK39" i="8" s="1"/>
  <c r="BJ39" i="8"/>
  <c r="Q38" i="8"/>
  <c r="S38" i="8" s="1"/>
  <c r="P39" i="8"/>
  <c r="R38" i="8"/>
  <c r="AL40" i="8"/>
  <c r="AM39" i="8"/>
  <c r="AO39" i="8" s="1"/>
  <c r="AN39" i="8"/>
  <c r="F38" i="8"/>
  <c r="H38" i="8" s="1"/>
  <c r="E39" i="8"/>
  <c r="G38" i="8"/>
  <c r="AL41" i="8" l="1"/>
  <c r="AM40" i="8"/>
  <c r="AO40" i="8" s="1"/>
  <c r="AN40" i="8"/>
  <c r="BH41" i="8"/>
  <c r="BI40" i="8"/>
  <c r="BK40" i="8" s="1"/>
  <c r="BJ40" i="8"/>
  <c r="AB40" i="8"/>
  <c r="AD40" i="8" s="1"/>
  <c r="AA41" i="8"/>
  <c r="AC40" i="8"/>
  <c r="F39" i="8"/>
  <c r="H39" i="8" s="1"/>
  <c r="E40" i="8"/>
  <c r="G39" i="8"/>
  <c r="P40" i="8"/>
  <c r="Q39" i="8"/>
  <c r="S39" i="8" s="1"/>
  <c r="R39" i="8"/>
  <c r="AX40" i="8"/>
  <c r="AZ40" i="8" s="1"/>
  <c r="AW41" i="8"/>
  <c r="AY40" i="8"/>
  <c r="AX41" i="8" l="1"/>
  <c r="AZ41" i="8" s="1"/>
  <c r="AW42" i="8"/>
  <c r="AY41" i="8"/>
  <c r="F40" i="8"/>
  <c r="H40" i="8" s="1"/>
  <c r="E41" i="8"/>
  <c r="G40" i="8"/>
  <c r="BH42" i="8"/>
  <c r="BI41" i="8"/>
  <c r="BK41" i="8" s="1"/>
  <c r="BJ41" i="8"/>
  <c r="AM41" i="8"/>
  <c r="AO41" i="8" s="1"/>
  <c r="AL42" i="8"/>
  <c r="AN41" i="8"/>
  <c r="P41" i="8"/>
  <c r="Q40" i="8"/>
  <c r="S40" i="8" s="1"/>
  <c r="R40" i="8"/>
  <c r="AA42" i="8"/>
  <c r="AB41" i="8"/>
  <c r="AD41" i="8" s="1"/>
  <c r="AC41" i="8"/>
  <c r="AX42" i="8" l="1"/>
  <c r="AZ42" i="8" s="1"/>
  <c r="AW43" i="8"/>
  <c r="AY42" i="8"/>
  <c r="F41" i="8"/>
  <c r="H41" i="8" s="1"/>
  <c r="E42" i="8"/>
  <c r="G41" i="8"/>
  <c r="AA43" i="8"/>
  <c r="AB42" i="8"/>
  <c r="AD42" i="8" s="1"/>
  <c r="AC42" i="8"/>
  <c r="BI42" i="8"/>
  <c r="BK42" i="8" s="1"/>
  <c r="BH43" i="8"/>
  <c r="BJ42" i="8"/>
  <c r="AM42" i="8"/>
  <c r="AO42" i="8" s="1"/>
  <c r="AL43" i="8"/>
  <c r="AN42" i="8"/>
  <c r="Q41" i="8"/>
  <c r="S41" i="8" s="1"/>
  <c r="P42" i="8"/>
  <c r="R41" i="8"/>
  <c r="AB43" i="8" l="1"/>
  <c r="AD43" i="8" s="1"/>
  <c r="AA44" i="8"/>
  <c r="AC43" i="8"/>
  <c r="BI43" i="8"/>
  <c r="BK43" i="8" s="1"/>
  <c r="BH44" i="8"/>
  <c r="BJ43" i="8"/>
  <c r="AL44" i="8"/>
  <c r="AM43" i="8"/>
  <c r="AO43" i="8" s="1"/>
  <c r="AN43" i="8"/>
  <c r="F42" i="8"/>
  <c r="H42" i="8" s="1"/>
  <c r="E43" i="8"/>
  <c r="G42" i="8"/>
  <c r="AW44" i="8"/>
  <c r="AX43" i="8"/>
  <c r="AZ43" i="8" s="1"/>
  <c r="AY43" i="8"/>
  <c r="Q42" i="8"/>
  <c r="S42" i="8" s="1"/>
  <c r="P43" i="8"/>
  <c r="R42" i="8"/>
  <c r="BH45" i="8" l="1"/>
  <c r="BI44" i="8"/>
  <c r="BK44" i="8" s="1"/>
  <c r="BJ44" i="8"/>
  <c r="E44" i="8"/>
  <c r="F43" i="8"/>
  <c r="H43" i="8" s="1"/>
  <c r="G43" i="8"/>
  <c r="AB44" i="8"/>
  <c r="AD44" i="8" s="1"/>
  <c r="AA45" i="8"/>
  <c r="AC44" i="8"/>
  <c r="AL45" i="8"/>
  <c r="AM44" i="8"/>
  <c r="AO44" i="8" s="1"/>
  <c r="AN44" i="8"/>
  <c r="AW45" i="8"/>
  <c r="AX44" i="8"/>
  <c r="AZ44" i="8" s="1"/>
  <c r="AY44" i="8"/>
  <c r="Q43" i="8"/>
  <c r="S43" i="8" s="1"/>
  <c r="P44" i="8"/>
  <c r="R43" i="8"/>
  <c r="F44" i="8" l="1"/>
  <c r="H44" i="8" s="1"/>
  <c r="E45" i="8"/>
  <c r="G44" i="8"/>
  <c r="P45" i="8"/>
  <c r="Q44" i="8"/>
  <c r="S44" i="8" s="1"/>
  <c r="R44" i="8"/>
  <c r="AA46" i="8"/>
  <c r="AB45" i="8"/>
  <c r="AD45" i="8" s="1"/>
  <c r="AC45" i="8"/>
  <c r="BH46" i="8"/>
  <c r="BI45" i="8"/>
  <c r="BK45" i="8" s="1"/>
  <c r="BJ45" i="8"/>
  <c r="AW46" i="8"/>
  <c r="AX45" i="8"/>
  <c r="AZ45" i="8" s="1"/>
  <c r="AY45" i="8"/>
  <c r="AM45" i="8"/>
  <c r="AO45" i="8" s="1"/>
  <c r="AL46" i="8"/>
  <c r="AN45" i="8"/>
  <c r="P46" i="8" l="1"/>
  <c r="Q45" i="8"/>
  <c r="S45" i="8" s="1"/>
  <c r="R45" i="8"/>
  <c r="AX46" i="8"/>
  <c r="AZ46" i="8" s="1"/>
  <c r="AW47" i="8"/>
  <c r="AY46" i="8"/>
  <c r="BH47" i="8"/>
  <c r="BI46" i="8"/>
  <c r="BK46" i="8" s="1"/>
  <c r="BJ46" i="8"/>
  <c r="E46" i="8"/>
  <c r="F45" i="8"/>
  <c r="H45" i="8" s="1"/>
  <c r="G45" i="8"/>
  <c r="AM46" i="8"/>
  <c r="AO46" i="8" s="1"/>
  <c r="AL47" i="8"/>
  <c r="AN46" i="8"/>
  <c r="AA47" i="8"/>
  <c r="AB46" i="8"/>
  <c r="AD46" i="8" s="1"/>
  <c r="AC46" i="8"/>
  <c r="AW48" i="8" l="1"/>
  <c r="AX47" i="8"/>
  <c r="AZ47" i="8" s="1"/>
  <c r="AY47" i="8"/>
  <c r="E47" i="8"/>
  <c r="F46" i="8"/>
  <c r="H46" i="8" s="1"/>
  <c r="G46" i="8"/>
  <c r="BH48" i="8"/>
  <c r="BI47" i="8"/>
  <c r="BK47" i="8" s="1"/>
  <c r="BJ47" i="8"/>
  <c r="P47" i="8"/>
  <c r="Q46" i="8"/>
  <c r="S46" i="8" s="1"/>
  <c r="R46" i="8"/>
  <c r="AB47" i="8"/>
  <c r="AD47" i="8" s="1"/>
  <c r="AA48" i="8"/>
  <c r="AC47" i="8"/>
  <c r="AL48" i="8"/>
  <c r="AM47" i="8"/>
  <c r="AO47" i="8" s="1"/>
  <c r="AN47" i="8"/>
  <c r="F47" i="8" l="1"/>
  <c r="H47" i="8" s="1"/>
  <c r="E48" i="8"/>
  <c r="G47" i="8"/>
  <c r="BH49" i="8"/>
  <c r="BI48" i="8"/>
  <c r="BK48" i="8" s="1"/>
  <c r="BJ48" i="8"/>
  <c r="AA49" i="8"/>
  <c r="AB48" i="8"/>
  <c r="AD48" i="8" s="1"/>
  <c r="AC48" i="8"/>
  <c r="P48" i="8"/>
  <c r="Q47" i="8"/>
  <c r="S47" i="8" s="1"/>
  <c r="R47" i="8"/>
  <c r="AW49" i="8"/>
  <c r="AX48" i="8"/>
  <c r="AZ48" i="8" s="1"/>
  <c r="AY48" i="8"/>
  <c r="AL49" i="8"/>
  <c r="AM48" i="8"/>
  <c r="AO48" i="8" s="1"/>
  <c r="AN48" i="8"/>
  <c r="F48" i="8" l="1"/>
  <c r="H48" i="8" s="1"/>
  <c r="E49" i="8"/>
  <c r="G48" i="8"/>
  <c r="BH50" i="8"/>
  <c r="BI49" i="8"/>
  <c r="BK49" i="8" s="1"/>
  <c r="BJ49" i="8"/>
  <c r="P49" i="8"/>
  <c r="Q48" i="8"/>
  <c r="S48" i="8" s="1"/>
  <c r="R48" i="8"/>
  <c r="AM49" i="8"/>
  <c r="AO49" i="8" s="1"/>
  <c r="AL50" i="8"/>
  <c r="AN49" i="8"/>
  <c r="AX49" i="8"/>
  <c r="AZ49" i="8" s="1"/>
  <c r="AW50" i="8"/>
  <c r="AY49" i="8"/>
  <c r="AB49" i="8"/>
  <c r="AD49" i="8" s="1"/>
  <c r="AA50" i="8"/>
  <c r="AC49" i="8"/>
  <c r="AX50" i="8" l="1"/>
  <c r="AZ50" i="8" s="1"/>
  <c r="AW51" i="8"/>
  <c r="AY50" i="8"/>
  <c r="BH51" i="8"/>
  <c r="BI50" i="8"/>
  <c r="BK50" i="8" s="1"/>
  <c r="BJ50" i="8"/>
  <c r="Q49" i="8"/>
  <c r="S49" i="8" s="1"/>
  <c r="P50" i="8"/>
  <c r="R49" i="8"/>
  <c r="AL51" i="8"/>
  <c r="AM50" i="8"/>
  <c r="AO50" i="8" s="1"/>
  <c r="AN50" i="8"/>
  <c r="AB50" i="8"/>
  <c r="AD50" i="8" s="1"/>
  <c r="AA51" i="8"/>
  <c r="AC50" i="8"/>
  <c r="E50" i="8"/>
  <c r="F49" i="8"/>
  <c r="H49" i="8" s="1"/>
  <c r="G49" i="8"/>
  <c r="Q50" i="8" l="1"/>
  <c r="S50" i="8" s="1"/>
  <c r="P51" i="8"/>
  <c r="R50" i="8"/>
  <c r="AL52" i="8"/>
  <c r="AM51" i="8"/>
  <c r="AO51" i="8" s="1"/>
  <c r="AN51" i="8"/>
  <c r="BH52" i="8"/>
  <c r="BI51" i="8"/>
  <c r="BK51" i="8" s="1"/>
  <c r="BJ51" i="8"/>
  <c r="F50" i="8"/>
  <c r="H50" i="8" s="1"/>
  <c r="E51" i="8"/>
  <c r="G50" i="8"/>
  <c r="AW52" i="8"/>
  <c r="AX51" i="8"/>
  <c r="AZ51" i="8" s="1"/>
  <c r="AY51" i="8"/>
  <c r="AB51" i="8"/>
  <c r="AD51" i="8" s="1"/>
  <c r="AA52" i="8"/>
  <c r="AC51" i="8"/>
  <c r="AX52" i="8" l="1"/>
  <c r="AZ52" i="8" s="1"/>
  <c r="AW53" i="8"/>
  <c r="AY52" i="8"/>
  <c r="F51" i="8"/>
  <c r="H51" i="8" s="1"/>
  <c r="E52" i="8"/>
  <c r="G51" i="8"/>
  <c r="P52" i="8"/>
  <c r="Q51" i="8"/>
  <c r="S51" i="8" s="1"/>
  <c r="R51" i="8"/>
  <c r="BI52" i="8"/>
  <c r="BK52" i="8" s="1"/>
  <c r="BH53" i="8"/>
  <c r="BJ52" i="8"/>
  <c r="AA53" i="8"/>
  <c r="AB52" i="8"/>
  <c r="AD52" i="8" s="1"/>
  <c r="AC52" i="8"/>
  <c r="AL53" i="8"/>
  <c r="AM52" i="8"/>
  <c r="AO52" i="8" s="1"/>
  <c r="AN52" i="8"/>
  <c r="AA54" i="8" l="1"/>
  <c r="AB53" i="8"/>
  <c r="AD53" i="8" s="1"/>
  <c r="AC53" i="8"/>
  <c r="E53" i="8"/>
  <c r="F52" i="8"/>
  <c r="H52" i="8" s="1"/>
  <c r="G52" i="8"/>
  <c r="BH54" i="8"/>
  <c r="BI53" i="8"/>
  <c r="BK53" i="8" s="1"/>
  <c r="BJ53" i="8"/>
  <c r="AM53" i="8"/>
  <c r="AO53" i="8" s="1"/>
  <c r="AL54" i="8"/>
  <c r="AN53" i="8"/>
  <c r="AX53" i="8"/>
  <c r="AZ53" i="8" s="1"/>
  <c r="AW54" i="8"/>
  <c r="AY53" i="8"/>
  <c r="Q52" i="8"/>
  <c r="S52" i="8" s="1"/>
  <c r="P53" i="8"/>
  <c r="R52" i="8"/>
  <c r="AW55" i="8" l="1"/>
  <c r="AX54" i="8"/>
  <c r="AZ54" i="8" s="1"/>
  <c r="AY54" i="8"/>
  <c r="BI54" i="8"/>
  <c r="BK54" i="8" s="1"/>
  <c r="BH55" i="8"/>
  <c r="BJ54" i="8"/>
  <c r="AL55" i="8"/>
  <c r="AM54" i="8"/>
  <c r="AO54" i="8" s="1"/>
  <c r="AN54" i="8"/>
  <c r="P54" i="8"/>
  <c r="Q53" i="8"/>
  <c r="S53" i="8" s="1"/>
  <c r="R53" i="8"/>
  <c r="F53" i="8"/>
  <c r="H53" i="8" s="1"/>
  <c r="E54" i="8"/>
  <c r="G53" i="8"/>
  <c r="AA55" i="8"/>
  <c r="AB54" i="8"/>
  <c r="AD54" i="8" s="1"/>
  <c r="AC54" i="8"/>
  <c r="AM55" i="8" l="1"/>
  <c r="AO55" i="8" s="1"/>
  <c r="AL56" i="8"/>
  <c r="AN55" i="8"/>
  <c r="Q54" i="8"/>
  <c r="S54" i="8" s="1"/>
  <c r="P55" i="8"/>
  <c r="R54" i="8"/>
  <c r="AX55" i="8"/>
  <c r="AZ55" i="8" s="1"/>
  <c r="AW56" i="8"/>
  <c r="AY55" i="8"/>
  <c r="AB55" i="8"/>
  <c r="AD55" i="8" s="1"/>
  <c r="AA56" i="8"/>
  <c r="AC55" i="8"/>
  <c r="BH56" i="8"/>
  <c r="BI55" i="8"/>
  <c r="BK55" i="8" s="1"/>
  <c r="BJ55" i="8"/>
  <c r="E55" i="8"/>
  <c r="F54" i="8"/>
  <c r="H54" i="8" s="1"/>
  <c r="G54" i="8"/>
  <c r="BI56" i="8" l="1"/>
  <c r="BK56" i="8" s="1"/>
  <c r="BH57" i="8"/>
  <c r="BJ56" i="8"/>
  <c r="AW57" i="8"/>
  <c r="AX56" i="8"/>
  <c r="AZ56" i="8" s="1"/>
  <c r="AY56" i="8"/>
  <c r="E56" i="8"/>
  <c r="F55" i="8"/>
  <c r="H55" i="8" s="1"/>
  <c r="G55" i="8"/>
  <c r="AB56" i="8"/>
  <c r="AD56" i="8" s="1"/>
  <c r="AA57" i="8"/>
  <c r="AC56" i="8"/>
  <c r="AL57" i="8"/>
  <c r="AM56" i="8"/>
  <c r="AO56" i="8" s="1"/>
  <c r="AN56" i="8"/>
  <c r="P56" i="8"/>
  <c r="Q55" i="8"/>
  <c r="S55" i="8" s="1"/>
  <c r="R55" i="8"/>
  <c r="AA58" i="8" l="1"/>
  <c r="AB57" i="8"/>
  <c r="AD57" i="8" s="1"/>
  <c r="AC57" i="8"/>
  <c r="BH58" i="8"/>
  <c r="BI57" i="8"/>
  <c r="BK57" i="8" s="1"/>
  <c r="BJ57" i="8"/>
  <c r="Q56" i="8"/>
  <c r="S56" i="8" s="1"/>
  <c r="P57" i="8"/>
  <c r="R56" i="8"/>
  <c r="AM57" i="8"/>
  <c r="AO57" i="8" s="1"/>
  <c r="AL58" i="8"/>
  <c r="AN57" i="8"/>
  <c r="AW58" i="8"/>
  <c r="AX57" i="8"/>
  <c r="AZ57" i="8" s="1"/>
  <c r="AY57" i="8"/>
  <c r="E57" i="8"/>
  <c r="F56" i="8"/>
  <c r="H56" i="8" s="1"/>
  <c r="G56" i="8"/>
  <c r="AW59" i="8" l="1"/>
  <c r="AX58" i="8"/>
  <c r="AZ58" i="8" s="1"/>
  <c r="AY58" i="8"/>
  <c r="BI58" i="8"/>
  <c r="BK58" i="8" s="1"/>
  <c r="BH59" i="8"/>
  <c r="BJ58" i="8"/>
  <c r="AA59" i="8"/>
  <c r="AB58" i="8"/>
  <c r="AD58" i="8" s="1"/>
  <c r="AC58" i="8"/>
  <c r="E58" i="8"/>
  <c r="F57" i="8"/>
  <c r="H57" i="8" s="1"/>
  <c r="G57" i="8"/>
  <c r="AL59" i="8"/>
  <c r="AM58" i="8"/>
  <c r="AO58" i="8" s="1"/>
  <c r="AN58" i="8"/>
  <c r="P58" i="8"/>
  <c r="R57" i="8"/>
  <c r="Q57" i="8"/>
  <c r="S57" i="8" s="1"/>
  <c r="AM59" i="8" l="1"/>
  <c r="AO59" i="8" s="1"/>
  <c r="AL60" i="8"/>
  <c r="AN59" i="8"/>
  <c r="AB59" i="8"/>
  <c r="AD59" i="8" s="1"/>
  <c r="AA60" i="8"/>
  <c r="AC59" i="8"/>
  <c r="BH60" i="8"/>
  <c r="BI59" i="8"/>
  <c r="BK59" i="8" s="1"/>
  <c r="BJ59" i="8"/>
  <c r="Q58" i="8"/>
  <c r="S58" i="8" s="1"/>
  <c r="P59" i="8"/>
  <c r="R58" i="8"/>
  <c r="F58" i="8"/>
  <c r="H58" i="8" s="1"/>
  <c r="E59" i="8"/>
  <c r="G58" i="8"/>
  <c r="AX59" i="8"/>
  <c r="AZ59" i="8" s="1"/>
  <c r="AW60" i="8"/>
  <c r="AY59" i="8"/>
  <c r="BI60" i="8" l="1"/>
  <c r="BK60" i="8" s="1"/>
  <c r="BH61" i="8"/>
  <c r="BJ60" i="8"/>
  <c r="P60" i="8"/>
  <c r="Q59" i="8"/>
  <c r="S59" i="8" s="1"/>
  <c r="R59" i="8"/>
  <c r="F59" i="8"/>
  <c r="H59" i="8" s="1"/>
  <c r="E60" i="8"/>
  <c r="G59" i="8"/>
  <c r="AL61" i="8"/>
  <c r="AM60" i="8"/>
  <c r="AO60" i="8" s="1"/>
  <c r="AN60" i="8"/>
  <c r="AB60" i="8"/>
  <c r="AD60" i="8" s="1"/>
  <c r="AA61" i="8"/>
  <c r="AC60" i="8"/>
  <c r="AW61" i="8"/>
  <c r="AX60" i="8"/>
  <c r="AZ60" i="8" s="1"/>
  <c r="AY60" i="8"/>
  <c r="AB61" i="8" l="1"/>
  <c r="AD61" i="8" s="1"/>
  <c r="AA62" i="8"/>
  <c r="AC61" i="8"/>
  <c r="Q60" i="8"/>
  <c r="S60" i="8" s="1"/>
  <c r="P61" i="8"/>
  <c r="R60" i="8"/>
  <c r="AM61" i="8"/>
  <c r="AO61" i="8" s="1"/>
  <c r="AL62" i="8"/>
  <c r="AN61" i="8"/>
  <c r="F60" i="8"/>
  <c r="H60" i="8" s="1"/>
  <c r="E61" i="8"/>
  <c r="G60" i="8"/>
  <c r="AW62" i="8"/>
  <c r="AX61" i="8"/>
  <c r="AZ61" i="8" s="1"/>
  <c r="AY61" i="8"/>
  <c r="BH62" i="8"/>
  <c r="BI61" i="8"/>
  <c r="BK61" i="8" s="1"/>
  <c r="BJ61" i="8"/>
  <c r="AW63" i="8" l="1"/>
  <c r="AX62" i="8"/>
  <c r="AZ62" i="8" s="1"/>
  <c r="AY62" i="8"/>
  <c r="F61" i="8"/>
  <c r="H61" i="8" s="1"/>
  <c r="E62" i="8"/>
  <c r="G61" i="8"/>
  <c r="AB62" i="8"/>
  <c r="AD62" i="8" s="1"/>
  <c r="AA63" i="8"/>
  <c r="AC62" i="8"/>
  <c r="AL63" i="8"/>
  <c r="AM62" i="8"/>
  <c r="AO62" i="8" s="1"/>
  <c r="AN62" i="8"/>
  <c r="P62" i="8"/>
  <c r="Q61" i="8"/>
  <c r="S61" i="8" s="1"/>
  <c r="R61" i="8"/>
  <c r="BH63" i="8"/>
  <c r="BI62" i="8"/>
  <c r="BK62" i="8" s="1"/>
  <c r="BJ62" i="8"/>
  <c r="AM63" i="8" l="1"/>
  <c r="AO63" i="8" s="1"/>
  <c r="AL64" i="8"/>
  <c r="AN63" i="8"/>
  <c r="AB63" i="8"/>
  <c r="AD63" i="8" s="1"/>
  <c r="AA64" i="8"/>
  <c r="AC63" i="8"/>
  <c r="Q62" i="8"/>
  <c r="S62" i="8" s="1"/>
  <c r="P63" i="8"/>
  <c r="R62" i="8"/>
  <c r="F62" i="8"/>
  <c r="H62" i="8" s="1"/>
  <c r="E63" i="8"/>
  <c r="G62" i="8"/>
  <c r="AX63" i="8"/>
  <c r="AZ63" i="8" s="1"/>
  <c r="AW64" i="8"/>
  <c r="AY63" i="8"/>
  <c r="BH64" i="8"/>
  <c r="BI63" i="8"/>
  <c r="BK63" i="8" s="1"/>
  <c r="BJ63" i="8"/>
  <c r="BI64" i="8" l="1"/>
  <c r="BK64" i="8" s="1"/>
  <c r="BH65" i="8"/>
  <c r="BJ64" i="8"/>
  <c r="P64" i="8"/>
  <c r="Q63" i="8"/>
  <c r="S63" i="8" s="1"/>
  <c r="R63" i="8"/>
  <c r="AX64" i="8"/>
  <c r="AZ64" i="8" s="1"/>
  <c r="AW65" i="8"/>
  <c r="AY64" i="8"/>
  <c r="E64" i="8"/>
  <c r="F63" i="8"/>
  <c r="H63" i="8" s="1"/>
  <c r="G63" i="8"/>
  <c r="AL65" i="8"/>
  <c r="AM64" i="8"/>
  <c r="AO64" i="8" s="1"/>
  <c r="AN64" i="8"/>
  <c r="AB64" i="8"/>
  <c r="AD64" i="8" s="1"/>
  <c r="AA65" i="8"/>
  <c r="AC64" i="8"/>
  <c r="AW66" i="8" l="1"/>
  <c r="AX65" i="8"/>
  <c r="AZ65" i="8" s="1"/>
  <c r="AY65" i="8"/>
  <c r="Q64" i="8"/>
  <c r="S64" i="8" s="1"/>
  <c r="P65" i="8"/>
  <c r="R64" i="8"/>
  <c r="BH66" i="8"/>
  <c r="BI65" i="8"/>
  <c r="BK65" i="8" s="1"/>
  <c r="BJ65" i="8"/>
  <c r="AL66" i="8"/>
  <c r="AM65" i="8"/>
  <c r="AO65" i="8" s="1"/>
  <c r="AN65" i="8"/>
  <c r="E65" i="8"/>
  <c r="F64" i="8"/>
  <c r="H64" i="8" s="1"/>
  <c r="G64" i="8"/>
  <c r="AB65" i="8"/>
  <c r="AD65" i="8" s="1"/>
  <c r="AA66" i="8"/>
  <c r="AC65" i="8"/>
  <c r="E66" i="8" l="1"/>
  <c r="F65" i="8"/>
  <c r="H65" i="8" s="1"/>
  <c r="G65" i="8"/>
  <c r="AX66" i="8"/>
  <c r="AZ66" i="8" s="1"/>
  <c r="AW67" i="8"/>
  <c r="AY66" i="8"/>
  <c r="AM66" i="8"/>
  <c r="AO66" i="8" s="1"/>
  <c r="AL67" i="8"/>
  <c r="AN66" i="8"/>
  <c r="AA67" i="8"/>
  <c r="AB66" i="8"/>
  <c r="AD66" i="8" s="1"/>
  <c r="AC66" i="8"/>
  <c r="Q65" i="8"/>
  <c r="S65" i="8" s="1"/>
  <c r="P66" i="8"/>
  <c r="R65" i="8"/>
  <c r="BH67" i="8"/>
  <c r="BI66" i="8"/>
  <c r="BK66" i="8" s="1"/>
  <c r="BJ66" i="8"/>
  <c r="Q66" i="8" l="1"/>
  <c r="S66" i="8" s="1"/>
  <c r="P67" i="8"/>
  <c r="R66" i="8"/>
  <c r="AB67" i="8"/>
  <c r="AD67" i="8" s="1"/>
  <c r="AA68" i="8"/>
  <c r="AC67" i="8"/>
  <c r="AW68" i="8"/>
  <c r="AX67" i="8"/>
  <c r="AZ67" i="8" s="1"/>
  <c r="AY67" i="8"/>
  <c r="BH68" i="8"/>
  <c r="BI67" i="8"/>
  <c r="BK67" i="8" s="1"/>
  <c r="BJ67" i="8"/>
  <c r="AL68" i="8"/>
  <c r="AM67" i="8"/>
  <c r="AO67" i="8" s="1"/>
  <c r="AN67" i="8"/>
  <c r="F66" i="8"/>
  <c r="H66" i="8" s="1"/>
  <c r="E67" i="8"/>
  <c r="G66" i="8"/>
  <c r="AA69" i="8" l="1"/>
  <c r="AB68" i="8"/>
  <c r="AD68" i="8" s="1"/>
  <c r="AC68" i="8"/>
  <c r="BH69" i="8"/>
  <c r="BI68" i="8"/>
  <c r="BK68" i="8" s="1"/>
  <c r="BJ68" i="8"/>
  <c r="AX68" i="8"/>
  <c r="AZ68" i="8" s="1"/>
  <c r="AW69" i="8"/>
  <c r="AY68" i="8"/>
  <c r="E68" i="8"/>
  <c r="F67" i="8"/>
  <c r="H67" i="8" s="1"/>
  <c r="G67" i="8"/>
  <c r="P68" i="8"/>
  <c r="Q67" i="8"/>
  <c r="S67" i="8" s="1"/>
  <c r="R67" i="8"/>
  <c r="AL69" i="8"/>
  <c r="AM68" i="8"/>
  <c r="AO68" i="8" s="1"/>
  <c r="AN68" i="8"/>
  <c r="BI69" i="8" l="1"/>
  <c r="BK69" i="8" s="1"/>
  <c r="BH70" i="8"/>
  <c r="BJ69" i="8"/>
  <c r="AM69" i="8"/>
  <c r="AO69" i="8" s="1"/>
  <c r="AL70" i="8"/>
  <c r="AN69" i="8"/>
  <c r="P69" i="8"/>
  <c r="Q68" i="8"/>
  <c r="S68" i="8" s="1"/>
  <c r="R68" i="8"/>
  <c r="AW70" i="8"/>
  <c r="AX69" i="8"/>
  <c r="AZ69" i="8" s="1"/>
  <c r="AY69" i="8"/>
  <c r="AB69" i="8"/>
  <c r="AD69" i="8" s="1"/>
  <c r="AA70" i="8"/>
  <c r="AC69" i="8"/>
  <c r="F68" i="8"/>
  <c r="H68" i="8" s="1"/>
  <c r="E69" i="8"/>
  <c r="G68" i="8"/>
  <c r="AA71" i="8" l="1"/>
  <c r="AB70" i="8"/>
  <c r="AD70" i="8" s="1"/>
  <c r="AC70" i="8"/>
  <c r="AL71" i="8"/>
  <c r="AM70" i="8"/>
  <c r="AO70" i="8" s="1"/>
  <c r="AN70" i="8"/>
  <c r="BI70" i="8"/>
  <c r="BK70" i="8" s="1"/>
  <c r="BH71" i="8"/>
  <c r="BJ70" i="8"/>
  <c r="E70" i="8"/>
  <c r="F69" i="8"/>
  <c r="H69" i="8" s="1"/>
  <c r="G69" i="8"/>
  <c r="Q69" i="8"/>
  <c r="S69" i="8" s="1"/>
  <c r="P70" i="8"/>
  <c r="R69" i="8"/>
  <c r="AX70" i="8"/>
  <c r="AZ70" i="8" s="1"/>
  <c r="AW71" i="8"/>
  <c r="AY70" i="8"/>
  <c r="F70" i="8" l="1"/>
  <c r="H70" i="8" s="1"/>
  <c r="E71" i="8"/>
  <c r="G70" i="8"/>
  <c r="AW72" i="8"/>
  <c r="AX71" i="8"/>
  <c r="AZ71" i="8" s="1"/>
  <c r="AY71" i="8"/>
  <c r="AL72" i="8"/>
  <c r="AM71" i="8"/>
  <c r="AO71" i="8" s="1"/>
  <c r="AN71" i="8"/>
  <c r="BH72" i="8"/>
  <c r="BI71" i="8"/>
  <c r="BK71" i="8" s="1"/>
  <c r="BJ71" i="8"/>
  <c r="AB71" i="8"/>
  <c r="AD71" i="8" s="1"/>
  <c r="AA72" i="8"/>
  <c r="AC71" i="8"/>
  <c r="P71" i="8"/>
  <c r="Q70" i="8"/>
  <c r="S70" i="8" s="1"/>
  <c r="R70" i="8"/>
  <c r="AX72" i="8" l="1"/>
  <c r="AZ72" i="8" s="1"/>
  <c r="AW73" i="8"/>
  <c r="AY72" i="8"/>
  <c r="BI72" i="8"/>
  <c r="BK72" i="8" s="1"/>
  <c r="BH73" i="8"/>
  <c r="BJ72" i="8"/>
  <c r="Q71" i="8"/>
  <c r="S71" i="8" s="1"/>
  <c r="P72" i="8"/>
  <c r="R71" i="8"/>
  <c r="AM72" i="8"/>
  <c r="AO72" i="8" s="1"/>
  <c r="AL73" i="8"/>
  <c r="AN72" i="8"/>
  <c r="E72" i="8"/>
  <c r="F71" i="8"/>
  <c r="H71" i="8" s="1"/>
  <c r="G71" i="8"/>
  <c r="AA73" i="8"/>
  <c r="AB72" i="8"/>
  <c r="AD72" i="8" s="1"/>
  <c r="AC72" i="8"/>
  <c r="BH74" i="8" l="1"/>
  <c r="BI73" i="8"/>
  <c r="BK73" i="8" s="1"/>
  <c r="BJ73" i="8"/>
  <c r="F72" i="8"/>
  <c r="H72" i="8" s="1"/>
  <c r="E73" i="8"/>
  <c r="G72" i="8"/>
  <c r="AL74" i="8"/>
  <c r="AM73" i="8"/>
  <c r="AO73" i="8" s="1"/>
  <c r="AN73" i="8"/>
  <c r="P73" i="8"/>
  <c r="Q72" i="8"/>
  <c r="S72" i="8" s="1"/>
  <c r="R72" i="8"/>
  <c r="AW74" i="8"/>
  <c r="AX73" i="8"/>
  <c r="AZ73" i="8" s="1"/>
  <c r="AY73" i="8"/>
  <c r="AB73" i="8"/>
  <c r="AD73" i="8" s="1"/>
  <c r="AA74" i="8"/>
  <c r="AC73" i="8"/>
  <c r="E74" i="8" l="1"/>
  <c r="F73" i="8"/>
  <c r="H73" i="8" s="1"/>
  <c r="G73" i="8"/>
  <c r="AL75" i="8"/>
  <c r="AM74" i="8"/>
  <c r="AO74" i="8" s="1"/>
  <c r="AN74" i="8"/>
  <c r="BH75" i="8"/>
  <c r="BI74" i="8"/>
  <c r="BK74" i="8" s="1"/>
  <c r="BJ74" i="8"/>
  <c r="AA75" i="8"/>
  <c r="AB74" i="8"/>
  <c r="AD74" i="8" s="1"/>
  <c r="AC74" i="8"/>
  <c r="AX74" i="8"/>
  <c r="AZ74" i="8" s="1"/>
  <c r="AW75" i="8"/>
  <c r="AY74" i="8"/>
  <c r="Q73" i="8"/>
  <c r="S73" i="8" s="1"/>
  <c r="P74" i="8"/>
  <c r="R73" i="8"/>
  <c r="AW76" i="8" l="1"/>
  <c r="AX75" i="8"/>
  <c r="AZ75" i="8" s="1"/>
  <c r="AY75" i="8"/>
  <c r="AM75" i="8"/>
  <c r="AO75" i="8" s="1"/>
  <c r="AL76" i="8"/>
  <c r="AN75" i="8"/>
  <c r="AB75" i="8"/>
  <c r="AD75" i="8" s="1"/>
  <c r="AA76" i="8"/>
  <c r="AC75" i="8"/>
  <c r="F74" i="8"/>
  <c r="H74" i="8" s="1"/>
  <c r="E75" i="8"/>
  <c r="G74" i="8"/>
  <c r="P75" i="8"/>
  <c r="Q74" i="8"/>
  <c r="S74" i="8" s="1"/>
  <c r="R74" i="8"/>
  <c r="BI75" i="8"/>
  <c r="BK75" i="8" s="1"/>
  <c r="BH76" i="8"/>
  <c r="BJ75" i="8"/>
  <c r="AA77" i="8" l="1"/>
  <c r="AB76" i="8"/>
  <c r="AD76" i="8" s="1"/>
  <c r="AC76" i="8"/>
  <c r="BH77" i="8"/>
  <c r="BI76" i="8"/>
  <c r="BK76" i="8" s="1"/>
  <c r="BJ76" i="8"/>
  <c r="E76" i="8"/>
  <c r="F75" i="8"/>
  <c r="H75" i="8" s="1"/>
  <c r="G75" i="8"/>
  <c r="AL77" i="8"/>
  <c r="AM76" i="8"/>
  <c r="AO76" i="8" s="1"/>
  <c r="AN76" i="8"/>
  <c r="Q75" i="8"/>
  <c r="S75" i="8" s="1"/>
  <c r="P76" i="8"/>
  <c r="R75" i="8"/>
  <c r="AX76" i="8"/>
  <c r="AZ76" i="8" s="1"/>
  <c r="AW77" i="8"/>
  <c r="AY76" i="8"/>
  <c r="AB77" i="8" l="1"/>
  <c r="AD77" i="8" s="1"/>
  <c r="AA78" i="8"/>
  <c r="AC77" i="8"/>
  <c r="AL78" i="8"/>
  <c r="AM77" i="8"/>
  <c r="AO77" i="8" s="1"/>
  <c r="AN77" i="8"/>
  <c r="BH78" i="8"/>
  <c r="BI77" i="8"/>
  <c r="BK77" i="8" s="1"/>
  <c r="BJ77" i="8"/>
  <c r="F76" i="8"/>
  <c r="H76" i="8" s="1"/>
  <c r="E77" i="8"/>
  <c r="G76" i="8"/>
  <c r="P77" i="8"/>
  <c r="Q76" i="8"/>
  <c r="S76" i="8" s="1"/>
  <c r="R76" i="8"/>
  <c r="AW78" i="8"/>
  <c r="AX77" i="8"/>
  <c r="AZ77" i="8" s="1"/>
  <c r="AY77" i="8"/>
  <c r="AA79" i="8" l="1"/>
  <c r="AB78" i="8"/>
  <c r="AD78" i="8" s="1"/>
  <c r="AC78" i="8"/>
  <c r="AL79" i="8"/>
  <c r="AM78" i="8"/>
  <c r="AO78" i="8" s="1"/>
  <c r="AN78" i="8"/>
  <c r="P78" i="8"/>
  <c r="Q77" i="8"/>
  <c r="S77" i="8" s="1"/>
  <c r="R77" i="8"/>
  <c r="E78" i="8"/>
  <c r="F77" i="8"/>
  <c r="H77" i="8" s="1"/>
  <c r="G77" i="8"/>
  <c r="AX78" i="8"/>
  <c r="AZ78" i="8" s="1"/>
  <c r="AW79" i="8"/>
  <c r="AY78" i="8"/>
  <c r="BH79" i="8"/>
  <c r="BI78" i="8"/>
  <c r="BK78" i="8" s="1"/>
  <c r="BJ78" i="8"/>
  <c r="BH80" i="8" l="1"/>
  <c r="BI79" i="8"/>
  <c r="BK79" i="8" s="1"/>
  <c r="BJ79" i="8"/>
  <c r="AB79" i="8"/>
  <c r="AD79" i="8" s="1"/>
  <c r="AA80" i="8"/>
  <c r="AC79" i="8"/>
  <c r="AX79" i="8"/>
  <c r="AZ79" i="8" s="1"/>
  <c r="AW80" i="8"/>
  <c r="AY79" i="8"/>
  <c r="F78" i="8"/>
  <c r="H78" i="8" s="1"/>
  <c r="E79" i="8"/>
  <c r="G78" i="8"/>
  <c r="P79" i="8"/>
  <c r="Q78" i="8"/>
  <c r="S78" i="8" s="1"/>
  <c r="R78" i="8"/>
  <c r="AL80" i="8"/>
  <c r="AM79" i="8"/>
  <c r="AO79" i="8" s="1"/>
  <c r="AN79" i="8"/>
  <c r="F79" i="8" l="1"/>
  <c r="H79" i="8" s="1"/>
  <c r="E80" i="8"/>
  <c r="G79" i="8"/>
  <c r="P80" i="8"/>
  <c r="Q79" i="8"/>
  <c r="S79" i="8" s="1"/>
  <c r="R79" i="8"/>
  <c r="AX80" i="8"/>
  <c r="AZ80" i="8" s="1"/>
  <c r="AW81" i="8"/>
  <c r="AY80" i="8"/>
  <c r="AA81" i="8"/>
  <c r="AB80" i="8"/>
  <c r="AD80" i="8" s="1"/>
  <c r="AC80" i="8"/>
  <c r="AL81" i="8"/>
  <c r="AM80" i="8"/>
  <c r="AO80" i="8" s="1"/>
  <c r="AN80" i="8"/>
  <c r="BI80" i="8"/>
  <c r="BK80" i="8" s="1"/>
  <c r="BH81" i="8"/>
  <c r="BJ80" i="8"/>
  <c r="AM81" i="8" l="1"/>
  <c r="AO81" i="8" s="1"/>
  <c r="AL82" i="8"/>
  <c r="AN81" i="8"/>
  <c r="AW82" i="8"/>
  <c r="AX81" i="8"/>
  <c r="AZ81" i="8" s="1"/>
  <c r="AY81" i="8"/>
  <c r="AB81" i="8"/>
  <c r="AD81" i="8" s="1"/>
  <c r="AA82" i="8"/>
  <c r="AC81" i="8"/>
  <c r="BH82" i="8"/>
  <c r="BI81" i="8"/>
  <c r="BK81" i="8" s="1"/>
  <c r="BJ81" i="8"/>
  <c r="F80" i="8"/>
  <c r="H80" i="8" s="1"/>
  <c r="E81" i="8"/>
  <c r="G80" i="8"/>
  <c r="Q80" i="8"/>
  <c r="S80" i="8" s="1"/>
  <c r="P81" i="8"/>
  <c r="R80" i="8"/>
  <c r="AA83" i="8" l="1"/>
  <c r="AB82" i="8"/>
  <c r="AD82" i="8" s="1"/>
  <c r="AC82" i="8"/>
  <c r="P82" i="8"/>
  <c r="Q81" i="8"/>
  <c r="S81" i="8" s="1"/>
  <c r="R81" i="8"/>
  <c r="F81" i="8"/>
  <c r="H81" i="8" s="1"/>
  <c r="E82" i="8"/>
  <c r="G81" i="8"/>
  <c r="BI82" i="8"/>
  <c r="BK82" i="8" s="1"/>
  <c r="BH83" i="8"/>
  <c r="BJ82" i="8"/>
  <c r="AL83" i="8"/>
  <c r="AM82" i="8"/>
  <c r="AO82" i="8" s="1"/>
  <c r="AN82" i="8"/>
  <c r="AX82" i="8"/>
  <c r="AZ82" i="8" s="1"/>
  <c r="AW83" i="8"/>
  <c r="AY82" i="8"/>
  <c r="BH84" i="8" l="1"/>
  <c r="BI83" i="8"/>
  <c r="BK83" i="8" s="1"/>
  <c r="BJ83" i="8"/>
  <c r="F82" i="8"/>
  <c r="H82" i="8" s="1"/>
  <c r="E83" i="8"/>
  <c r="G82" i="8"/>
  <c r="AM83" i="8"/>
  <c r="AO83" i="8" s="1"/>
  <c r="AL84" i="8"/>
  <c r="AN83" i="8"/>
  <c r="Q82" i="8"/>
  <c r="S82" i="8" s="1"/>
  <c r="P83" i="8"/>
  <c r="R82" i="8"/>
  <c r="AX83" i="8"/>
  <c r="AZ83" i="8" s="1"/>
  <c r="AW84" i="8"/>
  <c r="AY83" i="8"/>
  <c r="AB83" i="8"/>
  <c r="AD83" i="8" s="1"/>
  <c r="AA84" i="8"/>
  <c r="AC83" i="8"/>
  <c r="P84" i="8" l="1"/>
  <c r="Q83" i="8"/>
  <c r="S83" i="8" s="1"/>
  <c r="R83" i="8"/>
  <c r="BI84" i="8"/>
  <c r="BK84" i="8" s="1"/>
  <c r="BH85" i="8"/>
  <c r="BJ84" i="8"/>
  <c r="AL85" i="8"/>
  <c r="AM84" i="8"/>
  <c r="AO84" i="8" s="1"/>
  <c r="AN84" i="8"/>
  <c r="AB84" i="8"/>
  <c r="AD84" i="8" s="1"/>
  <c r="AA85" i="8"/>
  <c r="AC84" i="8"/>
  <c r="E84" i="8"/>
  <c r="F83" i="8"/>
  <c r="H83" i="8" s="1"/>
  <c r="G83" i="8"/>
  <c r="AX84" i="8"/>
  <c r="AZ84" i="8" s="1"/>
  <c r="AW85" i="8"/>
  <c r="AY84" i="8"/>
  <c r="BH86" i="8" l="1"/>
  <c r="BI85" i="8"/>
  <c r="BK85" i="8" s="1"/>
  <c r="BJ85" i="8"/>
  <c r="AX85" i="8"/>
  <c r="AZ85" i="8" s="1"/>
  <c r="AW86" i="8"/>
  <c r="AY85" i="8"/>
  <c r="F84" i="8"/>
  <c r="H84" i="8" s="1"/>
  <c r="E85" i="8"/>
  <c r="G84" i="8"/>
  <c r="AM85" i="8"/>
  <c r="AO85" i="8" s="1"/>
  <c r="AL86" i="8"/>
  <c r="AN85" i="8"/>
  <c r="AB85" i="8"/>
  <c r="AD85" i="8" s="1"/>
  <c r="AA86" i="8"/>
  <c r="AC85" i="8"/>
  <c r="Q84" i="8"/>
  <c r="S84" i="8" s="1"/>
  <c r="P85" i="8"/>
  <c r="R84" i="8"/>
  <c r="F85" i="8" l="1"/>
  <c r="H85" i="8" s="1"/>
  <c r="E86" i="8"/>
  <c r="G85" i="8"/>
  <c r="AB86" i="8"/>
  <c r="AD86" i="8" s="1"/>
  <c r="AA87" i="8"/>
  <c r="AC86" i="8"/>
  <c r="AL87" i="8"/>
  <c r="AM86" i="8"/>
  <c r="AO86" i="8" s="1"/>
  <c r="AN86" i="8"/>
  <c r="AX86" i="8"/>
  <c r="AZ86" i="8" s="1"/>
  <c r="AW87" i="8"/>
  <c r="AY86" i="8"/>
  <c r="BI86" i="8"/>
  <c r="BK86" i="8" s="1"/>
  <c r="BH87" i="8"/>
  <c r="BJ86" i="8"/>
  <c r="P86" i="8"/>
  <c r="Q85" i="8"/>
  <c r="S85" i="8" s="1"/>
  <c r="R85" i="8"/>
  <c r="AX87" i="8" l="1"/>
  <c r="AZ87" i="8" s="1"/>
  <c r="BB87" i="8" s="1"/>
  <c r="AY87" i="8"/>
  <c r="BA87" i="8" s="1"/>
  <c r="AP86" i="8"/>
  <c r="AP85" i="8" s="1"/>
  <c r="AP84" i="8" s="1"/>
  <c r="AP83" i="8" s="1"/>
  <c r="AP82" i="8" s="1"/>
  <c r="AP81" i="8" s="1"/>
  <c r="AP80" i="8" s="1"/>
  <c r="AP79" i="8" s="1"/>
  <c r="AP78" i="8" s="1"/>
  <c r="AP77" i="8" s="1"/>
  <c r="AP76" i="8" s="1"/>
  <c r="AP75" i="8" s="1"/>
  <c r="AP74" i="8" s="1"/>
  <c r="AP73" i="8" s="1"/>
  <c r="AP72" i="8" s="1"/>
  <c r="AP71" i="8" s="1"/>
  <c r="AP70" i="8" s="1"/>
  <c r="AP69" i="8" s="1"/>
  <c r="AP68" i="8" s="1"/>
  <c r="AP67" i="8" s="1"/>
  <c r="AP66" i="8" s="1"/>
  <c r="AP65" i="8" s="1"/>
  <c r="AP64" i="8" s="1"/>
  <c r="AP63" i="8" s="1"/>
  <c r="AP62" i="8" s="1"/>
  <c r="AP61" i="8" s="1"/>
  <c r="AP60" i="8" s="1"/>
  <c r="AP59" i="8" s="1"/>
  <c r="AP58" i="8" s="1"/>
  <c r="AP57" i="8" s="1"/>
  <c r="AP56" i="8" s="1"/>
  <c r="AP55" i="8" s="1"/>
  <c r="AP54" i="8" s="1"/>
  <c r="AP53" i="8" s="1"/>
  <c r="AP52" i="8" s="1"/>
  <c r="AP51" i="8" s="1"/>
  <c r="AP50" i="8" s="1"/>
  <c r="AP49" i="8" s="1"/>
  <c r="AP48" i="8" s="1"/>
  <c r="AP47" i="8" s="1"/>
  <c r="AP46" i="8" s="1"/>
  <c r="AP45" i="8" s="1"/>
  <c r="AP44" i="8" s="1"/>
  <c r="AP43" i="8" s="1"/>
  <c r="AP42" i="8" s="1"/>
  <c r="AP41" i="8" s="1"/>
  <c r="AP40" i="8" s="1"/>
  <c r="AP39" i="8" s="1"/>
  <c r="AP38" i="8" s="1"/>
  <c r="AP37" i="8" s="1"/>
  <c r="AP36" i="8" s="1"/>
  <c r="AP35" i="8" s="1"/>
  <c r="AP34" i="8" s="1"/>
  <c r="AP33" i="8" s="1"/>
  <c r="AP32" i="8" s="1"/>
  <c r="AP31" i="8" s="1"/>
  <c r="AP30" i="8" s="1"/>
  <c r="AP29" i="8" s="1"/>
  <c r="AP28" i="8" s="1"/>
  <c r="AP27" i="8" s="1"/>
  <c r="AP26" i="8" s="1"/>
  <c r="AP25" i="8" s="1"/>
  <c r="AP24" i="8" s="1"/>
  <c r="AP23" i="8" s="1"/>
  <c r="AP22" i="8" s="1"/>
  <c r="AP21" i="8" s="1"/>
  <c r="AP20" i="8" s="1"/>
  <c r="AP19" i="8" s="1"/>
  <c r="AP18" i="8" s="1"/>
  <c r="AP17" i="8" s="1"/>
  <c r="AP16" i="8" s="1"/>
  <c r="AP15" i="8" s="1"/>
  <c r="AP14" i="8" s="1"/>
  <c r="AP13" i="8" s="1"/>
  <c r="AP12" i="8" s="1"/>
  <c r="AP11" i="8" s="1"/>
  <c r="AP10" i="8" s="1"/>
  <c r="AP9" i="8" s="1"/>
  <c r="AP8" i="8" s="1"/>
  <c r="AP7" i="8" s="1"/>
  <c r="BA86" i="8"/>
  <c r="BA85" i="8" s="1"/>
  <c r="BA84" i="8" s="1"/>
  <c r="BA83" i="8" s="1"/>
  <c r="BA82" i="8" s="1"/>
  <c r="BA81" i="8" s="1"/>
  <c r="BA80" i="8" s="1"/>
  <c r="BA79" i="8" s="1"/>
  <c r="BA78" i="8" s="1"/>
  <c r="BA77" i="8" s="1"/>
  <c r="BA76" i="8" s="1"/>
  <c r="BA75" i="8" s="1"/>
  <c r="BA74" i="8" s="1"/>
  <c r="BA73" i="8" s="1"/>
  <c r="BA72" i="8" s="1"/>
  <c r="BA71" i="8" s="1"/>
  <c r="BA70" i="8" s="1"/>
  <c r="BA69" i="8" s="1"/>
  <c r="BA68" i="8" s="1"/>
  <c r="BA67" i="8" s="1"/>
  <c r="BA66" i="8" s="1"/>
  <c r="BA65" i="8" s="1"/>
  <c r="BA64" i="8" s="1"/>
  <c r="BA63" i="8" s="1"/>
  <c r="BA62" i="8" s="1"/>
  <c r="BA61" i="8" s="1"/>
  <c r="BA60" i="8" s="1"/>
  <c r="BA59" i="8" s="1"/>
  <c r="BA58" i="8" s="1"/>
  <c r="BA57" i="8" s="1"/>
  <c r="BA56" i="8" s="1"/>
  <c r="BA55" i="8" s="1"/>
  <c r="BA54" i="8" s="1"/>
  <c r="BA53" i="8" s="1"/>
  <c r="BA52" i="8" s="1"/>
  <c r="BA51" i="8" s="1"/>
  <c r="BA50" i="8" s="1"/>
  <c r="BA49" i="8" s="1"/>
  <c r="BA48" i="8" s="1"/>
  <c r="BA47" i="8" s="1"/>
  <c r="BA46" i="8" s="1"/>
  <c r="BA45" i="8" s="1"/>
  <c r="BA44" i="8" s="1"/>
  <c r="BA43" i="8" s="1"/>
  <c r="BA42" i="8" s="1"/>
  <c r="BA41" i="8" s="1"/>
  <c r="BA40" i="8" s="1"/>
  <c r="BA39" i="8" s="1"/>
  <c r="BA38" i="8" s="1"/>
  <c r="BA37" i="8" s="1"/>
  <c r="BA36" i="8" s="1"/>
  <c r="BA35" i="8" s="1"/>
  <c r="BA34" i="8" s="1"/>
  <c r="BA33" i="8" s="1"/>
  <c r="BA32" i="8" s="1"/>
  <c r="BA31" i="8" s="1"/>
  <c r="BA30" i="8" s="1"/>
  <c r="BA29" i="8" s="1"/>
  <c r="BA28" i="8" s="1"/>
  <c r="BA27" i="8" s="1"/>
  <c r="BA26" i="8" s="1"/>
  <c r="BA25" i="8" s="1"/>
  <c r="BA24" i="8" s="1"/>
  <c r="BA23" i="8" s="1"/>
  <c r="BA22" i="8" s="1"/>
  <c r="BA21" i="8" s="1"/>
  <c r="BA20" i="8" s="1"/>
  <c r="BA19" i="8" s="1"/>
  <c r="BA18" i="8" s="1"/>
  <c r="BA17" i="8" s="1"/>
  <c r="BA16" i="8" s="1"/>
  <c r="BA15" i="8" s="1"/>
  <c r="BA14" i="8" s="1"/>
  <c r="BA13" i="8" s="1"/>
  <c r="BA12" i="8" s="1"/>
  <c r="BA11" i="8" s="1"/>
  <c r="BA10" i="8" s="1"/>
  <c r="BA9" i="8" s="1"/>
  <c r="BA8" i="8" s="1"/>
  <c r="BA7" i="8" s="1"/>
  <c r="Q86" i="8"/>
  <c r="S86" i="8" s="1"/>
  <c r="P87" i="8"/>
  <c r="R86" i="8"/>
  <c r="BB86" i="8"/>
  <c r="AB87" i="8"/>
  <c r="AD87" i="8" s="1"/>
  <c r="AF87" i="8" s="1"/>
  <c r="AF86" i="8" s="1"/>
  <c r="AC87" i="8"/>
  <c r="AE87" i="8" s="1"/>
  <c r="AE86" i="8" s="1"/>
  <c r="AE85" i="8" s="1"/>
  <c r="AE84" i="8" s="1"/>
  <c r="AE83" i="8" s="1"/>
  <c r="AE82" i="8" s="1"/>
  <c r="AE81" i="8" s="1"/>
  <c r="AE80" i="8" s="1"/>
  <c r="AE79" i="8" s="1"/>
  <c r="AE78" i="8" s="1"/>
  <c r="AE77" i="8" s="1"/>
  <c r="AE76" i="8" s="1"/>
  <c r="AE75" i="8" s="1"/>
  <c r="AE74" i="8" s="1"/>
  <c r="AE73" i="8" s="1"/>
  <c r="AE72" i="8" s="1"/>
  <c r="AE71" i="8" s="1"/>
  <c r="AE70" i="8" s="1"/>
  <c r="AE69" i="8" s="1"/>
  <c r="AE68" i="8" s="1"/>
  <c r="AE67" i="8" s="1"/>
  <c r="AE66" i="8" s="1"/>
  <c r="AE65" i="8" s="1"/>
  <c r="AE64" i="8" s="1"/>
  <c r="AE63" i="8" s="1"/>
  <c r="AE62" i="8" s="1"/>
  <c r="AE61" i="8" s="1"/>
  <c r="AE60" i="8" s="1"/>
  <c r="AE59" i="8" s="1"/>
  <c r="AE58" i="8" s="1"/>
  <c r="AE57" i="8" s="1"/>
  <c r="AE56" i="8" s="1"/>
  <c r="AE55" i="8" s="1"/>
  <c r="AE54" i="8" s="1"/>
  <c r="AE53" i="8" s="1"/>
  <c r="AE52" i="8" s="1"/>
  <c r="AE51" i="8" s="1"/>
  <c r="AE50" i="8" s="1"/>
  <c r="AE49" i="8" s="1"/>
  <c r="AE48" i="8" s="1"/>
  <c r="AE47" i="8" s="1"/>
  <c r="AE46" i="8" s="1"/>
  <c r="AE45" i="8" s="1"/>
  <c r="AE44" i="8" s="1"/>
  <c r="AE43" i="8" s="1"/>
  <c r="AE42" i="8" s="1"/>
  <c r="AE41" i="8" s="1"/>
  <c r="AE40" i="8" s="1"/>
  <c r="AE39" i="8" s="1"/>
  <c r="AE38" i="8" s="1"/>
  <c r="AE37" i="8" s="1"/>
  <c r="AE36" i="8" s="1"/>
  <c r="AE35" i="8" s="1"/>
  <c r="AE34" i="8" s="1"/>
  <c r="AE33" i="8" s="1"/>
  <c r="AE32" i="8" s="1"/>
  <c r="AE31" i="8" s="1"/>
  <c r="AE30" i="8" s="1"/>
  <c r="AE29" i="8" s="1"/>
  <c r="AE28" i="8" s="1"/>
  <c r="AE27" i="8" s="1"/>
  <c r="AE26" i="8" s="1"/>
  <c r="AE25" i="8" s="1"/>
  <c r="AE24" i="8" s="1"/>
  <c r="AE23" i="8" s="1"/>
  <c r="AE22" i="8" s="1"/>
  <c r="AE21" i="8" s="1"/>
  <c r="AE20" i="8" s="1"/>
  <c r="AE19" i="8" s="1"/>
  <c r="AE18" i="8" s="1"/>
  <c r="AE17" i="8" s="1"/>
  <c r="AE16" i="8" s="1"/>
  <c r="AE15" i="8" s="1"/>
  <c r="AE14" i="8" s="1"/>
  <c r="AE13" i="8" s="1"/>
  <c r="AE12" i="8" s="1"/>
  <c r="AE11" i="8" s="1"/>
  <c r="AE10" i="8" s="1"/>
  <c r="AE9" i="8" s="1"/>
  <c r="AE8" i="8" s="1"/>
  <c r="AE7" i="8" s="1"/>
  <c r="F86" i="8"/>
  <c r="H86" i="8" s="1"/>
  <c r="E87" i="8"/>
  <c r="G86" i="8"/>
  <c r="BI87" i="8"/>
  <c r="BK87" i="8" s="1"/>
  <c r="BM87" i="8" s="1"/>
  <c r="BM86" i="8" s="1"/>
  <c r="BJ87" i="8"/>
  <c r="BL87" i="8" s="1"/>
  <c r="BL86" i="8" s="1"/>
  <c r="BL85" i="8" s="1"/>
  <c r="BL84" i="8" s="1"/>
  <c r="BL83" i="8" s="1"/>
  <c r="BL82" i="8" s="1"/>
  <c r="BL81" i="8" s="1"/>
  <c r="BL80" i="8" s="1"/>
  <c r="BL79" i="8" s="1"/>
  <c r="BL78" i="8" s="1"/>
  <c r="BL77" i="8" s="1"/>
  <c r="BL76" i="8" s="1"/>
  <c r="BL75" i="8" s="1"/>
  <c r="BL74" i="8" s="1"/>
  <c r="BL73" i="8" s="1"/>
  <c r="BL72" i="8" s="1"/>
  <c r="BL71" i="8" s="1"/>
  <c r="BL70" i="8" s="1"/>
  <c r="BL69" i="8" s="1"/>
  <c r="BL68" i="8" s="1"/>
  <c r="BL67" i="8" s="1"/>
  <c r="BL66" i="8" s="1"/>
  <c r="BL65" i="8" s="1"/>
  <c r="BL64" i="8" s="1"/>
  <c r="BL63" i="8" s="1"/>
  <c r="BL62" i="8" s="1"/>
  <c r="BL61" i="8" s="1"/>
  <c r="BL60" i="8" s="1"/>
  <c r="BL59" i="8" s="1"/>
  <c r="BL58" i="8" s="1"/>
  <c r="BL57" i="8" s="1"/>
  <c r="BL56" i="8" s="1"/>
  <c r="BL55" i="8" s="1"/>
  <c r="BL54" i="8" s="1"/>
  <c r="BL53" i="8" s="1"/>
  <c r="BL52" i="8" s="1"/>
  <c r="BL51" i="8" s="1"/>
  <c r="BL50" i="8" s="1"/>
  <c r="BL49" i="8" s="1"/>
  <c r="BL48" i="8" s="1"/>
  <c r="BL47" i="8" s="1"/>
  <c r="BL46" i="8" s="1"/>
  <c r="BL45" i="8" s="1"/>
  <c r="BL44" i="8" s="1"/>
  <c r="BL43" i="8" s="1"/>
  <c r="BL42" i="8" s="1"/>
  <c r="BL41" i="8" s="1"/>
  <c r="BL40" i="8" s="1"/>
  <c r="BL39" i="8" s="1"/>
  <c r="BL38" i="8" s="1"/>
  <c r="BL37" i="8" s="1"/>
  <c r="BL36" i="8" s="1"/>
  <c r="BL35" i="8" s="1"/>
  <c r="BL34" i="8" s="1"/>
  <c r="BL33" i="8" s="1"/>
  <c r="BL32" i="8" s="1"/>
  <c r="BL31" i="8" s="1"/>
  <c r="BL30" i="8" s="1"/>
  <c r="BL29" i="8" s="1"/>
  <c r="BL28" i="8" s="1"/>
  <c r="BL27" i="8" s="1"/>
  <c r="BL26" i="8" s="1"/>
  <c r="BL25" i="8" s="1"/>
  <c r="BL24" i="8" s="1"/>
  <c r="BL23" i="8" s="1"/>
  <c r="BL22" i="8" s="1"/>
  <c r="BL21" i="8" s="1"/>
  <c r="BL20" i="8" s="1"/>
  <c r="BL19" i="8" s="1"/>
  <c r="BL18" i="8" s="1"/>
  <c r="BL17" i="8" s="1"/>
  <c r="BL16" i="8" s="1"/>
  <c r="BL15" i="8" s="1"/>
  <c r="BL14" i="8" s="1"/>
  <c r="BL13" i="8" s="1"/>
  <c r="BL12" i="8" s="1"/>
  <c r="BL11" i="8" s="1"/>
  <c r="BL10" i="8" s="1"/>
  <c r="BL9" i="8" s="1"/>
  <c r="BL8" i="8" s="1"/>
  <c r="BL7" i="8" s="1"/>
  <c r="AM87" i="8"/>
  <c r="AO87" i="8" s="1"/>
  <c r="AQ87" i="8" s="1"/>
  <c r="AQ86" i="8" s="1"/>
  <c r="AN87" i="8"/>
  <c r="AP87" i="8" s="1"/>
  <c r="N86" i="10" l="1"/>
  <c r="AF85" i="8"/>
  <c r="S86" i="10"/>
  <c r="AQ85" i="8"/>
  <c r="AC86" i="10"/>
  <c r="BM85" i="8"/>
  <c r="Q87" i="8"/>
  <c r="S87" i="8" s="1"/>
  <c r="U87" i="8" s="1"/>
  <c r="R87" i="8"/>
  <c r="T87" i="8" s="1"/>
  <c r="T86" i="8" s="1"/>
  <c r="T85" i="8" s="1"/>
  <c r="T84" i="8" s="1"/>
  <c r="T83" i="8" s="1"/>
  <c r="T82" i="8" s="1"/>
  <c r="T81" i="8" s="1"/>
  <c r="T80" i="8" s="1"/>
  <c r="T79" i="8" s="1"/>
  <c r="T78" i="8" s="1"/>
  <c r="T77" i="8" s="1"/>
  <c r="T76" i="8" s="1"/>
  <c r="T75" i="8" s="1"/>
  <c r="T74" i="8" s="1"/>
  <c r="T73" i="8" s="1"/>
  <c r="T72" i="8" s="1"/>
  <c r="T71" i="8" s="1"/>
  <c r="T70" i="8" s="1"/>
  <c r="T69" i="8" s="1"/>
  <c r="T68" i="8" s="1"/>
  <c r="T67" i="8" s="1"/>
  <c r="T66" i="8" s="1"/>
  <c r="T65" i="8" s="1"/>
  <c r="T64" i="8" s="1"/>
  <c r="T63" i="8" s="1"/>
  <c r="T62" i="8" s="1"/>
  <c r="T61" i="8" s="1"/>
  <c r="T60" i="8" s="1"/>
  <c r="T59" i="8" s="1"/>
  <c r="T58" i="8" s="1"/>
  <c r="T57" i="8" s="1"/>
  <c r="T56" i="8" s="1"/>
  <c r="T55" i="8" s="1"/>
  <c r="T54" i="8" s="1"/>
  <c r="T53" i="8" s="1"/>
  <c r="T52" i="8" s="1"/>
  <c r="T51" i="8" s="1"/>
  <c r="T50" i="8" s="1"/>
  <c r="T49" i="8" s="1"/>
  <c r="T48" i="8" s="1"/>
  <c r="T47" i="8" s="1"/>
  <c r="T46" i="8" s="1"/>
  <c r="T45" i="8" s="1"/>
  <c r="T44" i="8" s="1"/>
  <c r="T43" i="8" s="1"/>
  <c r="T42" i="8" s="1"/>
  <c r="T41" i="8" s="1"/>
  <c r="T40" i="8" s="1"/>
  <c r="T39" i="8" s="1"/>
  <c r="T38" i="8" s="1"/>
  <c r="T37" i="8" s="1"/>
  <c r="T36" i="8" s="1"/>
  <c r="T35" i="8" s="1"/>
  <c r="T34" i="8" s="1"/>
  <c r="T33" i="8" s="1"/>
  <c r="T32" i="8" s="1"/>
  <c r="T31" i="8" s="1"/>
  <c r="T30" i="8" s="1"/>
  <c r="T29" i="8" s="1"/>
  <c r="T28" i="8" s="1"/>
  <c r="T27" i="8" s="1"/>
  <c r="T26" i="8" s="1"/>
  <c r="T25" i="8" s="1"/>
  <c r="T24" i="8" s="1"/>
  <c r="T23" i="8" s="1"/>
  <c r="T22" i="8" s="1"/>
  <c r="T21" i="8" s="1"/>
  <c r="T20" i="8" s="1"/>
  <c r="T19" i="8" s="1"/>
  <c r="T18" i="8" s="1"/>
  <c r="T17" i="8" s="1"/>
  <c r="T16" i="8" s="1"/>
  <c r="T15" i="8" s="1"/>
  <c r="T14" i="8" s="1"/>
  <c r="T13" i="8" s="1"/>
  <c r="T12" i="8" s="1"/>
  <c r="T11" i="8" s="1"/>
  <c r="T10" i="8" s="1"/>
  <c r="T9" i="8" s="1"/>
  <c r="T8" i="8" s="1"/>
  <c r="T7" i="8" s="1"/>
  <c r="X86" i="10"/>
  <c r="BB85" i="8"/>
  <c r="U86" i="8"/>
  <c r="I86" i="8"/>
  <c r="I85" i="8" s="1"/>
  <c r="I84" i="8" s="1"/>
  <c r="I83" i="8" s="1"/>
  <c r="I82" i="8" s="1"/>
  <c r="I81" i="8" s="1"/>
  <c r="I80" i="8" s="1"/>
  <c r="I79" i="8" s="1"/>
  <c r="I78" i="8" s="1"/>
  <c r="I77" i="8" s="1"/>
  <c r="I76" i="8" s="1"/>
  <c r="I75" i="8" s="1"/>
  <c r="I74" i="8" s="1"/>
  <c r="I73" i="8" s="1"/>
  <c r="I72" i="8" s="1"/>
  <c r="I71" i="8" s="1"/>
  <c r="I70" i="8" s="1"/>
  <c r="I69" i="8" s="1"/>
  <c r="I68" i="8" s="1"/>
  <c r="I67" i="8" s="1"/>
  <c r="I66" i="8" s="1"/>
  <c r="I65" i="8" s="1"/>
  <c r="I64" i="8" s="1"/>
  <c r="I63" i="8" s="1"/>
  <c r="I62" i="8" s="1"/>
  <c r="I61" i="8" s="1"/>
  <c r="I60" i="8" s="1"/>
  <c r="I59" i="8" s="1"/>
  <c r="I58" i="8" s="1"/>
  <c r="I57" i="8" s="1"/>
  <c r="I56" i="8" s="1"/>
  <c r="I55" i="8" s="1"/>
  <c r="I54" i="8" s="1"/>
  <c r="I53" i="8" s="1"/>
  <c r="I52" i="8" s="1"/>
  <c r="I51" i="8" s="1"/>
  <c r="I50" i="8" s="1"/>
  <c r="I49" i="8" s="1"/>
  <c r="I48" i="8" s="1"/>
  <c r="I47" i="8" s="1"/>
  <c r="I46" i="8" s="1"/>
  <c r="I45" i="8" s="1"/>
  <c r="I44" i="8" s="1"/>
  <c r="I43" i="8" s="1"/>
  <c r="I42" i="8" s="1"/>
  <c r="I41" i="8" s="1"/>
  <c r="I40" i="8" s="1"/>
  <c r="I39" i="8" s="1"/>
  <c r="I38" i="8" s="1"/>
  <c r="I37" i="8" s="1"/>
  <c r="I36" i="8" s="1"/>
  <c r="I35" i="8" s="1"/>
  <c r="I34" i="8" s="1"/>
  <c r="I33" i="8" s="1"/>
  <c r="I32" i="8" s="1"/>
  <c r="I31" i="8" s="1"/>
  <c r="I30" i="8" s="1"/>
  <c r="I29" i="8" s="1"/>
  <c r="I28" i="8" s="1"/>
  <c r="I27" i="8" s="1"/>
  <c r="I26" i="8" s="1"/>
  <c r="I25" i="8" s="1"/>
  <c r="I24" i="8" s="1"/>
  <c r="I23" i="8" s="1"/>
  <c r="I22" i="8" s="1"/>
  <c r="I21" i="8" s="1"/>
  <c r="I20" i="8" s="1"/>
  <c r="I19" i="8" s="1"/>
  <c r="I18" i="8" s="1"/>
  <c r="I17" i="8" s="1"/>
  <c r="I16" i="8" s="1"/>
  <c r="I15" i="8" s="1"/>
  <c r="I14" i="8" s="1"/>
  <c r="I13" i="8" s="1"/>
  <c r="I12" i="8" s="1"/>
  <c r="I11" i="8" s="1"/>
  <c r="I10" i="8" s="1"/>
  <c r="I9" i="8" s="1"/>
  <c r="I8" i="8" s="1"/>
  <c r="I7" i="8" s="1"/>
  <c r="F87" i="8"/>
  <c r="H87" i="8" s="1"/>
  <c r="J87" i="8" s="1"/>
  <c r="J86" i="8" s="1"/>
  <c r="G87" i="8"/>
  <c r="I87" i="8" s="1"/>
  <c r="D86" i="10" l="1"/>
  <c r="J85" i="8"/>
  <c r="X85" i="10"/>
  <c r="BB84" i="8"/>
  <c r="I86" i="10"/>
  <c r="U85" i="8"/>
  <c r="AC85" i="10"/>
  <c r="BM84" i="8"/>
  <c r="S85" i="10"/>
  <c r="AQ84" i="8"/>
  <c r="N85" i="10"/>
  <c r="AF84" i="8"/>
  <c r="I85" i="10" l="1"/>
  <c r="U84" i="8"/>
  <c r="S84" i="10"/>
  <c r="AQ83" i="8"/>
  <c r="X84" i="10"/>
  <c r="BB83" i="8"/>
  <c r="D85" i="10"/>
  <c r="J84" i="8"/>
  <c r="N84" i="10"/>
  <c r="AF83" i="8"/>
  <c r="AC84" i="10"/>
  <c r="BM83" i="8"/>
  <c r="N83" i="10" l="1"/>
  <c r="AF82" i="8"/>
  <c r="S83" i="10"/>
  <c r="AQ82" i="8"/>
  <c r="I84" i="10"/>
  <c r="U83" i="8"/>
  <c r="AC83" i="10"/>
  <c r="BM82" i="8"/>
  <c r="D84" i="10"/>
  <c r="J83" i="8"/>
  <c r="X83" i="10"/>
  <c r="BB82" i="8"/>
  <c r="X82" i="10" l="1"/>
  <c r="BB81" i="8"/>
  <c r="D83" i="10"/>
  <c r="J82" i="8"/>
  <c r="I83" i="10"/>
  <c r="U82" i="8"/>
  <c r="AC82" i="10"/>
  <c r="BM81" i="8"/>
  <c r="S82" i="10"/>
  <c r="AQ81" i="8"/>
  <c r="N82" i="10"/>
  <c r="AF81" i="8"/>
  <c r="S81" i="10" l="1"/>
  <c r="AQ80" i="8"/>
  <c r="N81" i="10"/>
  <c r="AF80" i="8"/>
  <c r="AC81" i="10"/>
  <c r="BM80" i="8"/>
  <c r="D82" i="10"/>
  <c r="J81" i="8"/>
  <c r="X81" i="10"/>
  <c r="BB80" i="8"/>
  <c r="I82" i="10"/>
  <c r="U81" i="8"/>
  <c r="I81" i="10" l="1"/>
  <c r="U80" i="8"/>
  <c r="D81" i="10"/>
  <c r="J80" i="8"/>
  <c r="AC80" i="10"/>
  <c r="BM79" i="8"/>
  <c r="N80" i="10"/>
  <c r="AF79" i="8"/>
  <c r="S80" i="10"/>
  <c r="AQ79" i="8"/>
  <c r="X80" i="10"/>
  <c r="BB79" i="8"/>
  <c r="X79" i="10" l="1"/>
  <c r="BB78" i="8"/>
  <c r="N79" i="10"/>
  <c r="AF78" i="8"/>
  <c r="AC79" i="10"/>
  <c r="BM78" i="8"/>
  <c r="D80" i="10"/>
  <c r="J79" i="8"/>
  <c r="I80" i="10"/>
  <c r="U79" i="8"/>
  <c r="S79" i="10"/>
  <c r="AQ78" i="8"/>
  <c r="S78" i="10" l="1"/>
  <c r="AQ77" i="8"/>
  <c r="I79" i="10"/>
  <c r="U78" i="8"/>
  <c r="D79" i="10"/>
  <c r="J78" i="8"/>
  <c r="X78" i="10"/>
  <c r="BB77" i="8"/>
  <c r="AC78" i="10"/>
  <c r="BM77" i="8"/>
  <c r="N78" i="10"/>
  <c r="AF77" i="8"/>
  <c r="X77" i="10" l="1"/>
  <c r="BB76" i="8"/>
  <c r="I78" i="10"/>
  <c r="U77" i="8"/>
  <c r="S77" i="10"/>
  <c r="AQ76" i="8"/>
  <c r="N77" i="10"/>
  <c r="AF76" i="8"/>
  <c r="AC77" i="10"/>
  <c r="BM76" i="8"/>
  <c r="D78" i="10"/>
  <c r="J77" i="8"/>
  <c r="AC76" i="10" l="1"/>
  <c r="BM75" i="8"/>
  <c r="D77" i="10"/>
  <c r="J76" i="8"/>
  <c r="N76" i="10"/>
  <c r="AF75" i="8"/>
  <c r="X76" i="10"/>
  <c r="BB75" i="8"/>
  <c r="S76" i="10"/>
  <c r="AQ75" i="8"/>
  <c r="I77" i="10"/>
  <c r="U76" i="8"/>
  <c r="I76" i="10" l="1"/>
  <c r="U75" i="8"/>
  <c r="D76" i="10"/>
  <c r="J75" i="8"/>
  <c r="AC75" i="10"/>
  <c r="BM74" i="8"/>
  <c r="S75" i="10"/>
  <c r="AQ74" i="8"/>
  <c r="X75" i="10"/>
  <c r="BB74" i="8"/>
  <c r="N75" i="10"/>
  <c r="AF74" i="8"/>
  <c r="N74" i="10" l="1"/>
  <c r="AF73" i="8"/>
  <c r="X74" i="10"/>
  <c r="BB73" i="8"/>
  <c r="S74" i="10"/>
  <c r="AQ73" i="8"/>
  <c r="D75" i="10"/>
  <c r="J74" i="8"/>
  <c r="I75" i="10"/>
  <c r="U74" i="8"/>
  <c r="AC74" i="10"/>
  <c r="BM73" i="8"/>
  <c r="AC73" i="10" l="1"/>
  <c r="BM72" i="8"/>
  <c r="I74" i="10"/>
  <c r="U73" i="8"/>
  <c r="D74" i="10"/>
  <c r="J73" i="8"/>
  <c r="S73" i="10"/>
  <c r="AQ72" i="8"/>
  <c r="X73" i="10"/>
  <c r="BB72" i="8"/>
  <c r="N73" i="10"/>
  <c r="AF72" i="8"/>
  <c r="N72" i="10" l="1"/>
  <c r="AF71" i="8"/>
  <c r="X72" i="10"/>
  <c r="BB71" i="8"/>
  <c r="AC72" i="10"/>
  <c r="BM71" i="8"/>
  <c r="S72" i="10"/>
  <c r="AQ71" i="8"/>
  <c r="D73" i="10"/>
  <c r="J72" i="8"/>
  <c r="I73" i="10"/>
  <c r="U72" i="8"/>
  <c r="AC71" i="10" l="1"/>
  <c r="BM70" i="8"/>
  <c r="X71" i="10"/>
  <c r="BB70" i="8"/>
  <c r="I72" i="10"/>
  <c r="U71" i="8"/>
  <c r="N71" i="10"/>
  <c r="AF70" i="8"/>
  <c r="D72" i="10"/>
  <c r="J71" i="8"/>
  <c r="S71" i="10"/>
  <c r="AQ70" i="8"/>
  <c r="S70" i="10" l="1"/>
  <c r="AQ69" i="8"/>
  <c r="D71" i="10"/>
  <c r="J70" i="8"/>
  <c r="N70" i="10"/>
  <c r="AF69" i="8"/>
  <c r="I71" i="10"/>
  <c r="U70" i="8"/>
  <c r="AC70" i="10"/>
  <c r="BM69" i="8"/>
  <c r="X70" i="10"/>
  <c r="BB69" i="8"/>
  <c r="X69" i="10" l="1"/>
  <c r="BB68" i="8"/>
  <c r="AC69" i="10"/>
  <c r="BM68" i="8"/>
  <c r="I70" i="10"/>
  <c r="U69" i="8"/>
  <c r="D70" i="10"/>
  <c r="J69" i="8"/>
  <c r="S69" i="10"/>
  <c r="AQ68" i="8"/>
  <c r="N69" i="10"/>
  <c r="AF68" i="8"/>
  <c r="I69" i="10" l="1"/>
  <c r="U68" i="8"/>
  <c r="AC68" i="10"/>
  <c r="BM67" i="8"/>
  <c r="D69" i="10"/>
  <c r="J68" i="8"/>
  <c r="X68" i="10"/>
  <c r="BB67" i="8"/>
  <c r="N68" i="10"/>
  <c r="AF67" i="8"/>
  <c r="S68" i="10"/>
  <c r="AQ67" i="8"/>
  <c r="N67" i="10" l="1"/>
  <c r="AF66" i="8"/>
  <c r="S67" i="10"/>
  <c r="AQ66" i="8"/>
  <c r="X67" i="10"/>
  <c r="BB66" i="8"/>
  <c r="D68" i="10"/>
  <c r="J67" i="8"/>
  <c r="I68" i="10"/>
  <c r="U67" i="8"/>
  <c r="AC67" i="10"/>
  <c r="BM66" i="8"/>
  <c r="S66" i="10" l="1"/>
  <c r="AQ65" i="8"/>
  <c r="D67" i="10"/>
  <c r="J66" i="8"/>
  <c r="N66" i="10"/>
  <c r="AF65" i="8"/>
  <c r="AC66" i="10"/>
  <c r="BM65" i="8"/>
  <c r="I67" i="10"/>
  <c r="U66" i="8"/>
  <c r="X66" i="10"/>
  <c r="BB65" i="8"/>
  <c r="D66" i="10" l="1"/>
  <c r="J65" i="8"/>
  <c r="AC65" i="10"/>
  <c r="BM64" i="8"/>
  <c r="S65" i="10"/>
  <c r="AQ64" i="8"/>
  <c r="X65" i="10"/>
  <c r="BB64" i="8"/>
  <c r="I66" i="10"/>
  <c r="U65" i="8"/>
  <c r="N65" i="10"/>
  <c r="AF64" i="8"/>
  <c r="S64" i="10" l="1"/>
  <c r="AQ63" i="8"/>
  <c r="N64" i="10"/>
  <c r="AF63" i="8"/>
  <c r="I65" i="10"/>
  <c r="U64" i="8"/>
  <c r="X64" i="10"/>
  <c r="BB63" i="8"/>
  <c r="D65" i="10"/>
  <c r="J64" i="8"/>
  <c r="AC64" i="10"/>
  <c r="BM63" i="8"/>
  <c r="I64" i="10" l="1"/>
  <c r="U63" i="8"/>
  <c r="N63" i="10"/>
  <c r="AF62" i="8"/>
  <c r="AC63" i="10"/>
  <c r="BM62" i="8"/>
  <c r="X63" i="10"/>
  <c r="BB62" i="8"/>
  <c r="S63" i="10"/>
  <c r="AQ62" i="8"/>
  <c r="D64" i="10"/>
  <c r="J63" i="8"/>
  <c r="D63" i="10" l="1"/>
  <c r="J62" i="8"/>
  <c r="S62" i="10"/>
  <c r="AQ61" i="8"/>
  <c r="N62" i="10"/>
  <c r="AF61" i="8"/>
  <c r="I63" i="10"/>
  <c r="U62" i="8"/>
  <c r="X62" i="10"/>
  <c r="BB61" i="8"/>
  <c r="AC62" i="10"/>
  <c r="BM61" i="8"/>
  <c r="N61" i="10" l="1"/>
  <c r="AF60" i="8"/>
  <c r="X61" i="10"/>
  <c r="BB60" i="8"/>
  <c r="I62" i="10"/>
  <c r="U61" i="8"/>
  <c r="S61" i="10"/>
  <c r="AQ60" i="8"/>
  <c r="D62" i="10"/>
  <c r="J61" i="8"/>
  <c r="AC61" i="10"/>
  <c r="BM60" i="8"/>
  <c r="AC60" i="10" l="1"/>
  <c r="BM59" i="8"/>
  <c r="D61" i="10"/>
  <c r="J60" i="8"/>
  <c r="S60" i="10"/>
  <c r="AQ59" i="8"/>
  <c r="N60" i="10"/>
  <c r="AF59" i="8"/>
  <c r="I61" i="10"/>
  <c r="U60" i="8"/>
  <c r="X60" i="10"/>
  <c r="BB59" i="8"/>
  <c r="N59" i="10" l="1"/>
  <c r="AF58" i="8"/>
  <c r="I60" i="10"/>
  <c r="U59" i="8"/>
  <c r="D60" i="10"/>
  <c r="J59" i="8"/>
  <c r="AC59" i="10"/>
  <c r="BM58" i="8"/>
  <c r="X59" i="10"/>
  <c r="BB58" i="8"/>
  <c r="S59" i="10"/>
  <c r="AQ58" i="8"/>
  <c r="S58" i="10" l="1"/>
  <c r="AQ57" i="8"/>
  <c r="N58" i="10"/>
  <c r="AF57" i="8"/>
  <c r="X58" i="10"/>
  <c r="BB57" i="8"/>
  <c r="AC58" i="10"/>
  <c r="BM57" i="8"/>
  <c r="D59" i="10"/>
  <c r="J58" i="8"/>
  <c r="I59" i="10"/>
  <c r="U58" i="8"/>
  <c r="I58" i="10" l="1"/>
  <c r="U57" i="8"/>
  <c r="N57" i="10"/>
  <c r="AF56" i="8"/>
  <c r="AC57" i="10"/>
  <c r="BM56" i="8"/>
  <c r="X57" i="10"/>
  <c r="BB56" i="8"/>
  <c r="S57" i="10"/>
  <c r="AQ56" i="8"/>
  <c r="D58" i="10"/>
  <c r="J57" i="8"/>
  <c r="S56" i="10" l="1"/>
  <c r="AQ55" i="8"/>
  <c r="D57" i="10"/>
  <c r="J56" i="8"/>
  <c r="N56" i="10"/>
  <c r="AF55" i="8"/>
  <c r="I57" i="10"/>
  <c r="U56" i="8"/>
  <c r="X56" i="10"/>
  <c r="BB55" i="8"/>
  <c r="AC56" i="10"/>
  <c r="BM55" i="8"/>
  <c r="AC55" i="10" l="1"/>
  <c r="BM54" i="8"/>
  <c r="I56" i="10"/>
  <c r="U55" i="8"/>
  <c r="X55" i="10"/>
  <c r="BB54" i="8"/>
  <c r="S55" i="10"/>
  <c r="AQ54" i="8"/>
  <c r="N55" i="10"/>
  <c r="AF54" i="8"/>
  <c r="D56" i="10"/>
  <c r="J55" i="8"/>
  <c r="D55" i="10" l="1"/>
  <c r="J54" i="8"/>
  <c r="N54" i="10"/>
  <c r="AF53" i="8"/>
  <c r="AC54" i="10"/>
  <c r="BM53" i="8"/>
  <c r="S54" i="10"/>
  <c r="AQ53" i="8"/>
  <c r="X54" i="10"/>
  <c r="BB53" i="8"/>
  <c r="I55" i="10"/>
  <c r="U54" i="8"/>
  <c r="I54" i="10" l="1"/>
  <c r="U53" i="8"/>
  <c r="X53" i="10"/>
  <c r="BB52" i="8"/>
  <c r="N53" i="10"/>
  <c r="AF52" i="8"/>
  <c r="AC53" i="10"/>
  <c r="BM52" i="8"/>
  <c r="D54" i="10"/>
  <c r="J53" i="8"/>
  <c r="S53" i="10"/>
  <c r="AQ52" i="8"/>
  <c r="N52" i="10" l="1"/>
  <c r="AF51" i="8"/>
  <c r="D53" i="10"/>
  <c r="J52" i="8"/>
  <c r="AC52" i="10"/>
  <c r="BM51" i="8"/>
  <c r="X52" i="10"/>
  <c r="BB51" i="8"/>
  <c r="I53" i="10"/>
  <c r="U52" i="8"/>
  <c r="S52" i="10"/>
  <c r="AQ51" i="8"/>
  <c r="S51" i="10" l="1"/>
  <c r="AQ50" i="8"/>
  <c r="X51" i="10"/>
  <c r="BB50" i="8"/>
  <c r="D52" i="10"/>
  <c r="J51" i="8"/>
  <c r="N51" i="10"/>
  <c r="AF50" i="8"/>
  <c r="I52" i="10"/>
  <c r="U51" i="8"/>
  <c r="AC51" i="10"/>
  <c r="BM50" i="8"/>
  <c r="AC50" i="10" l="1"/>
  <c r="BM49" i="8"/>
  <c r="N50" i="10"/>
  <c r="AF49" i="8"/>
  <c r="D51" i="10"/>
  <c r="J50" i="8"/>
  <c r="X50" i="10"/>
  <c r="BB49" i="8"/>
  <c r="S50" i="10"/>
  <c r="AQ49" i="8"/>
  <c r="I51" i="10"/>
  <c r="U50" i="8"/>
  <c r="N49" i="10" l="1"/>
  <c r="AF48" i="8"/>
  <c r="AC49" i="10"/>
  <c r="BM48" i="8"/>
  <c r="I50" i="10"/>
  <c r="U49" i="8"/>
  <c r="S49" i="10"/>
  <c r="AQ48" i="8"/>
  <c r="X49" i="10"/>
  <c r="BB48" i="8"/>
  <c r="D50" i="10"/>
  <c r="J49" i="8"/>
  <c r="S48" i="10" l="1"/>
  <c r="AQ47" i="8"/>
  <c r="I49" i="10"/>
  <c r="U48" i="8"/>
  <c r="N48" i="10"/>
  <c r="AF47" i="8"/>
  <c r="D49" i="10"/>
  <c r="J48" i="8"/>
  <c r="X48" i="10"/>
  <c r="BB47" i="8"/>
  <c r="AC48" i="10"/>
  <c r="BM47" i="8"/>
  <c r="AC47" i="10" l="1"/>
  <c r="BM46" i="8"/>
  <c r="N47" i="10"/>
  <c r="AF46" i="8"/>
  <c r="X47" i="10"/>
  <c r="BB46" i="8"/>
  <c r="D48" i="10"/>
  <c r="J47" i="8"/>
  <c r="I48" i="10"/>
  <c r="U47" i="8"/>
  <c r="S47" i="10"/>
  <c r="AQ46" i="8"/>
  <c r="I47" i="10" l="1"/>
  <c r="U46" i="8"/>
  <c r="D47" i="10"/>
  <c r="J46" i="8"/>
  <c r="AC46" i="10"/>
  <c r="BM45" i="8"/>
  <c r="S46" i="10"/>
  <c r="AQ45" i="8"/>
  <c r="X46" i="10"/>
  <c r="BB45" i="8"/>
  <c r="N46" i="10"/>
  <c r="AF45" i="8"/>
  <c r="X45" i="10" l="1"/>
  <c r="BB44" i="8"/>
  <c r="N45" i="10"/>
  <c r="AF44" i="8"/>
  <c r="D46" i="10"/>
  <c r="J45" i="8"/>
  <c r="I46" i="10"/>
  <c r="U45" i="8"/>
  <c r="S45" i="10"/>
  <c r="AQ44" i="8"/>
  <c r="AC45" i="10"/>
  <c r="BM44" i="8"/>
  <c r="S44" i="10" l="1"/>
  <c r="AQ43" i="8"/>
  <c r="X44" i="10"/>
  <c r="BB43" i="8"/>
  <c r="AC44" i="10"/>
  <c r="BM43" i="8"/>
  <c r="I45" i="10"/>
  <c r="U44" i="8"/>
  <c r="D45" i="10"/>
  <c r="J44" i="8"/>
  <c r="N44" i="10"/>
  <c r="AF43" i="8"/>
  <c r="N43" i="10" l="1"/>
  <c r="AF42" i="8"/>
  <c r="AC43" i="10"/>
  <c r="BM42" i="8"/>
  <c r="X43" i="10"/>
  <c r="BB42" i="8"/>
  <c r="S43" i="10"/>
  <c r="AQ42" i="8"/>
  <c r="D44" i="10"/>
  <c r="J43" i="8"/>
  <c r="I44" i="10"/>
  <c r="U43" i="8"/>
  <c r="D43" i="10" l="1"/>
  <c r="J42" i="8"/>
  <c r="I43" i="10"/>
  <c r="U42" i="8"/>
  <c r="S42" i="10"/>
  <c r="AQ41" i="8"/>
  <c r="N42" i="10"/>
  <c r="AF41" i="8"/>
  <c r="X42" i="10"/>
  <c r="BB41" i="8"/>
  <c r="AC42" i="10"/>
  <c r="BM41" i="8"/>
  <c r="AC41" i="10" l="1"/>
  <c r="BM40" i="8"/>
  <c r="S41" i="10"/>
  <c r="AQ40" i="8"/>
  <c r="I42" i="10"/>
  <c r="U41" i="8"/>
  <c r="N41" i="10"/>
  <c r="AF40" i="8"/>
  <c r="D42" i="10"/>
  <c r="J41" i="8"/>
  <c r="X41" i="10"/>
  <c r="BB40" i="8"/>
  <c r="X40" i="10" l="1"/>
  <c r="BB39" i="8"/>
  <c r="D41" i="10"/>
  <c r="J40" i="8"/>
  <c r="I41" i="10"/>
  <c r="U40" i="8"/>
  <c r="N40" i="10"/>
  <c r="AF39" i="8"/>
  <c r="AC40" i="10"/>
  <c r="BM39" i="8"/>
  <c r="S40" i="10"/>
  <c r="AQ39" i="8"/>
  <c r="N39" i="10" l="1"/>
  <c r="AF38" i="8"/>
  <c r="I40" i="10"/>
  <c r="U39" i="8"/>
  <c r="S39" i="10"/>
  <c r="AQ38" i="8"/>
  <c r="X39" i="10"/>
  <c r="BB38" i="8"/>
  <c r="AC39" i="10"/>
  <c r="BM38" i="8"/>
  <c r="D40" i="10"/>
  <c r="J39" i="8"/>
  <c r="S38" i="10" l="1"/>
  <c r="AQ37" i="8"/>
  <c r="AC38" i="10"/>
  <c r="BM37" i="8"/>
  <c r="D39" i="10"/>
  <c r="J38" i="8"/>
  <c r="X38" i="10"/>
  <c r="BB37" i="8"/>
  <c r="I39" i="10"/>
  <c r="U38" i="8"/>
  <c r="N38" i="10"/>
  <c r="AF37" i="8"/>
  <c r="N37" i="10" l="1"/>
  <c r="AF36" i="8"/>
  <c r="X37" i="10"/>
  <c r="BB36" i="8"/>
  <c r="D38" i="10"/>
  <c r="J37" i="8"/>
  <c r="AC37" i="10"/>
  <c r="BM36" i="8"/>
  <c r="S37" i="10"/>
  <c r="AQ36" i="8"/>
  <c r="I38" i="10"/>
  <c r="U37" i="8"/>
  <c r="I37" i="10" l="1"/>
  <c r="U36" i="8"/>
  <c r="S36" i="10"/>
  <c r="AQ35" i="8"/>
  <c r="AC36" i="10"/>
  <c r="BM35" i="8"/>
  <c r="N36" i="10"/>
  <c r="AF35" i="8"/>
  <c r="D37" i="10"/>
  <c r="J36" i="8"/>
  <c r="X36" i="10"/>
  <c r="BB35" i="8"/>
  <c r="X35" i="10" l="1"/>
  <c r="BB34" i="8"/>
  <c r="AC35" i="10"/>
  <c r="BM34" i="8"/>
  <c r="S35" i="10"/>
  <c r="AQ34" i="8"/>
  <c r="N35" i="10"/>
  <c r="AF34" i="8"/>
  <c r="I36" i="10"/>
  <c r="U35" i="8"/>
  <c r="D36" i="10"/>
  <c r="J35" i="8"/>
  <c r="D35" i="10" l="1"/>
  <c r="J34" i="8"/>
  <c r="X34" i="10"/>
  <c r="BB33" i="8"/>
  <c r="I35" i="10"/>
  <c r="U34" i="8"/>
  <c r="N34" i="10"/>
  <c r="AF33" i="8"/>
  <c r="S34" i="10"/>
  <c r="AQ33" i="8"/>
  <c r="AC34" i="10"/>
  <c r="BM33" i="8"/>
  <c r="AC33" i="10" l="1"/>
  <c r="BM32" i="8"/>
  <c r="S33" i="10"/>
  <c r="AQ32" i="8"/>
  <c r="I34" i="10"/>
  <c r="U33" i="8"/>
  <c r="X33" i="10"/>
  <c r="BB32" i="8"/>
  <c r="D34" i="10"/>
  <c r="J33" i="8"/>
  <c r="N33" i="10"/>
  <c r="AF32" i="8"/>
  <c r="D33" i="10" l="1"/>
  <c r="J32" i="8"/>
  <c r="X32" i="10"/>
  <c r="BB31" i="8"/>
  <c r="AC32" i="10"/>
  <c r="BM31" i="8"/>
  <c r="N32" i="10"/>
  <c r="AF31" i="8"/>
  <c r="I33" i="10"/>
  <c r="U32" i="8"/>
  <c r="S32" i="10"/>
  <c r="AQ31" i="8"/>
  <c r="S31" i="10" l="1"/>
  <c r="AQ30" i="8"/>
  <c r="I32" i="10"/>
  <c r="U31" i="8"/>
  <c r="N31" i="10"/>
  <c r="AF30" i="8"/>
  <c r="X31" i="10"/>
  <c r="BB30" i="8"/>
  <c r="D32" i="10"/>
  <c r="J31" i="8"/>
  <c r="AC31" i="10"/>
  <c r="BM30" i="8"/>
  <c r="AC30" i="10" l="1"/>
  <c r="BM29" i="8"/>
  <c r="D31" i="10"/>
  <c r="J30" i="8"/>
  <c r="I31" i="10"/>
  <c r="U30" i="8"/>
  <c r="S30" i="10"/>
  <c r="AQ29" i="8"/>
  <c r="X30" i="10"/>
  <c r="BB29" i="8"/>
  <c r="N30" i="10"/>
  <c r="AF29" i="8"/>
  <c r="X29" i="10" l="1"/>
  <c r="BB28" i="8"/>
  <c r="D30" i="10"/>
  <c r="J29" i="8"/>
  <c r="N29" i="10"/>
  <c r="AF28" i="8"/>
  <c r="S29" i="10"/>
  <c r="AQ28" i="8"/>
  <c r="AC29" i="10"/>
  <c r="BM28" i="8"/>
  <c r="I30" i="10"/>
  <c r="U29" i="8"/>
  <c r="S28" i="10" l="1"/>
  <c r="AQ27" i="8"/>
  <c r="N28" i="10"/>
  <c r="AF27" i="8"/>
  <c r="I29" i="10"/>
  <c r="U28" i="8"/>
  <c r="AC28" i="10"/>
  <c r="BM27" i="8"/>
  <c r="D29" i="10"/>
  <c r="J28" i="8"/>
  <c r="X28" i="10"/>
  <c r="BB27" i="8"/>
  <c r="X27" i="10" l="1"/>
  <c r="BB26" i="8"/>
  <c r="N27" i="10"/>
  <c r="AF26" i="8"/>
  <c r="AC27" i="10"/>
  <c r="BM26" i="8"/>
  <c r="I28" i="10"/>
  <c r="U27" i="8"/>
  <c r="S27" i="10"/>
  <c r="AQ26" i="8"/>
  <c r="D28" i="10"/>
  <c r="J27" i="8"/>
  <c r="D27" i="10" l="1"/>
  <c r="J26" i="8"/>
  <c r="I27" i="10"/>
  <c r="U26" i="8"/>
  <c r="X26" i="10"/>
  <c r="BB25" i="8"/>
  <c r="S26" i="10"/>
  <c r="AQ25" i="8"/>
  <c r="AC26" i="10"/>
  <c r="BM25" i="8"/>
  <c r="N26" i="10"/>
  <c r="AF25" i="8"/>
  <c r="AC25" i="10" l="1"/>
  <c r="BM24" i="8"/>
  <c r="X25" i="10"/>
  <c r="BB24" i="8"/>
  <c r="I26" i="10"/>
  <c r="U25" i="8"/>
  <c r="D26" i="10"/>
  <c r="J25" i="8"/>
  <c r="N25" i="10"/>
  <c r="AF24" i="8"/>
  <c r="S25" i="10"/>
  <c r="AQ24" i="8"/>
  <c r="S24" i="10" l="1"/>
  <c r="AQ23" i="8"/>
  <c r="D25" i="10"/>
  <c r="J24" i="8"/>
  <c r="I25" i="10"/>
  <c r="U24" i="8"/>
  <c r="X24" i="10"/>
  <c r="BB23" i="8"/>
  <c r="AC24" i="10"/>
  <c r="BM23" i="8"/>
  <c r="N24" i="10"/>
  <c r="AF23" i="8"/>
  <c r="AC23" i="10" l="1"/>
  <c r="BM22" i="8"/>
  <c r="X23" i="10"/>
  <c r="BB22" i="8"/>
  <c r="D24" i="10"/>
  <c r="J23" i="8"/>
  <c r="N23" i="10"/>
  <c r="AF22" i="8"/>
  <c r="I24" i="10"/>
  <c r="U23" i="8"/>
  <c r="S23" i="10"/>
  <c r="AQ22" i="8"/>
  <c r="S22" i="10" l="1"/>
  <c r="AQ21" i="8"/>
  <c r="N22" i="10"/>
  <c r="AF21" i="8"/>
  <c r="D23" i="10"/>
  <c r="J22" i="8"/>
  <c r="X22" i="10"/>
  <c r="BB21" i="8"/>
  <c r="AC22" i="10"/>
  <c r="BM21" i="8"/>
  <c r="I23" i="10"/>
  <c r="U22" i="8"/>
  <c r="D22" i="10" l="1"/>
  <c r="J21" i="8"/>
  <c r="I22" i="10"/>
  <c r="U21" i="8"/>
  <c r="AC21" i="10"/>
  <c r="BM20" i="8"/>
  <c r="X21" i="10"/>
  <c r="BB20" i="8"/>
  <c r="N21" i="10"/>
  <c r="AF20" i="8"/>
  <c r="S21" i="10"/>
  <c r="AQ20" i="8"/>
  <c r="N20" i="10" l="1"/>
  <c r="AF19" i="8"/>
  <c r="X20" i="10"/>
  <c r="BB19" i="8"/>
  <c r="S20" i="10"/>
  <c r="AQ19" i="8"/>
  <c r="I21" i="10"/>
  <c r="U20" i="8"/>
  <c r="D21" i="10"/>
  <c r="J20" i="8"/>
  <c r="AC20" i="10"/>
  <c r="BM19" i="8"/>
  <c r="AC19" i="10" l="1"/>
  <c r="BM18" i="8"/>
  <c r="D20" i="10"/>
  <c r="J19" i="8"/>
  <c r="S19" i="10"/>
  <c r="AQ18" i="8"/>
  <c r="X19" i="10"/>
  <c r="BB18" i="8"/>
  <c r="N19" i="10"/>
  <c r="AF18" i="8"/>
  <c r="I20" i="10"/>
  <c r="U19" i="8"/>
  <c r="D19" i="10" l="1"/>
  <c r="J18" i="8"/>
  <c r="I19" i="10"/>
  <c r="U18" i="8"/>
  <c r="X18" i="10"/>
  <c r="BB17" i="8"/>
  <c r="S18" i="10"/>
  <c r="AQ17" i="8"/>
  <c r="AC18" i="10"/>
  <c r="BM17" i="8"/>
  <c r="N18" i="10"/>
  <c r="AF17" i="8"/>
  <c r="I18" i="10" l="1"/>
  <c r="U17" i="8"/>
  <c r="S17" i="10"/>
  <c r="AQ16" i="8"/>
  <c r="X17" i="10"/>
  <c r="BB16" i="8"/>
  <c r="D18" i="10"/>
  <c r="J17" i="8"/>
  <c r="N17" i="10"/>
  <c r="AF16" i="8"/>
  <c r="AC17" i="10"/>
  <c r="BM16" i="8"/>
  <c r="AC16" i="10" l="1"/>
  <c r="BM15" i="8"/>
  <c r="N16" i="10"/>
  <c r="AF15" i="8"/>
  <c r="D17" i="10"/>
  <c r="J16" i="8"/>
  <c r="X16" i="10"/>
  <c r="BB15" i="8"/>
  <c r="S16" i="10"/>
  <c r="AQ15" i="8"/>
  <c r="I17" i="10"/>
  <c r="U16" i="8"/>
  <c r="X15" i="10" l="1"/>
  <c r="BB14" i="8"/>
  <c r="D16" i="10"/>
  <c r="J15" i="8"/>
  <c r="I16" i="10"/>
  <c r="U15" i="8"/>
  <c r="N15" i="10"/>
  <c r="AF14" i="8"/>
  <c r="AC15" i="10"/>
  <c r="BM14" i="8"/>
  <c r="S15" i="10"/>
  <c r="AQ14" i="8"/>
  <c r="N14" i="10" l="1"/>
  <c r="AF13" i="8"/>
  <c r="I15" i="10"/>
  <c r="U14" i="8"/>
  <c r="AC14" i="10"/>
  <c r="BM13" i="8"/>
  <c r="D15" i="10"/>
  <c r="J14" i="8"/>
  <c r="X14" i="10"/>
  <c r="BB13" i="8"/>
  <c r="S14" i="10"/>
  <c r="AQ13" i="8"/>
  <c r="S13" i="10" l="1"/>
  <c r="AQ12" i="8"/>
  <c r="D14" i="10"/>
  <c r="J13" i="8"/>
  <c r="AC13" i="10"/>
  <c r="BM12" i="8"/>
  <c r="X13" i="10"/>
  <c r="BB12" i="8"/>
  <c r="I14" i="10"/>
  <c r="U13" i="8"/>
  <c r="N13" i="10"/>
  <c r="AF12" i="8"/>
  <c r="N12" i="10" l="1"/>
  <c r="AF11" i="8"/>
  <c r="I13" i="10"/>
  <c r="U12" i="8"/>
  <c r="X12" i="10"/>
  <c r="BB11" i="8"/>
  <c r="AC12" i="10"/>
  <c r="BM11" i="8"/>
  <c r="S12" i="10"/>
  <c r="AQ11" i="8"/>
  <c r="D13" i="10"/>
  <c r="J12" i="8"/>
  <c r="D12" i="10" l="1"/>
  <c r="J11" i="8"/>
  <c r="AC11" i="10"/>
  <c r="BM10" i="8"/>
  <c r="X11" i="10"/>
  <c r="BB10" i="8"/>
  <c r="I12" i="10"/>
  <c r="U11" i="8"/>
  <c r="N11" i="10"/>
  <c r="AF10" i="8"/>
  <c r="S11" i="10"/>
  <c r="AQ10" i="8"/>
  <c r="N10" i="10" l="1"/>
  <c r="AF9" i="8"/>
  <c r="S10" i="10"/>
  <c r="AQ9" i="8"/>
  <c r="I11" i="10"/>
  <c r="U10" i="8"/>
  <c r="AC10" i="10"/>
  <c r="BM9" i="8"/>
  <c r="D11" i="10"/>
  <c r="J10" i="8"/>
  <c r="X10" i="10"/>
  <c r="BB9" i="8"/>
  <c r="D10" i="10" l="1"/>
  <c r="J9" i="8"/>
  <c r="X9" i="10"/>
  <c r="BB8" i="8"/>
  <c r="AC9" i="10"/>
  <c r="BM8" i="8"/>
  <c r="I10" i="10"/>
  <c r="U9" i="8"/>
  <c r="AQ8" i="8"/>
  <c r="S9" i="10"/>
  <c r="AF8" i="8"/>
  <c r="N9" i="10"/>
  <c r="BM7" i="8" l="1"/>
  <c r="AC7" i="10" s="1"/>
  <c r="AC8" i="10"/>
  <c r="AF7" i="8"/>
  <c r="N7" i="10" s="1"/>
  <c r="N8" i="10"/>
  <c r="D9" i="10"/>
  <c r="J8" i="8"/>
  <c r="AQ7" i="8"/>
  <c r="S7" i="10" s="1"/>
  <c r="S8" i="10"/>
  <c r="I9" i="10"/>
  <c r="U8" i="8"/>
  <c r="BB7" i="8"/>
  <c r="X7" i="10" s="1"/>
  <c r="X8" i="10"/>
  <c r="J7" i="8" l="1"/>
  <c r="D7" i="10" s="1"/>
  <c r="D8" i="10"/>
  <c r="I8" i="10"/>
  <c r="U7" i="8"/>
  <c r="I7" i="10" s="1"/>
</calcChain>
</file>

<file path=xl/sharedStrings.xml><?xml version="1.0" encoding="utf-8"?>
<sst xmlns="http://schemas.openxmlformats.org/spreadsheetml/2006/main" count="31777" uniqueCount="816">
  <si>
    <t>지역별 관외 유출률 (2011~2024)</t>
  </si>
  <si>
    <t>연도별 유출률과 2011~2024 평균. 행정구역 신설·통폐합으로 없는 연도는 빈칸이며 평균은 값이 존재하는 연도만 사용.</t>
  </si>
  <si>
    <t>시도</t>
  </si>
  <si>
    <t>시군구</t>
  </si>
  <si>
    <t>지역명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</si>
  <si>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</si>
  <si>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</si>
  <si>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</si>
  <si>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</si>
  <si>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</si>
  <si>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</si>
  <si>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</si>
  <si>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</si>
  <si>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</si>
  <si>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</si>
  <si>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</si>
  <si>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</si>
  <si>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</si>
  <si>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</si>
  <si>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2011~2024 평균</t>
  </si>
  <si>
    <t>관측연도 수</t>
  </si>
  <si>
    <t>서울</t>
  </si>
  <si>
    <t>전체</t>
  </si>
  <si>
    <t>강남구</t>
  </si>
  <si>
    <t>서울 강남구</t>
  </si>
  <si>
    <t>강동구</t>
  </si>
  <si>
    <t>서울 강동구</t>
  </si>
  <si>
    <t>강북구</t>
  </si>
  <si>
    <t>서울 강북구</t>
  </si>
  <si>
    <t>강서구</t>
  </si>
  <si>
    <t>서울 강서구</t>
  </si>
  <si>
    <t>관악구</t>
  </si>
  <si>
    <t>서울 관악구</t>
  </si>
  <si>
    <t>광진구</t>
  </si>
  <si>
    <t>서울 광진구</t>
  </si>
  <si>
    <t>구로구</t>
  </si>
  <si>
    <t>서울 구로구</t>
  </si>
  <si>
    <t>금천구</t>
  </si>
  <si>
    <t>서울 금천구</t>
  </si>
  <si>
    <t>노원구</t>
  </si>
  <si>
    <t>서울 노원구</t>
  </si>
  <si>
    <t>도봉구</t>
  </si>
  <si>
    <t>서울 도봉구</t>
  </si>
  <si>
    <t>동대문구</t>
  </si>
  <si>
    <t>서울 동대문구</t>
  </si>
  <si>
    <t>동작구</t>
  </si>
  <si>
    <t>서울 동작구</t>
  </si>
  <si>
    <t>마포구</t>
  </si>
  <si>
    <t>서울 마포구</t>
  </si>
  <si>
    <t>서대문구</t>
  </si>
  <si>
    <t>서울 서대문구</t>
  </si>
  <si>
    <t>서초구</t>
  </si>
  <si>
    <t>서울 서초구</t>
  </si>
  <si>
    <t>성동구</t>
  </si>
  <si>
    <t>서울 성동구</t>
  </si>
  <si>
    <t>성북구</t>
  </si>
  <si>
    <t>서울 성북구</t>
  </si>
  <si>
    <t>송파구</t>
  </si>
  <si>
    <t>서울 송파구</t>
  </si>
  <si>
    <t>양천구</t>
  </si>
  <si>
    <t>서울 양천구</t>
  </si>
  <si>
    <t>영등포구</t>
  </si>
  <si>
    <t>서울 영등포구</t>
  </si>
  <si>
    <t>용산구</t>
  </si>
  <si>
    <t>서울 용산구</t>
  </si>
  <si>
    <t>은평구</t>
  </si>
  <si>
    <t>서울 은평구</t>
  </si>
  <si>
    <t>종로구</t>
  </si>
  <si>
    <t>서울 종로구</t>
  </si>
  <si>
    <t>중구</t>
  </si>
  <si>
    <t>서울 중구</t>
  </si>
  <si>
    <t>중랑구</t>
  </si>
  <si>
    <t>서울 중랑구</t>
  </si>
  <si>
    <t>부산</t>
  </si>
  <si>
    <t>부산 강서구</t>
  </si>
  <si>
    <t>금정구</t>
  </si>
  <si>
    <t>부산 금정구</t>
  </si>
  <si>
    <t>기장군</t>
  </si>
  <si>
    <t>부산 기장군</t>
  </si>
  <si>
    <t>남구</t>
  </si>
  <si>
    <t>부산 남구</t>
  </si>
  <si>
    <t>동구</t>
  </si>
  <si>
    <t>부산 동구</t>
  </si>
  <si>
    <t>동래구</t>
  </si>
  <si>
    <t>부산 동래구</t>
  </si>
  <si>
    <t>부산진구</t>
  </si>
  <si>
    <t>부산 부산진구</t>
  </si>
  <si>
    <t>북구</t>
  </si>
  <si>
    <t>부산 북구</t>
  </si>
  <si>
    <t>사상구</t>
  </si>
  <si>
    <t>부산 사상구</t>
  </si>
  <si>
    <t>사하구</t>
  </si>
  <si>
    <t>부산 사하구</t>
  </si>
  <si>
    <t>서구</t>
  </si>
  <si>
    <t>부산 서구</t>
  </si>
  <si>
    <t>수영구</t>
  </si>
  <si>
    <t>부산 수영구</t>
  </si>
  <si>
    <t>연제구</t>
  </si>
  <si>
    <t>부산 연제구</t>
  </si>
  <si>
    <t>영도구</t>
  </si>
  <si>
    <t>부산 영도구</t>
  </si>
  <si>
    <t>부산 중구</t>
  </si>
  <si>
    <t>해운대구</t>
  </si>
  <si>
    <t>부산 해운대구</t>
  </si>
  <si>
    <t>대구</t>
  </si>
  <si>
    <t>군위군</t>
  </si>
  <si>
    <t>대구 군위군</t>
  </si>
  <si>
    <t>대구 남구</t>
  </si>
  <si>
    <t>달서구</t>
  </si>
  <si>
    <t>대구 달서구</t>
  </si>
  <si>
    <t>달성군</t>
  </si>
  <si>
    <t>대구 달성군</t>
  </si>
  <si>
    <t>대구 동구</t>
  </si>
  <si>
    <t>대구 북구</t>
  </si>
  <si>
    <t>대구 서구</t>
  </si>
  <si>
    <t>수성구</t>
  </si>
  <si>
    <t>대구 수성구</t>
  </si>
  <si>
    <t>대구 중구</t>
  </si>
  <si>
    <t>인천</t>
  </si>
  <si>
    <t>강화군</t>
  </si>
  <si>
    <t>인천 강화군</t>
  </si>
  <si>
    <t>계양구</t>
  </si>
  <si>
    <t>인천 계양구</t>
  </si>
  <si>
    <t>인천 남구</t>
  </si>
  <si>
    <t>남동구</t>
  </si>
  <si>
    <t>인천 남동구</t>
  </si>
  <si>
    <t>인천 동구</t>
  </si>
  <si>
    <t>미추홀구</t>
  </si>
  <si>
    <t>인천 미추홀구</t>
  </si>
  <si>
    <t>부평구</t>
  </si>
  <si>
    <t>인천 부평구</t>
  </si>
  <si>
    <t>인천 서구</t>
  </si>
  <si>
    <t>연수구</t>
  </si>
  <si>
    <t>인천 연수구</t>
  </si>
  <si>
    <t>옹진군</t>
  </si>
  <si>
    <t>인천 옹진군</t>
  </si>
  <si>
    <t>인천 중구</t>
  </si>
  <si>
    <t>광주</t>
  </si>
  <si>
    <t>광산구</t>
  </si>
  <si>
    <t>광주 광산구</t>
  </si>
  <si>
    <t>광주 남구</t>
  </si>
  <si>
    <t>광주 동구</t>
  </si>
  <si>
    <t>광주 북구</t>
  </si>
  <si>
    <t>광주 서구</t>
  </si>
  <si>
    <t>대전</t>
  </si>
  <si>
    <t>대덕구</t>
  </si>
  <si>
    <t>대전 대덕구</t>
  </si>
  <si>
    <t>대전 동구</t>
  </si>
  <si>
    <t>대전 서구</t>
  </si>
  <si>
    <t>유성구</t>
  </si>
  <si>
    <t>대전 유성구</t>
  </si>
  <si>
    <t>대전 중구</t>
  </si>
  <si>
    <t>울산</t>
  </si>
  <si>
    <t>울산 남구</t>
  </si>
  <si>
    <t>울산 동구</t>
  </si>
  <si>
    <t>울산 북구</t>
  </si>
  <si>
    <t>울주군</t>
  </si>
  <si>
    <t>울산 울주군</t>
  </si>
  <si>
    <t>울산 중구</t>
  </si>
  <si>
    <t>세종</t>
  </si>
  <si>
    <t>경기</t>
  </si>
  <si>
    <t>가평군</t>
  </si>
  <si>
    <t>경기 가평군</t>
  </si>
  <si>
    <t>고양시덕양구</t>
  </si>
  <si>
    <t>경기 고양시덕양구</t>
  </si>
  <si>
    <t>고양시일산구</t>
  </si>
  <si>
    <t>경기 고양시일산구</t>
  </si>
  <si>
    <t>고양시일산동구</t>
  </si>
  <si>
    <t>경기 고양시일산동구</t>
  </si>
  <si>
    <t>고양시일산서구</t>
  </si>
  <si>
    <t>경기 고양시일산서구</t>
  </si>
  <si>
    <t>과천시</t>
  </si>
  <si>
    <t>경기 과천시</t>
  </si>
  <si>
    <t>광명시</t>
  </si>
  <si>
    <t>경기 광명시</t>
  </si>
  <si>
    <t>광주시</t>
  </si>
  <si>
    <t>경기 광주시</t>
  </si>
  <si>
    <t>구리시</t>
  </si>
  <si>
    <t>경기 구리시</t>
  </si>
  <si>
    <t>군포시</t>
  </si>
  <si>
    <t>경기 군포시</t>
  </si>
  <si>
    <t>김포시</t>
  </si>
  <si>
    <t>경기 김포시</t>
  </si>
  <si>
    <t>남양주시</t>
  </si>
  <si>
    <t>경기 남양주시</t>
  </si>
  <si>
    <t>동두천시</t>
  </si>
  <si>
    <t>경기 동두천시</t>
  </si>
  <si>
    <t>부천시</t>
  </si>
  <si>
    <t>경기 부천시</t>
  </si>
  <si>
    <t>부천시소사구</t>
  </si>
  <si>
    <t>경기 부천시소사구</t>
  </si>
  <si>
    <t>부천시오정구</t>
  </si>
  <si>
    <t>경기 부천시오정구</t>
  </si>
  <si>
    <t>부천시원미구</t>
  </si>
  <si>
    <t>경기 부천시원미구</t>
  </si>
  <si>
    <t>성남시분당구</t>
  </si>
  <si>
    <t>경기 성남시분당구</t>
  </si>
  <si>
    <t>성남시수정구</t>
  </si>
  <si>
    <t>경기 성남시수정구</t>
  </si>
  <si>
    <t>성남시중원구</t>
  </si>
  <si>
    <t>경기 성남시중원구</t>
  </si>
  <si>
    <t>수원시권선구</t>
  </si>
  <si>
    <t>경기 수원시권선구</t>
  </si>
  <si>
    <t>수원시영통구</t>
  </si>
  <si>
    <t>경기 수원시영통구</t>
  </si>
  <si>
    <t>수원시장안구</t>
  </si>
  <si>
    <t>경기 수원시장안구</t>
  </si>
  <si>
    <t>수원시팔달구</t>
  </si>
  <si>
    <t>경기 수원시팔달구</t>
  </si>
  <si>
    <t>시흥시</t>
  </si>
  <si>
    <t>경기 시흥시</t>
  </si>
  <si>
    <t>안산시단원구</t>
  </si>
  <si>
    <t>경기 안산시단원구</t>
  </si>
  <si>
    <t>안산시상록구</t>
  </si>
  <si>
    <t>경기 안산시상록구</t>
  </si>
  <si>
    <t>안성시</t>
  </si>
  <si>
    <t>경기 안성시</t>
  </si>
  <si>
    <t>안양시동안구</t>
  </si>
  <si>
    <t>경기 안양시동안구</t>
  </si>
  <si>
    <t>안양시만안구</t>
  </si>
  <si>
    <t>경기 안양시만안구</t>
  </si>
  <si>
    <t>양주시</t>
  </si>
  <si>
    <t>경기 양주시</t>
  </si>
  <si>
    <t>양평군</t>
  </si>
  <si>
    <t>경기 양평군</t>
  </si>
  <si>
    <t>여주군</t>
  </si>
  <si>
    <t>경기 여주군</t>
  </si>
  <si>
    <t>여주시</t>
  </si>
  <si>
    <t>경기 여주시</t>
  </si>
  <si>
    <t>연천군</t>
  </si>
  <si>
    <t>경기 연천군</t>
  </si>
  <si>
    <t>오산시</t>
  </si>
  <si>
    <t>경기 오산시</t>
  </si>
  <si>
    <t>용인시</t>
  </si>
  <si>
    <t>경기 용인시</t>
  </si>
  <si>
    <t>용인시기흥구</t>
  </si>
  <si>
    <t>경기 용인시기흥구</t>
  </si>
  <si>
    <t>용인시수지구</t>
  </si>
  <si>
    <t>경기 용인시수지구</t>
  </si>
  <si>
    <t>용인시처인구</t>
  </si>
  <si>
    <t>경기 용인시처인구</t>
  </si>
  <si>
    <t>의왕시</t>
  </si>
  <si>
    <t>경기 의왕시</t>
  </si>
  <si>
    <t>의정부시</t>
  </si>
  <si>
    <t>경기 의정부시</t>
  </si>
  <si>
    <t>이천시</t>
  </si>
  <si>
    <t>경기 이천시</t>
  </si>
  <si>
    <t>파주시</t>
  </si>
  <si>
    <t>경기 파주시</t>
  </si>
  <si>
    <t>평택시</t>
  </si>
  <si>
    <t>경기 평택시</t>
  </si>
  <si>
    <t>포천시</t>
  </si>
  <si>
    <t>경기 포천시</t>
  </si>
  <si>
    <t>하남시</t>
  </si>
  <si>
    <t>경기 하남시</t>
  </si>
  <si>
    <t>화성시</t>
  </si>
  <si>
    <t>경기 화성시</t>
  </si>
  <si>
    <t>강원</t>
  </si>
  <si>
    <t>강릉시</t>
  </si>
  <si>
    <t>강원 강릉시</t>
  </si>
  <si>
    <t>고성군</t>
  </si>
  <si>
    <t>강원 고성군</t>
  </si>
  <si>
    <t>동해시</t>
  </si>
  <si>
    <t>강원 동해시</t>
  </si>
  <si>
    <t>삼척시</t>
  </si>
  <si>
    <t>강원 삼척시</t>
  </si>
  <si>
    <t>속초시</t>
  </si>
  <si>
    <t>강원 속초시</t>
  </si>
  <si>
    <t>양구군</t>
  </si>
  <si>
    <t>강원 양구군</t>
  </si>
  <si>
    <t>양양군</t>
  </si>
  <si>
    <t>강원 양양군</t>
  </si>
  <si>
    <t>영월군</t>
  </si>
  <si>
    <t>강원 영월군</t>
  </si>
  <si>
    <t>원주시</t>
  </si>
  <si>
    <t>강원 원주시</t>
  </si>
  <si>
    <t>인제군</t>
  </si>
  <si>
    <t>강원 인제군</t>
  </si>
  <si>
    <t>정선군</t>
  </si>
  <si>
    <t>강원 정선군</t>
  </si>
  <si>
    <t>철원군</t>
  </si>
  <si>
    <t>강원 철원군</t>
  </si>
  <si>
    <t>춘천시</t>
  </si>
  <si>
    <t>강원 춘천시</t>
  </si>
  <si>
    <t>태백시</t>
  </si>
  <si>
    <t>강원 태백시</t>
  </si>
  <si>
    <t>평창군</t>
  </si>
  <si>
    <t>강원 평창군</t>
  </si>
  <si>
    <t>홍천군</t>
  </si>
  <si>
    <t>강원 홍천군</t>
  </si>
  <si>
    <t>화천군</t>
  </si>
  <si>
    <t>강원 화천군</t>
  </si>
  <si>
    <t>횡성군</t>
  </si>
  <si>
    <t>강원 횡성군</t>
  </si>
  <si>
    <t>충북</t>
  </si>
  <si>
    <t>괴산군</t>
  </si>
  <si>
    <t>충북 괴산군</t>
  </si>
  <si>
    <t>단양군</t>
  </si>
  <si>
    <t>충북 단양군</t>
  </si>
  <si>
    <t>보은군</t>
  </si>
  <si>
    <t>충북 보은군</t>
  </si>
  <si>
    <t>영동군</t>
  </si>
  <si>
    <t>충북 영동군</t>
  </si>
  <si>
    <t>옥천군</t>
  </si>
  <si>
    <t>충북 옥천군</t>
  </si>
  <si>
    <t>음성군</t>
  </si>
  <si>
    <t>충북 음성군</t>
  </si>
  <si>
    <t>제천시</t>
  </si>
  <si>
    <t>충북 제천시</t>
  </si>
  <si>
    <t>증평군</t>
  </si>
  <si>
    <t>충북 증평군</t>
  </si>
  <si>
    <t>진천군</t>
  </si>
  <si>
    <t>충북 진천군</t>
  </si>
  <si>
    <t>청원군</t>
  </si>
  <si>
    <t>충북 청원군</t>
  </si>
  <si>
    <t>청주시상당구</t>
  </si>
  <si>
    <t>충북 청주시상당구</t>
  </si>
  <si>
    <t>청주시서원구</t>
  </si>
  <si>
    <t>충북 청주시서원구</t>
  </si>
  <si>
    <t>청주시청원구</t>
  </si>
  <si>
    <t>충북 청주시청원구</t>
  </si>
  <si>
    <t>청주시흥덕구</t>
  </si>
  <si>
    <t>충북 청주시흥덕구</t>
  </si>
  <si>
    <t>충주시</t>
  </si>
  <si>
    <t>충북 충주시</t>
  </si>
  <si>
    <t>충남</t>
  </si>
  <si>
    <t>계룡시</t>
  </si>
  <si>
    <t>충남 계룡시</t>
  </si>
  <si>
    <t>공주시</t>
  </si>
  <si>
    <t>충남 공주시</t>
  </si>
  <si>
    <t>금산군</t>
  </si>
  <si>
    <t>충남 금산군</t>
  </si>
  <si>
    <t>논산시</t>
  </si>
  <si>
    <t>충남 논산시</t>
  </si>
  <si>
    <t>당진군</t>
  </si>
  <si>
    <t>충남 당진군</t>
  </si>
  <si>
    <t>당진시</t>
  </si>
  <si>
    <t>충남 당진시</t>
  </si>
  <si>
    <t>보령시</t>
  </si>
  <si>
    <t>충남 보령시</t>
  </si>
  <si>
    <t>부여군</t>
  </si>
  <si>
    <t>충남 부여군</t>
  </si>
  <si>
    <t>서산시</t>
  </si>
  <si>
    <t>충남 서산시</t>
  </si>
  <si>
    <t>서천군</t>
  </si>
  <si>
    <t>충남 서천군</t>
  </si>
  <si>
    <t>아산시</t>
  </si>
  <si>
    <t>충남 아산시</t>
  </si>
  <si>
    <t>연기군</t>
  </si>
  <si>
    <t>충남 연기군</t>
  </si>
  <si>
    <t>예산군</t>
  </si>
  <si>
    <t>충남 예산군</t>
  </si>
  <si>
    <t>천안시</t>
  </si>
  <si>
    <t>충남 천안시</t>
  </si>
  <si>
    <t>천안시동남구</t>
  </si>
  <si>
    <t>충남 천안시동남구</t>
  </si>
  <si>
    <t>천안시서북구</t>
  </si>
  <si>
    <t>충남 천안시서북구</t>
  </si>
  <si>
    <t>청양군</t>
  </si>
  <si>
    <t>충남 청양군</t>
  </si>
  <si>
    <t>태안군</t>
  </si>
  <si>
    <t>충남 태안군</t>
  </si>
  <si>
    <t>홍성군</t>
  </si>
  <si>
    <t>충남 홍성군</t>
  </si>
  <si>
    <t>전북</t>
  </si>
  <si>
    <t>고창군</t>
  </si>
  <si>
    <t>전북 고창군</t>
  </si>
  <si>
    <t>군산시</t>
  </si>
  <si>
    <t>전북 군산시</t>
  </si>
  <si>
    <t>김제시</t>
  </si>
  <si>
    <t>전북 김제시</t>
  </si>
  <si>
    <t>남원시</t>
  </si>
  <si>
    <t>전북 남원시</t>
  </si>
  <si>
    <t>무주군</t>
  </si>
  <si>
    <t>전북 무주군</t>
  </si>
  <si>
    <t>부안군</t>
  </si>
  <si>
    <t>전북 부안군</t>
  </si>
  <si>
    <t>순창군</t>
  </si>
  <si>
    <t>전북 순창군</t>
  </si>
  <si>
    <t>완주군</t>
  </si>
  <si>
    <t>전북 완주군</t>
  </si>
  <si>
    <t>익산시</t>
  </si>
  <si>
    <t>전북 익산시</t>
  </si>
  <si>
    <t>임실군</t>
  </si>
  <si>
    <t>전북 임실군</t>
  </si>
  <si>
    <t>장수군</t>
  </si>
  <si>
    <t>전북 장수군</t>
  </si>
  <si>
    <t>전주시덕진구</t>
  </si>
  <si>
    <t>전북 전주시덕진구</t>
  </si>
  <si>
    <t>전주시완산구</t>
  </si>
  <si>
    <t>전북 전주시완산구</t>
  </si>
  <si>
    <t>정읍시</t>
  </si>
  <si>
    <t>전북 정읍시</t>
  </si>
  <si>
    <t>진안군</t>
  </si>
  <si>
    <t>전북 진안군</t>
  </si>
  <si>
    <t>전남</t>
  </si>
  <si>
    <t>강진군</t>
  </si>
  <si>
    <t>전남 강진군</t>
  </si>
  <si>
    <t>고흥군</t>
  </si>
  <si>
    <t>전남 고흥군</t>
  </si>
  <si>
    <t>곡성군</t>
  </si>
  <si>
    <t>전남 곡성군</t>
  </si>
  <si>
    <t>광양시</t>
  </si>
  <si>
    <t>전남 광양시</t>
  </si>
  <si>
    <t>구례군</t>
  </si>
  <si>
    <t>전남 구례군</t>
  </si>
  <si>
    <t>나주시</t>
  </si>
  <si>
    <t>전남 나주시</t>
  </si>
  <si>
    <t>담양군</t>
  </si>
  <si>
    <t>전남 담양군</t>
  </si>
  <si>
    <t>목포시</t>
  </si>
  <si>
    <t>전남 목포시</t>
  </si>
  <si>
    <t>무안군</t>
  </si>
  <si>
    <t>전남 무안군</t>
  </si>
  <si>
    <t>보성군</t>
  </si>
  <si>
    <t>전남 보성군</t>
  </si>
  <si>
    <t>순천시</t>
  </si>
  <si>
    <t>전남 순천시</t>
  </si>
  <si>
    <t>신안군</t>
  </si>
  <si>
    <t>전남 신안군</t>
  </si>
  <si>
    <t>여수시</t>
  </si>
  <si>
    <t>전남 여수시</t>
  </si>
  <si>
    <t>영광군</t>
  </si>
  <si>
    <t>전남 영광군</t>
  </si>
  <si>
    <t>영암군</t>
  </si>
  <si>
    <t>전남 영암군</t>
  </si>
  <si>
    <t>완도군</t>
  </si>
  <si>
    <t>전남 완도군</t>
  </si>
  <si>
    <t>장성군</t>
  </si>
  <si>
    <t>전남 장성군</t>
  </si>
  <si>
    <t>장흥군</t>
  </si>
  <si>
    <t>전남 장흥군</t>
  </si>
  <si>
    <t>진도군</t>
  </si>
  <si>
    <t>전남 진도군</t>
  </si>
  <si>
    <t>함평군</t>
  </si>
  <si>
    <t>전남 함평군</t>
  </si>
  <si>
    <t>해남군</t>
  </si>
  <si>
    <t>전남 해남군</t>
  </si>
  <si>
    <t>화순군</t>
  </si>
  <si>
    <t>전남 화순군</t>
  </si>
  <si>
    <t>경북</t>
  </si>
  <si>
    <t>경산시</t>
  </si>
  <si>
    <t>경북 경산시</t>
  </si>
  <si>
    <t>경주시</t>
  </si>
  <si>
    <t>경북 경주시</t>
  </si>
  <si>
    <t>고령군</t>
  </si>
  <si>
    <t>경북 고령군</t>
  </si>
  <si>
    <t>구미시</t>
  </si>
  <si>
    <t>경북 구미시</t>
  </si>
  <si>
    <t>경북 군위군</t>
  </si>
  <si>
    <t>김천시</t>
  </si>
  <si>
    <t>경북 김천시</t>
  </si>
  <si>
    <t>문경시</t>
  </si>
  <si>
    <t>경북 문경시</t>
  </si>
  <si>
    <t>봉화군</t>
  </si>
  <si>
    <t>경북 봉화군</t>
  </si>
  <si>
    <t>상주시</t>
  </si>
  <si>
    <t>경북 상주시</t>
  </si>
  <si>
    <t>성주군</t>
  </si>
  <si>
    <t>경북 성주군</t>
  </si>
  <si>
    <t>안동시</t>
  </si>
  <si>
    <t>경북 안동시</t>
  </si>
  <si>
    <t>영덕군</t>
  </si>
  <si>
    <t>경북 영덕군</t>
  </si>
  <si>
    <t>영양군</t>
  </si>
  <si>
    <t>경북 영양군</t>
  </si>
  <si>
    <t>영주시</t>
  </si>
  <si>
    <t>경북 영주시</t>
  </si>
  <si>
    <t>영천시</t>
  </si>
  <si>
    <t>경북 영천시</t>
  </si>
  <si>
    <t>예천군</t>
  </si>
  <si>
    <t>경북 예천군</t>
  </si>
  <si>
    <t>울릉군</t>
  </si>
  <si>
    <t>경북 울릉군</t>
  </si>
  <si>
    <t>울진군</t>
  </si>
  <si>
    <t>경북 울진군</t>
  </si>
  <si>
    <t>의성군</t>
  </si>
  <si>
    <t>경북 의성군</t>
  </si>
  <si>
    <t>청도군</t>
  </si>
  <si>
    <t>경북 청도군</t>
  </si>
  <si>
    <t>청송군</t>
  </si>
  <si>
    <t>경북 청송군</t>
  </si>
  <si>
    <t>칠곡군</t>
  </si>
  <si>
    <t>경북 칠곡군</t>
  </si>
  <si>
    <t>포항시남구</t>
  </si>
  <si>
    <t>경북 포항시남구</t>
  </si>
  <si>
    <t>포항시북구</t>
  </si>
  <si>
    <t>경북 포항시북구</t>
  </si>
  <si>
    <t>경남</t>
  </si>
  <si>
    <t>거제시</t>
  </si>
  <si>
    <t>경남 거제시</t>
  </si>
  <si>
    <t>거창군</t>
  </si>
  <si>
    <t>경남 거창군</t>
  </si>
  <si>
    <t>경남 고성군</t>
  </si>
  <si>
    <t>김해시</t>
  </si>
  <si>
    <t>경남 김해시</t>
  </si>
  <si>
    <t>남해군</t>
  </si>
  <si>
    <t>경남 남해군</t>
  </si>
  <si>
    <t>밀양시</t>
  </si>
  <si>
    <t>경남 밀양시</t>
  </si>
  <si>
    <t>사천시</t>
  </si>
  <si>
    <t>경남 사천시</t>
  </si>
  <si>
    <t>산청군</t>
  </si>
  <si>
    <t>경남 산청군</t>
  </si>
  <si>
    <t>양산시</t>
  </si>
  <si>
    <t>경남 양산시</t>
  </si>
  <si>
    <t>의령군</t>
  </si>
  <si>
    <t>경남 의령군</t>
  </si>
  <si>
    <t>진주시</t>
  </si>
  <si>
    <t>경남 진주시</t>
  </si>
  <si>
    <t>창녕군</t>
  </si>
  <si>
    <t>경남 창녕군</t>
  </si>
  <si>
    <t>창원시마산합포구</t>
  </si>
  <si>
    <t>경남 창원시마산합포구</t>
  </si>
  <si>
    <t>창원시마산회원구</t>
  </si>
  <si>
    <t>경남 창원시마산회원구</t>
  </si>
  <si>
    <t>창원시성산구</t>
  </si>
  <si>
    <t>경남 창원시성산구</t>
  </si>
  <si>
    <t>창원시의창구</t>
  </si>
  <si>
    <t>경남 창원시의창구</t>
  </si>
  <si>
    <t>창원시진해구</t>
  </si>
  <si>
    <t>경남 창원시진해구</t>
  </si>
  <si>
    <t>통영시</t>
  </si>
  <si>
    <t>경남 통영시</t>
  </si>
  <si>
    <t>하동군</t>
  </si>
  <si>
    <t>경남 하동군</t>
  </si>
  <si>
    <t>함안군</t>
  </si>
  <si>
    <t>경남 함안군</t>
  </si>
  <si>
    <t>함양군</t>
  </si>
  <si>
    <t>경남 함양군</t>
  </si>
  <si>
    <t>합천군</t>
  </si>
  <si>
    <t>경남 합천군</t>
  </si>
  <si>
    <t>제주</t>
  </si>
  <si>
    <t>서귀포시</t>
  </si>
  <si>
    <t>제주 서귀포시</t>
  </si>
  <si>
    <t>제주시</t>
  </si>
  <si>
    <t>제주 제주시</t>
  </si>
  <si>
    <t>시도별 관외 유출률 요약</t>
  </si>
  <si>
    <t>지역별 의료이용 관외 유출률 - 원천데이터</t>
  </si>
  <si>
    <t>유출률 = 관외 진료실인원수 / (관내 진료실인원수 + 관외 진료실인원수). 국민건강보험공단 연도별 통계연보의 관내-계·관외-계 시트만 사용.</t>
  </si>
  <si>
    <t>연도</t>
  </si>
  <si>
    <t>관내 진료실인원수</t>
  </si>
  <si>
    <t>관외 진료실인원수</t>
  </si>
  <si>
    <t>유출률</t>
  </si>
  <si>
    <t>원천파일</t>
  </si>
  <si>
    <t>관내 시트</t>
  </si>
  <si>
    <t>관외 시트</t>
  </si>
  <si>
    <t>출처 URL</t>
  </si>
  <si>
    <t>region_04.xls</t>
  </si>
  <si>
    <t>110p</t>
  </si>
  <si>
    <t>122p</t>
  </si>
  <si>
    <t>https://www.nhis.or.kr/nhis/together/wbhaec06900m01.do?mode=view&amp;articleNo=106342</t>
  </si>
  <si>
    <t>region_03.xls</t>
  </si>
  <si>
    <t>112p</t>
  </si>
  <si>
    <t>124p</t>
  </si>
  <si>
    <t>region_02.xls</t>
  </si>
  <si>
    <t>94p</t>
  </si>
  <si>
    <t>100p</t>
  </si>
  <si>
    <t>region_01.xls</t>
  </si>
  <si>
    <t>114p</t>
  </si>
  <si>
    <t>126p</t>
  </si>
  <si>
    <t>112</t>
  </si>
  <si>
    <t>124</t>
  </si>
  <si>
    <t>https://www.nhis.or.kr/nhis/together/wbhaec06900m01.do?mode=view&amp;articleNo=106345</t>
  </si>
  <si>
    <t>92</t>
  </si>
  <si>
    <t>98</t>
  </si>
  <si>
    <t>114</t>
  </si>
  <si>
    <t>126</t>
  </si>
  <si>
    <t>152p</t>
  </si>
  <si>
    <t>164p</t>
  </si>
  <si>
    <t>https://www.nhis.or.kr/nhis/together/wbhaec06900m01.do?mode=view&amp;articleNo=112692</t>
  </si>
  <si>
    <t>144p</t>
  </si>
  <si>
    <t>156p</t>
  </si>
  <si>
    <t>116p</t>
  </si>
  <si>
    <t>120p</t>
  </si>
  <si>
    <t>154p</t>
  </si>
  <si>
    <t>166p</t>
  </si>
  <si>
    <t>146p</t>
  </si>
  <si>
    <t>158p</t>
  </si>
  <si>
    <t>region_01.xlsx</t>
  </si>
  <si>
    <t>170p</t>
  </si>
  <si>
    <t>182p</t>
  </si>
  <si>
    <t>https://www.nhis.or.kr/nhis/together/wbhaec06900m01.do?mode=view&amp;articleNo=115366</t>
  </si>
  <si>
    <t>region_04.xlsx</t>
  </si>
  <si>
    <t>162p</t>
  </si>
  <si>
    <t>174p</t>
  </si>
  <si>
    <t>region_03.xlsx</t>
  </si>
  <si>
    <t>128p</t>
  </si>
  <si>
    <t>134p</t>
  </si>
  <si>
    <t>region_02.xlsx</t>
  </si>
  <si>
    <t>132p</t>
  </si>
  <si>
    <t>172p</t>
  </si>
  <si>
    <t>184p</t>
  </si>
  <si>
    <t>176p</t>
  </si>
  <si>
    <t>https://www.nhis.or.kr/nhis/together/wbhaec06900m01.do?mode=view&amp;articleNo=121970</t>
  </si>
  <si>
    <t>https://www.nhis.or.kr/nhis/together/wbhaec06900m01.do?mode=view&amp;articleNo=124696</t>
  </si>
  <si>
    <t>170p관내</t>
  </si>
  <si>
    <t>182p관외</t>
  </si>
  <si>
    <t>https://www.nhis.or.kr/nhis/together/wbhaec06900m01.do?mode=view&amp;articleNo=127565</t>
  </si>
  <si>
    <t>https://www.nhis.or.kr/nhis/together/wbhaec06900m01.do?mode=view&amp;articleNo=132259</t>
  </si>
  <si>
    <t>https://www.nhis.or.kr/nhis/together/wbhaec06900m01.do?mode=view&amp;articleNo=10802577</t>
  </si>
  <si>
    <t>https://www.nhis.or.kr/nhis/together/wbhaec06900m01.do?mode=view&amp;articleNo=10812450</t>
  </si>
  <si>
    <t>https://www.nhis.or.kr/nhis/together/wbhaec06900m01.do?mode=view&amp;articleNo=10829008</t>
  </si>
  <si>
    <t>region_05.xlsx</t>
  </si>
  <si>
    <t>588p</t>
  </si>
  <si>
    <t>600p</t>
  </si>
  <si>
    <t>444p</t>
  </si>
  <si>
    <t>450p</t>
  </si>
  <si>
    <t>334p</t>
  </si>
  <si>
    <t>340p</t>
  </si>
  <si>
    <t>590p</t>
  </si>
  <si>
    <t>602p</t>
  </si>
  <si>
    <t>https://www.nhis.or.kr/nhis/together/wbhaec06900m01.do?mode=view&amp;articleNo=10839523</t>
  </si>
  <si>
    <t>https://www.nhis.or.kr/nhis/together/wbhaec06900m01.do?mode=view&amp;articleNo=10848158</t>
  </si>
  <si>
    <t>https://www.nhis.or.kr/nhis/together/wbhaec06900m01.do?mode=view&amp;articleNo=11006399</t>
  </si>
  <si>
    <t>532p</t>
  </si>
  <si>
    <t>544p</t>
  </si>
  <si>
    <t>404p</t>
  </si>
  <si>
    <t>410p</t>
  </si>
  <si>
    <t>302p</t>
  </si>
  <si>
    <t>308p</t>
  </si>
  <si>
    <t>148p</t>
  </si>
  <si>
    <t>160p</t>
  </si>
  <si>
    <t>534p</t>
  </si>
  <si>
    <t>546p</t>
  </si>
  <si>
    <t>추출·계산 검증</t>
  </si>
  <si>
    <t>연도별 원천 행 수와 계산 완료 건수를 비교합니다. 상태가 모두 OK인지 확인하세요.</t>
  </si>
  <si>
    <t>원천 행 수</t>
  </si>
  <si>
    <t>유출률 계산 수</t>
  </si>
  <si>
    <t>미계산 건수</t>
  </si>
  <si>
    <t>상태</t>
  </si>
  <si>
    <t>메타데이터 및 산출 기준</t>
  </si>
  <si>
    <t>재현성과 해석을 위한 기준·출처·주의사항</t>
  </si>
  <si>
    <t>구분</t>
  </si>
  <si>
    <t>항목</t>
  </si>
  <si>
    <t>내용</t>
  </si>
  <si>
    <t>출처</t>
  </si>
  <si>
    <t>산식</t>
  </si>
  <si>
    <t>관외 유출률</t>
  </si>
  <si>
    <t>관외 진료실인원수 / (관내 진료실인원수 + 관외 진료실인원수)</t>
  </si>
  <si>
    <t>원천데이터!G열</t>
  </si>
  <si>
    <t>범위</t>
  </si>
  <si>
    <t>대상 기간</t>
  </si>
  <si>
    <t>2011~2024년 (14개 연도)</t>
  </si>
  <si>
    <t>NHIS 지역별 의료이용 통계연보</t>
  </si>
  <si>
    <t>사용 시트</t>
  </si>
  <si>
    <t>시·군·구별 진료현황(관내-계), 시·군·구별 진료현황(관외-계) 및 이어지는 &lt;계속&gt; 시트만 사용</t>
  </si>
  <si>
    <t>각 원천파일의 관내·관외 시트</t>
  </si>
  <si>
    <t>평균</t>
  </si>
  <si>
    <t>지역별 평균</t>
  </si>
  <si>
    <t>해당 지역에 값이 존재하는 연도의 단순 산술평균. 관측연도 수는 별도 표시.</t>
  </si>
  <si>
    <t>지역별 유출률!R:S열</t>
  </si>
  <si>
    <t>지역</t>
  </si>
  <si>
    <t>시도명 정규화</t>
  </si>
  <si>
    <t>특별·광역·특별자치 명칭을 서울·부산·강원·전북 등 단축명으로 통일. 시군구 원문명은 유지.</t>
  </si>
  <si>
    <t>작성 규칙</t>
  </si>
  <si>
    <t>주의</t>
  </si>
  <si>
    <t>행정구역 변경</t>
  </si>
  <si>
    <t>신설·통폐합 지역은 과거와 현재를 강제 연결하지 않음. 존재하지 않는 연도는 빈칸.</t>
  </si>
  <si>
    <t>지표 해석</t>
  </si>
  <si>
    <t>동일인이 관내와 관외를 모두 이용하면 양쪽 진료실인원수에 포함될 수 있어 고유 환자의 확률이 아니라 의료이용 비중 대리변수로 해석.</t>
  </si>
  <si>
    <t>통계 정의 유의</t>
  </si>
  <si>
    <t>검증</t>
  </si>
  <si>
    <t>짝 불일치</t>
  </si>
  <si>
    <t>관내·관외 지역명 짝 불일치 0건, 계산 가능 3,725건</t>
  </si>
  <si>
    <t>검증 시트</t>
  </si>
  <si>
    <t>게시판</t>
  </si>
  <si>
    <t>국민건강보험공단 지역별 의료이용 통계연보</t>
  </si>
  <si>
    <t>https://www.nhis.or.kr/nhis/together/wbhaec06900m01.do?mode=list</t>
  </si>
  <si>
    <t>보험개발원 참조순보험요율 위험률 원자료</t>
  </si>
  <si>
    <t>적용시점: 2024년 4월 1일 이후 | 보간·연령 확장 없이 웹페이지에 제시된 대표연령 값을 그대로 수록</t>
  </si>
  <si>
    <t>주의: 원문 페이지는 위험률 단위를 별도로 명시하지 않아, 아래 값은 웹페이지에 표시된 소수 비율 그대로입니다. 사망률 표명도 원문 표기(제9회 경험생명표)를 유지했습니다.</t>
  </si>
  <si>
    <t>위험률 구분</t>
  </si>
  <si>
    <t>원문 표명</t>
  </si>
  <si>
    <t>연령(세)</t>
  </si>
  <si>
    <t>남자</t>
  </si>
  <si>
    <t>여자</t>
  </si>
  <si>
    <t>원자료 간격</t>
  </si>
  <si>
    <t>적용시점</t>
  </si>
  <si>
    <t>원문 기준·주석</t>
  </si>
  <si>
    <t>사망률</t>
  </si>
  <si>
    <t>생존·사망률(제9회 경험생명표)</t>
  </si>
  <si>
    <t>5세</t>
  </si>
  <si>
    <t>2024-04-01 이후</t>
  </si>
  <si>
    <t>페이지 원문 표기</t>
  </si>
  <si>
    <t>https://www.kidi.or.kr/user/nd81768.do</t>
  </si>
  <si>
    <t>재해 사망률</t>
  </si>
  <si>
    <t>재해 사망률 합계 열</t>
  </si>
  <si>
    <t>암 발생률</t>
  </si>
  <si>
    <t>10세</t>
  </si>
  <si>
    <t>뇌졸중 발생률</t>
  </si>
  <si>
    <t>급성심근경색 발생률</t>
  </si>
  <si>
    <t>보험개발원 위험률 — 1세 단위 선형보간</t>
  </si>
  <si>
    <t>대표연령 원자료 사이의 값은 연령에 비례해 선형보간했습니다. 대표연령 값은 원자료 시트를 직접 참조합니다.</t>
  </si>
  <si>
    <t>보간식: 하한 위험률 + (상한 위험률 − 하한 위험률) × (대상연령 − 하한연령) ÷ (상한연령 − 하한연령) | 외삽 없음</t>
  </si>
  <si>
    <t>값 구분</t>
  </si>
  <si>
    <t>보간 기준 연령</t>
  </si>
  <si>
    <t>원자료</t>
  </si>
  <si>
    <t>0세 원자료</t>
  </si>
  <si>
    <t>선형보간</t>
  </si>
  <si>
    <t>0~5세</t>
  </si>
  <si>
    <t>5세 원자료</t>
  </si>
  <si>
    <t>5~10세</t>
  </si>
  <si>
    <t>10세 원자료</t>
  </si>
  <si>
    <t>10~15세</t>
  </si>
  <si>
    <t>15세 원자료</t>
  </si>
  <si>
    <t>15~20세</t>
  </si>
  <si>
    <t>20세 원자료</t>
  </si>
  <si>
    <t>20~25세</t>
  </si>
  <si>
    <t>25세 원자료</t>
  </si>
  <si>
    <t>25~30세</t>
  </si>
  <si>
    <t>30세 원자료</t>
  </si>
  <si>
    <t>30~35세</t>
  </si>
  <si>
    <t>35세 원자료</t>
  </si>
  <si>
    <t>35~40세</t>
  </si>
  <si>
    <t>40세 원자료</t>
  </si>
  <si>
    <t>40~45세</t>
  </si>
  <si>
    <t>45세 원자료</t>
  </si>
  <si>
    <t>45~50세</t>
  </si>
  <si>
    <t>50세 원자료</t>
  </si>
  <si>
    <t>50~55세</t>
  </si>
  <si>
    <t>55세 원자료</t>
  </si>
  <si>
    <t>55~60세</t>
  </si>
  <si>
    <t>60세 원자료</t>
  </si>
  <si>
    <t>60~65세</t>
  </si>
  <si>
    <t>65세 원자료</t>
  </si>
  <si>
    <t>65~70세</t>
  </si>
  <si>
    <t>70세 원자료</t>
  </si>
  <si>
    <t>70~75세</t>
  </si>
  <si>
    <t>75세 원자료</t>
  </si>
  <si>
    <t>75~80세</t>
  </si>
  <si>
    <t>80세 원자료</t>
  </si>
  <si>
    <t>80~85세</t>
  </si>
  <si>
    <t>85세 원자료</t>
  </si>
  <si>
    <t>85~90세</t>
  </si>
  <si>
    <t>90세 원자료</t>
  </si>
  <si>
    <t>90~95세</t>
  </si>
  <si>
    <t>95세 원자료</t>
  </si>
  <si>
    <t>95~100세</t>
  </si>
  <si>
    <t>100세 원자료</t>
  </si>
  <si>
    <t>0~10세</t>
  </si>
  <si>
    <t>10~20세</t>
  </si>
  <si>
    <t>20~30세</t>
  </si>
  <si>
    <t>30~40세</t>
  </si>
  <si>
    <t>40~50세</t>
  </si>
  <si>
    <t>50~60세</t>
  </si>
  <si>
    <t>60~70세</t>
  </si>
  <si>
    <t>70~80세</t>
  </si>
  <si>
    <t>질병별·성별 계리기호 (0~80세)</t>
  </si>
  <si>
    <t>예정이율(연)</t>
  </si>
  <si>
    <t>할인계수 v</t>
  </si>
  <si>
    <t>기준계약수 l₀</t>
  </si>
  <si>
    <t>계산연령</t>
  </si>
  <si>
    <t>0~80세</t>
  </si>
  <si>
    <t>진단보험금 지급</t>
  </si>
  <si>
    <t>기말</t>
  </si>
  <si>
    <t>보험료 납입</t>
  </si>
  <si>
    <t>기초</t>
  </si>
  <si>
    <t>계산가정: 사망과 해당 질병 진단을 경쟁탈퇴로 반영합니다. 유효 진단률=(1−사망률)×질병발생률, 유지율=(1−사망률)×(1−질병발생률). 진단보험금은 기말 지급이므로 Cₓ=v^(x+1)·dₓ이며, Nₓ와 Mₓ는 80세까지 후방누계합니다.</t>
  </si>
  <si>
    <t>암 · 남자</t>
  </si>
  <si>
    <t>암 · 여자</t>
  </si>
  <si>
    <t>뇌졸중 · 남자</t>
  </si>
  <si>
    <t>뇌졸중 · 여자</t>
  </si>
  <si>
    <t>급성심근경색 · 남자</t>
  </si>
  <si>
    <t>급성심근경색 · 여자</t>
  </si>
  <si>
    <t>연령 x</t>
  </si>
  <si>
    <t>사망률 qₓ</t>
  </si>
  <si>
    <t>질병발생률 iₓ</t>
  </si>
  <si>
    <t>유효 진단률 qₓᵈ</t>
  </si>
  <si>
    <t>lₓ</t>
  </si>
  <si>
    <t>dₓᵈ</t>
  </si>
  <si>
    <t>Dₓ</t>
  </si>
  <si>
    <t>Cₓᵈ</t>
  </si>
  <si>
    <t>Nₓ</t>
  </si>
  <si>
    <t>Mₓᵈ</t>
  </si>
  <si>
    <t>중증질환 산정특례 진료현황 · 인당 내원횟수 계수</t>
  </si>
  <si>
    <t>산식: 인당 내원횟수 = 내원일수(천 일) × 1,000 ÷ 실수진자(명)  |  기준: 2021~2025년, 2025.12.31 지급 기준  |  출처: 국민건강보험공단</t>
  </si>
  <si>
    <t>주의: 공시표의 내원일수는 입원·외래 및 의료기관 종별로 분리되지 않은 전체 집계입니다. 뇌혈관질환은 뇌졸중, 심장질환은 급성심근경색의 대용계수로 적용합니다.</t>
  </si>
  <si>
    <t>공시 질환</t>
  </si>
  <si>
    <t>실수진자(명)</t>
  </si>
  <si>
    <t>내원일수(천 일)</t>
  </si>
  <si>
    <t>환산 내원일수(일)</t>
  </si>
  <si>
    <t>인당 내원횟수(회)</t>
  </si>
  <si>
    <t>보험료 적용질병</t>
  </si>
  <si>
    <t>평균 내원횟수 계수</t>
  </si>
  <si>
    <t>사용연도</t>
  </si>
  <si>
    <t>암</t>
  </si>
  <si>
    <t>https://www.nhis.or.kr/announce/wbhaec11416m01.do</t>
  </si>
  <si>
    <t>2021~2025</t>
  </si>
  <si>
    <t>뇌혈관질환</t>
  </si>
  <si>
    <t>뇌졸중</t>
  </si>
  <si>
    <t>심장질환</t>
  </si>
  <si>
    <t>급성심근경색</t>
  </si>
  <si>
    <t>질병·성별·가입나이별 연납 순보험료 (80세 만기 · 20년납)</t>
  </si>
  <si>
    <t>기준 보험금(원)</t>
  </si>
  <si>
    <t>적용이율</t>
  </si>
  <si>
    <t>대표 관외유출률</t>
  </si>
  <si>
    <t>보험기간</t>
  </si>
  <si>
    <t>80세 만기</t>
  </si>
  <si>
    <t>납입기간</t>
  </si>
  <si>
    <t>20년납</t>
  </si>
  <si>
    <t>급부/보험료 시점</t>
  </si>
  <si>
    <t>급부 기말 / 보험료 기초</t>
  </si>
  <si>
    <t>산식: 기존 질병별 연납 순보험료 × 대표 관외유출률 × 질병별 평균 내원횟수 계수. 대표 관외유출률은 '시도 요약' 17개 시도의 2011~2024년 평균 유출률을 단순평균한 기본값이며, B3(보험금)·H3(유출률)는 필요 시 변경할 수 있습니다. 80세 가입은 보험기간이 0년이므로 0원으로 표시합니다.</t>
  </si>
  <si>
    <t>암 · 남</t>
  </si>
  <si>
    <t>암 · 여</t>
  </si>
  <si>
    <t>뇌졸중 · 남</t>
  </si>
  <si>
    <t>뇌졸중 · 여</t>
  </si>
  <si>
    <t>급성심근경색 · 남</t>
  </si>
  <si>
    <t>급성심근경색 · 여</t>
  </si>
  <si>
    <t>성별</t>
  </si>
  <si>
    <t>가입나이</t>
  </si>
  <si>
    <t>질병</t>
  </si>
  <si>
    <t>연납보험료(원)</t>
  </si>
  <si>
    <t>남</t>
  </si>
  <si>
    <t>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</si>
</sst>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0"/>
    <numFmt numFmtId="177" formatCode="0.000000"/>
    <numFmt numFmtId="178" formatCode="0.00000000"/>
    <numFmt numFmtId="179" formatCode="#,##0.0000"/>
    <numFmt numFmtId="180" formatCode="0.0000"/>
    <numFmt numFmtId="181" formatCode="0.0000%"/>
    <numFmt numFmtId="182" formatCode="#,##0.00000000"/>
  </numFmts>
  <fonts count="26">
    <font>
      <sz val="11"/>
      <name val="Carlito"/>
    </font>
    <font>
      <b/>
      <sz val="18"/>
      <color rgb="FFFFFFFF"/>
      <name val="Carlito"/>
    </font>
    <font>
      <sz val="9"/>
      <color rgb="FF667085"/>
      <name val="Carlito"/>
    </font>
    <font>
      <b/>
      <sz val="9"/>
      <color rgb="FFFFFFFF"/>
      <name val="Carlito"/>
    </font>
    <font>
      <sz val="9"/>
      <color rgb="FF182230"/>
      <name val="Carlito"/>
    </font>
    <font>
      <sz val="8"/>
      <color rgb="FF667085"/>
      <name val="Carlito"/>
    </font>
    <font>
      <b/>
      <sz val="9"/>
      <color rgb="FF17365D"/>
      <name val="Carlito"/>
    </font>
    <font>
      <sz val="11"/>
      <name val="Carlito"/>
    </font>
    <font>
      <sz val="8"/>
      <name val="돋움"/>
      <family val="3"/>
      <charset val="129"/>
    </font>
    <font>
      <b/>
      <sz val="20"/>
      <color rgb="FFFFFFFF"/>
      <name val="Carlito"/>
    </font>
    <font>
      <b/>
      <sz val="11"/>
      <color rgb="FF1F2937"/>
      <name val="Carlito"/>
    </font>
    <font>
      <b/>
      <sz val="11"/>
      <color rgb="FF0000FF"/>
      <name val="Carlito"/>
    </font>
    <font>
      <b/>
      <sz val="11"/>
      <color rgb="FF000000"/>
      <name val="Carlito"/>
    </font>
    <font>
      <i/>
      <sz val="10"/>
      <color rgb="FF5B4A00"/>
      <name val="Carlito"/>
    </font>
    <font>
      <b/>
      <sz val="12"/>
      <color rgb="FFFFFFFF"/>
      <name val="Carlito"/>
    </font>
    <font>
      <b/>
      <sz val="11"/>
      <color rgb="FFFFFFFF"/>
      <name val="Carlito"/>
    </font>
    <font>
      <sz val="9"/>
      <color rgb="FF000000"/>
      <name val="Carlito"/>
    </font>
    <font>
      <sz val="9"/>
      <color rgb="FF1F2937"/>
      <name val="Carlito"/>
    </font>
    <font>
      <sz val="9"/>
      <color rgb="FF008000"/>
      <name val="Carlito"/>
    </font>
    <font>
      <i/>
      <sz val="11"/>
      <color rgb="FF5B4A00"/>
      <name val="Carlito"/>
    </font>
    <font>
      <sz val="10"/>
      <color rgb="FF000000"/>
      <name val="Carlito"/>
    </font>
    <font>
      <b/>
      <sz val="10"/>
      <color rgb="FF1F2937"/>
      <name val="Carlito"/>
    </font>
    <font>
      <sz val="9"/>
      <color rgb="FF0563C1"/>
      <name val="Carlito"/>
    </font>
    <font>
      <b/>
      <sz val="11"/>
      <color rgb="FF008000"/>
      <name val="Carlito"/>
    </font>
    <font>
      <b/>
      <sz val="9"/>
      <color rgb="FF1F2937"/>
      <name val="Carlito"/>
    </font>
    <font>
      <b/>
      <sz val="9"/>
      <color rgb="FF000000"/>
      <name val="Carlito"/>
    </font>
  </fonts>
  <fills count="2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1FF"/>
      </patternFill>
    </fill>
    <fill>
      <patternFill patternType="solid">
        <fgColor rgb="FF2F6FED"/>
      </patternFill>
    </fill>
    <fill>
      <patternFill patternType="solid">
        <fgColor rgb="FF17365D"/>
      </patternFill>
    </fill>
    <fill>
      <patternFill patternType="solid">
        <fgColor rgb="FFEAF1FF"/>
      </patternFill>
    </fill>
    <fill>
      <patternFill patternType="solid">
        <fgColor rgb="FFFFF4CC"/>
      </patternFill>
    </fill>
    <fill>
      <patternFill patternType="solid">
        <fgColor rgb="FF2F6FED"/>
      </patternFill>
    </fill>
    <fill>
      <patternFill patternType="solid">
        <fgColor rgb="FFF7F9FC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2F6FEF"/>
      </patternFill>
    </fill>
    <fill>
      <patternFill patternType="solid">
        <fgColor rgb="FF0F766E"/>
      </patternFill>
    </fill>
    <fill>
      <patternFill patternType="solid">
        <fgColor rgb="FFDDF2EF"/>
      </patternFill>
    </fill>
    <fill>
      <patternFill patternType="solid">
        <fgColor rgb="FF6B3FA0"/>
      </patternFill>
    </fill>
    <fill>
      <patternFill patternType="solid">
        <fgColor rgb="FFEDE3F7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6FEF"/>
      </patternFill>
    </fill>
    <fill>
      <patternFill patternType="solid">
        <fgColor rgb="FF0F766E"/>
      </patternFill>
    </fill>
    <fill>
      <patternFill patternType="solid">
        <fgColor rgb="FFDDF2EF"/>
      </patternFill>
    </fill>
    <fill>
      <patternFill patternType="solid">
        <fgColor rgb="FF1F4E78"/>
      </patternFill>
    </fill>
    <fill>
      <patternFill patternType="solid">
        <fgColor rgb="FF6B3FA0"/>
      </patternFill>
    </fill>
    <fill>
      <patternFill patternType="solid">
        <fgColor rgb="FFEDE3F7"/>
      </patternFill>
    </fill>
  </fills>
  <borders count="13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/>
      <right/>
      <top/>
      <bottom style="thin">
        <color rgb="FFD8DEE8"/>
      </bottom>
      <diagonal/>
    </border>
    <border>
      <left/>
      <right/>
      <top style="thin">
        <color rgb="FFD8DEE8"/>
      </top>
      <bottom style="thin">
        <color rgb="FFD8DEE8"/>
      </bottom>
      <diagonal/>
    </border>
    <border>
      <left/>
      <right/>
      <top style="thin">
        <color rgb="FFD8DEE8"/>
      </top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B8CDE0"/>
      </left>
      <right style="thin">
        <color rgb="FFB8CDE0"/>
      </right>
      <top style="thin">
        <color rgb="FFB8CDE0"/>
      </top>
      <bottom style="thin">
        <color rgb="FFB8CDE0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B8CDE0"/>
      </bottom>
      <diagonal/>
    </border>
  </borders>
  <cellStyleXfs count="2">
    <xf numFmtId="0" fontId="0" fillId="0" borderId="0"/>
    <xf numFmtId="0" fontId="7" fillId="0" borderId="0"/>
  </cellStyleXfs>
  <cellXfs count="152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1" fontId="4" fillId="0" borderId="2" xfId="1" applyNumberFormat="1" applyFont="1" applyBorder="1" applyAlignment="1">
      <alignment vertical="center"/>
    </xf>
    <xf numFmtId="1" fontId="4" fillId="0" borderId="3" xfId="1" applyNumberFormat="1" applyFont="1" applyBorder="1" applyAlignment="1">
      <alignment vertical="center"/>
    </xf>
    <xf numFmtId="1" fontId="4" fillId="0" borderId="4" xfId="1" applyNumberFormat="1" applyFont="1" applyBorder="1" applyAlignment="1">
      <alignment vertical="center"/>
    </xf>
    <xf numFmtId="3" fontId="4" fillId="0" borderId="2" xfId="1" applyNumberFormat="1" applyFont="1" applyBorder="1" applyAlignment="1">
      <alignment vertical="center"/>
    </xf>
    <xf numFmtId="3" fontId="4" fillId="0" borderId="3" xfId="1" applyNumberFormat="1" applyFont="1" applyBorder="1" applyAlignment="1">
      <alignment vertical="center"/>
    </xf>
    <xf numFmtId="3" fontId="4" fillId="0" borderId="4" xfId="1" applyNumberFormat="1" applyFont="1" applyBorder="1" applyAlignment="1">
      <alignment vertical="center"/>
    </xf>
    <xf numFmtId="1" fontId="4" fillId="0" borderId="2" xfId="1" applyNumberFormat="1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1" fontId="4" fillId="0" borderId="4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3" fontId="4" fillId="0" borderId="2" xfId="1" applyNumberFormat="1" applyFont="1" applyBorder="1" applyAlignment="1">
      <alignment horizontal="right" vertical="center"/>
    </xf>
    <xf numFmtId="10" fontId="4" fillId="0" borderId="2" xfId="1" applyNumberFormat="1" applyFont="1" applyBorder="1" applyAlignment="1">
      <alignment horizontal="right" vertical="center"/>
    </xf>
    <xf numFmtId="3" fontId="4" fillId="0" borderId="3" xfId="1" applyNumberFormat="1" applyFont="1" applyBorder="1" applyAlignment="1">
      <alignment horizontal="right" vertical="center"/>
    </xf>
    <xf numFmtId="10" fontId="4" fillId="0" borderId="3" xfId="1" applyNumberFormat="1" applyFont="1" applyBorder="1" applyAlignment="1">
      <alignment horizontal="right" vertical="center"/>
    </xf>
    <xf numFmtId="3" fontId="4" fillId="0" borderId="4" xfId="1" applyNumberFormat="1" applyFont="1" applyBorder="1" applyAlignment="1">
      <alignment horizontal="right" vertical="center"/>
    </xf>
    <xf numFmtId="10" fontId="4" fillId="0" borderId="4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1" fontId="4" fillId="0" borderId="2" xfId="1" applyNumberFormat="1" applyFont="1" applyBorder="1" applyAlignment="1">
      <alignment horizontal="right" vertical="center"/>
    </xf>
    <xf numFmtId="1" fontId="4" fillId="0" borderId="3" xfId="1" applyNumberFormat="1" applyFont="1" applyBorder="1" applyAlignment="1">
      <alignment horizontal="right" vertical="center"/>
    </xf>
    <xf numFmtId="1" fontId="4" fillId="0" borderId="4" xfId="1" applyNumberFormat="1" applyFont="1" applyBorder="1" applyAlignment="1">
      <alignment horizontal="right" vertical="center"/>
    </xf>
    <xf numFmtId="0" fontId="4" fillId="0" borderId="2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3" fillId="8" borderId="1" xfId="1" applyFont="1" applyFill="1" applyBorder="1" applyAlignment="1">
      <alignment horizontal="center" vertical="center" wrapText="1"/>
    </xf>
    <xf numFmtId="1" fontId="4" fillId="9" borderId="2" xfId="1" applyNumberFormat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" fontId="4" fillId="9" borderId="3" xfId="1" applyNumberFormat="1" applyFont="1" applyFill="1" applyBorder="1" applyAlignment="1">
      <alignment horizontal="center" vertical="center"/>
    </xf>
    <xf numFmtId="0" fontId="4" fillId="9" borderId="3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176" fontId="4" fillId="9" borderId="2" xfId="1" applyNumberFormat="1" applyFont="1" applyFill="1" applyBorder="1" applyAlignment="1">
      <alignment horizontal="right" vertical="center"/>
    </xf>
    <xf numFmtId="176" fontId="4" fillId="0" borderId="3" xfId="1" applyNumberFormat="1" applyFont="1" applyBorder="1" applyAlignment="1">
      <alignment horizontal="right" vertical="center"/>
    </xf>
    <xf numFmtId="177" fontId="4" fillId="9" borderId="3" xfId="1" applyNumberFormat="1" applyFont="1" applyFill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177" fontId="4" fillId="0" borderId="4" xfId="1" applyNumberFormat="1" applyFont="1" applyBorder="1" applyAlignment="1">
      <alignment horizontal="right" vertical="center"/>
    </xf>
    <xf numFmtId="0" fontId="6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9" borderId="3" xfId="1" applyFont="1" applyFill="1" applyBorder="1" applyAlignment="1">
      <alignment horizontal="left" vertical="center"/>
    </xf>
    <xf numFmtId="0" fontId="4" fillId="9" borderId="3" xfId="1" applyFont="1" applyFill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5" fillId="9" borderId="2" xfId="1" applyFont="1" applyFill="1" applyBorder="1" applyAlignment="1">
      <alignment vertical="center"/>
    </xf>
    <xf numFmtId="0" fontId="5" fillId="9" borderId="3" xfId="1" applyFont="1" applyFill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178" fontId="4" fillId="0" borderId="2" xfId="1" applyNumberFormat="1" applyFont="1" applyBorder="1" applyAlignment="1">
      <alignment horizontal="right" vertical="center"/>
    </xf>
    <xf numFmtId="178" fontId="4" fillId="0" borderId="3" xfId="1" applyNumberFormat="1" applyFont="1" applyBorder="1" applyAlignment="1">
      <alignment horizontal="right" vertical="center"/>
    </xf>
    <xf numFmtId="178" fontId="4" fillId="0" borderId="4" xfId="1" applyNumberFormat="1" applyFont="1" applyBorder="1" applyAlignment="1">
      <alignment horizontal="right" vertical="center"/>
    </xf>
    <xf numFmtId="0" fontId="9" fillId="10" borderId="0" xfId="0" applyFont="1" applyFill="1" applyAlignment="1">
      <alignment horizontal="left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10" fontId="11" fillId="12" borderId="8" xfId="0" applyNumberFormat="1" applyFont="1" applyFill="1" applyBorder="1" applyAlignment="1">
      <alignment horizontal="center" vertical="center"/>
    </xf>
    <xf numFmtId="178" fontId="12" fillId="11" borderId="6" xfId="0" applyNumberFormat="1" applyFont="1" applyFill="1" applyBorder="1" applyAlignment="1">
      <alignment horizontal="center" vertical="center"/>
    </xf>
    <xf numFmtId="3" fontId="12" fillId="11" borderId="6" xfId="0" applyNumberFormat="1" applyFont="1" applyFill="1" applyBorder="1" applyAlignment="1">
      <alignment horizontal="center" vertical="center"/>
    </xf>
    <xf numFmtId="0" fontId="13" fillId="12" borderId="0" xfId="0" applyFont="1" applyFill="1" applyAlignment="1">
      <alignment horizontal="left" vertical="center" wrapText="1"/>
    </xf>
    <xf numFmtId="0" fontId="15" fillId="14" borderId="9" xfId="0" applyFont="1" applyFill="1" applyBorder="1" applyAlignment="1">
      <alignment horizontal="center" vertical="center" wrapText="1"/>
    </xf>
    <xf numFmtId="1" fontId="17" fillId="11" borderId="10" xfId="0" applyNumberFormat="1" applyFont="1" applyFill="1" applyBorder="1" applyAlignment="1">
      <alignment horizontal="center" vertical="center"/>
    </xf>
    <xf numFmtId="1" fontId="17" fillId="11" borderId="11" xfId="0" applyNumberFormat="1" applyFont="1" applyFill="1" applyBorder="1" applyAlignment="1">
      <alignment horizontal="center" vertical="center"/>
    </xf>
    <xf numFmtId="1" fontId="17" fillId="11" borderId="12" xfId="0" applyNumberFormat="1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right" vertical="center"/>
    </xf>
    <xf numFmtId="178" fontId="18" fillId="0" borderId="11" xfId="0" applyNumberFormat="1" applyFont="1" applyBorder="1" applyAlignment="1">
      <alignment horizontal="right" vertical="center"/>
    </xf>
    <xf numFmtId="178" fontId="18" fillId="0" borderId="12" xfId="0" applyNumberFormat="1" applyFont="1" applyBorder="1" applyAlignment="1">
      <alignment horizontal="right" vertical="center"/>
    </xf>
    <xf numFmtId="178" fontId="16" fillId="0" borderId="10" xfId="0" applyNumberFormat="1" applyFont="1" applyBorder="1" applyAlignment="1">
      <alignment vertical="center"/>
    </xf>
    <xf numFmtId="178" fontId="16" fillId="0" borderId="11" xfId="0" applyNumberFormat="1" applyFont="1" applyBorder="1" applyAlignment="1">
      <alignment vertical="center"/>
    </xf>
    <xf numFmtId="178" fontId="16" fillId="0" borderId="12" xfId="0" applyNumberFormat="1" applyFont="1" applyBorder="1" applyAlignment="1">
      <alignment vertical="center"/>
    </xf>
    <xf numFmtId="179" fontId="16" fillId="0" borderId="10" xfId="0" applyNumberFormat="1" applyFont="1" applyBorder="1" applyAlignment="1">
      <alignment vertical="center"/>
    </xf>
    <xf numFmtId="179" fontId="16" fillId="0" borderId="11" xfId="0" applyNumberFormat="1" applyFont="1" applyBorder="1" applyAlignment="1">
      <alignment vertical="center"/>
    </xf>
    <xf numFmtId="179" fontId="16" fillId="0" borderId="12" xfId="0" applyNumberFormat="1" applyFont="1" applyBorder="1" applyAlignment="1">
      <alignment vertical="center"/>
    </xf>
    <xf numFmtId="1" fontId="17" fillId="16" borderId="10" xfId="0" applyNumberFormat="1" applyFont="1" applyFill="1" applyBorder="1" applyAlignment="1">
      <alignment horizontal="center" vertical="center"/>
    </xf>
    <xf numFmtId="1" fontId="17" fillId="16" borderId="11" xfId="0" applyNumberFormat="1" applyFont="1" applyFill="1" applyBorder="1" applyAlignment="1">
      <alignment horizontal="center" vertical="center"/>
    </xf>
    <xf numFmtId="1" fontId="17" fillId="16" borderId="12" xfId="0" applyNumberFormat="1" applyFont="1" applyFill="1" applyBorder="1" applyAlignment="1">
      <alignment horizontal="center" vertical="center"/>
    </xf>
    <xf numFmtId="1" fontId="17" fillId="18" borderId="10" xfId="0" applyNumberFormat="1" applyFont="1" applyFill="1" applyBorder="1" applyAlignment="1">
      <alignment horizontal="center" vertical="center"/>
    </xf>
    <xf numFmtId="1" fontId="17" fillId="18" borderId="11" xfId="0" applyNumberFormat="1" applyFont="1" applyFill="1" applyBorder="1" applyAlignment="1">
      <alignment horizontal="center" vertical="center"/>
    </xf>
    <xf numFmtId="1" fontId="17" fillId="18" borderId="12" xfId="0" applyNumberFormat="1" applyFont="1" applyFill="1" applyBorder="1" applyAlignment="1">
      <alignment horizontal="center" vertical="center"/>
    </xf>
    <xf numFmtId="0" fontId="15" fillId="22" borderId="9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1" fillId="0" borderId="12" xfId="0" applyFont="1" applyBorder="1" applyAlignment="1">
      <alignment vertical="center"/>
    </xf>
    <xf numFmtId="1" fontId="20" fillId="0" borderId="10" xfId="0" applyNumberFormat="1" applyFont="1" applyBorder="1" applyAlignment="1">
      <alignment vertical="center"/>
    </xf>
    <xf numFmtId="1" fontId="20" fillId="0" borderId="11" xfId="0" applyNumberFormat="1" applyFont="1" applyBorder="1" applyAlignment="1">
      <alignment vertical="center"/>
    </xf>
    <xf numFmtId="1" fontId="20" fillId="0" borderId="12" xfId="0" applyNumberFormat="1" applyFont="1" applyBorder="1" applyAlignment="1">
      <alignment vertical="center"/>
    </xf>
    <xf numFmtId="3" fontId="20" fillId="0" borderId="10" xfId="0" applyNumberFormat="1" applyFont="1" applyBorder="1" applyAlignment="1">
      <alignment vertical="center"/>
    </xf>
    <xf numFmtId="3" fontId="20" fillId="0" borderId="11" xfId="0" applyNumberFormat="1" applyFont="1" applyBorder="1" applyAlignment="1">
      <alignment vertical="center"/>
    </xf>
    <xf numFmtId="3" fontId="20" fillId="0" borderId="12" xfId="0" applyNumberFormat="1" applyFont="1" applyBorder="1" applyAlignment="1">
      <alignment vertical="center"/>
    </xf>
    <xf numFmtId="180" fontId="20" fillId="0" borderId="10" xfId="0" applyNumberFormat="1" applyFont="1" applyBorder="1" applyAlignment="1">
      <alignment vertical="center"/>
    </xf>
    <xf numFmtId="180" fontId="20" fillId="0" borderId="11" xfId="0" applyNumberFormat="1" applyFont="1" applyBorder="1" applyAlignment="1">
      <alignment vertical="center"/>
    </xf>
    <xf numFmtId="180" fontId="20" fillId="0" borderId="12" xfId="0" applyNumberFormat="1" applyFont="1" applyBorder="1" applyAlignment="1">
      <alignment vertical="center"/>
    </xf>
    <xf numFmtId="0" fontId="22" fillId="0" borderId="10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15" fillId="23" borderId="9" xfId="0" applyFont="1" applyFill="1" applyBorder="1" applyAlignment="1">
      <alignment horizontal="center" vertical="center" wrapText="1"/>
    </xf>
    <xf numFmtId="0" fontId="10" fillId="24" borderId="9" xfId="0" applyFont="1" applyFill="1" applyBorder="1" applyAlignment="1">
      <alignment horizontal="center" vertical="center"/>
    </xf>
    <xf numFmtId="180" fontId="12" fillId="21" borderId="9" xfId="0" applyNumberFormat="1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horizontal="center" vertical="center"/>
    </xf>
    <xf numFmtId="0" fontId="10" fillId="20" borderId="6" xfId="0" applyFont="1" applyFill="1" applyBorder="1" applyAlignment="1">
      <alignment horizontal="center" vertical="center"/>
    </xf>
    <xf numFmtId="0" fontId="10" fillId="20" borderId="7" xfId="0" applyFont="1" applyFill="1" applyBorder="1" applyAlignment="1">
      <alignment horizontal="center" vertical="center"/>
    </xf>
    <xf numFmtId="3" fontId="11" fillId="21" borderId="8" xfId="0" applyNumberFormat="1" applyFont="1" applyFill="1" applyBorder="1" applyAlignment="1">
      <alignment horizontal="center" vertical="center"/>
    </xf>
    <xf numFmtId="10" fontId="23" fillId="20" borderId="6" xfId="0" applyNumberFormat="1" applyFont="1" applyFill="1" applyBorder="1" applyAlignment="1">
      <alignment horizontal="center" vertical="center"/>
    </xf>
    <xf numFmtId="181" fontId="23" fillId="21" borderId="8" xfId="0" applyNumberFormat="1" applyFont="1" applyFill="1" applyBorder="1" applyAlignment="1">
      <alignment horizontal="center" vertical="center"/>
    </xf>
    <xf numFmtId="0" fontId="24" fillId="20" borderId="10" xfId="0" applyFont="1" applyFill="1" applyBorder="1" applyAlignment="1">
      <alignment horizontal="center" vertical="center"/>
    </xf>
    <xf numFmtId="0" fontId="24" fillId="20" borderId="11" xfId="0" applyFont="1" applyFill="1" applyBorder="1" applyAlignment="1">
      <alignment horizontal="center" vertical="center"/>
    </xf>
    <xf numFmtId="0" fontId="24" fillId="20" borderId="12" xfId="0" applyFont="1" applyFill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1" fontId="16" fillId="0" borderId="11" xfId="0" applyNumberFormat="1" applyFont="1" applyBorder="1" applyAlignment="1">
      <alignment horizontal="center" vertical="center"/>
    </xf>
    <xf numFmtId="1" fontId="16" fillId="0" borderId="12" xfId="0" applyNumberFormat="1" applyFont="1" applyBorder="1" applyAlignment="1">
      <alignment horizontal="center" vertical="center"/>
    </xf>
    <xf numFmtId="0" fontId="16" fillId="20" borderId="10" xfId="0" applyFont="1" applyFill="1" applyBorder="1" applyAlignment="1">
      <alignment horizontal="center" vertical="center"/>
    </xf>
    <xf numFmtId="0" fontId="16" fillId="20" borderId="11" xfId="0" applyFont="1" applyFill="1" applyBorder="1" applyAlignment="1">
      <alignment horizontal="center" vertical="center"/>
    </xf>
    <xf numFmtId="0" fontId="16" fillId="20" borderId="12" xfId="0" applyFont="1" applyFill="1" applyBorder="1" applyAlignment="1">
      <alignment horizontal="center" vertical="center"/>
    </xf>
    <xf numFmtId="182" fontId="25" fillId="0" borderId="10" xfId="0" applyNumberFormat="1" applyFont="1" applyBorder="1" applyAlignment="1">
      <alignment horizontal="right" vertical="center"/>
    </xf>
    <xf numFmtId="182" fontId="25" fillId="0" borderId="11" xfId="0" applyNumberFormat="1" applyFont="1" applyBorder="1" applyAlignment="1">
      <alignment horizontal="right" vertical="center"/>
    </xf>
    <xf numFmtId="182" fontId="25" fillId="0" borderId="12" xfId="0" applyNumberFormat="1" applyFont="1" applyBorder="1" applyAlignment="1">
      <alignment horizontal="right" vertical="center"/>
    </xf>
    <xf numFmtId="0" fontId="24" fillId="24" borderId="10" xfId="0" applyFont="1" applyFill="1" applyBorder="1" applyAlignment="1">
      <alignment horizontal="center" vertical="center"/>
    </xf>
    <xf numFmtId="0" fontId="24" fillId="24" borderId="11" xfId="0" applyFont="1" applyFill="1" applyBorder="1" applyAlignment="1">
      <alignment horizontal="center" vertical="center"/>
    </xf>
    <xf numFmtId="0" fontId="24" fillId="24" borderId="12" xfId="0" applyFont="1" applyFill="1" applyBorder="1" applyAlignment="1">
      <alignment horizontal="center" vertical="center"/>
    </xf>
    <xf numFmtId="0" fontId="16" fillId="24" borderId="10" xfId="0" applyFont="1" applyFill="1" applyBorder="1" applyAlignment="1">
      <alignment horizontal="center" vertical="center"/>
    </xf>
    <xf numFmtId="0" fontId="16" fillId="24" borderId="11" xfId="0" applyFont="1" applyFill="1" applyBorder="1" applyAlignment="1">
      <alignment horizontal="center" vertical="center"/>
    </xf>
    <xf numFmtId="0" fontId="16" fillId="24" borderId="12" xfId="0" applyFont="1" applyFill="1" applyBorder="1" applyAlignment="1">
      <alignment horizontal="center" vertical="center"/>
    </xf>
    <xf numFmtId="0" fontId="24" fillId="27" borderId="10" xfId="0" applyFont="1" applyFill="1" applyBorder="1" applyAlignment="1">
      <alignment horizontal="center" vertical="center"/>
    </xf>
    <xf numFmtId="0" fontId="24" fillId="27" borderId="11" xfId="0" applyFont="1" applyFill="1" applyBorder="1" applyAlignment="1">
      <alignment horizontal="center" vertical="center"/>
    </xf>
    <xf numFmtId="0" fontId="24" fillId="27" borderId="12" xfId="0" applyFont="1" applyFill="1" applyBorder="1" applyAlignment="1">
      <alignment horizontal="center" vertical="center"/>
    </xf>
    <xf numFmtId="0" fontId="16" fillId="27" borderId="10" xfId="0" applyFont="1" applyFill="1" applyBorder="1" applyAlignment="1">
      <alignment horizontal="center" vertical="center"/>
    </xf>
    <xf numFmtId="0" fontId="16" fillId="27" borderId="11" xfId="0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center" vertic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1" fillId="5" borderId="0" xfId="1" applyFont="1" applyFill="1" applyAlignment="1">
      <alignment vertical="center"/>
    </xf>
    <xf numFmtId="0" fontId="2" fillId="6" borderId="0" xfId="1" applyFont="1" applyFill="1" applyAlignment="1">
      <alignment vertical="center" wrapText="1"/>
    </xf>
    <xf numFmtId="0" fontId="4" fillId="7" borderId="0" xfId="1" applyFont="1" applyFill="1" applyAlignment="1">
      <alignment vertical="center" wrapText="1"/>
    </xf>
    <xf numFmtId="0" fontId="14" fillId="15" borderId="0" xfId="0" applyFont="1" applyFill="1" applyAlignment="1">
      <alignment horizontal="center" vertical="center"/>
    </xf>
    <xf numFmtId="0" fontId="14" fillId="17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13" fillId="12" borderId="0" xfId="0" applyFont="1" applyFill="1" applyAlignment="1">
      <alignment horizontal="left" vertical="center" wrapText="1"/>
    </xf>
    <xf numFmtId="0" fontId="14" fillId="13" borderId="0" xfId="0" applyFont="1" applyFill="1" applyAlignment="1">
      <alignment horizontal="center" vertical="center"/>
    </xf>
    <xf numFmtId="0" fontId="9" fillId="19" borderId="0" xfId="0" applyFont="1" applyFill="1" applyAlignment="1">
      <alignment horizontal="left" vertical="center"/>
    </xf>
    <xf numFmtId="0" fontId="10" fillId="20" borderId="0" xfId="0" applyFont="1" applyFill="1" applyAlignment="1">
      <alignment horizontal="left" vertical="center" wrapText="1"/>
    </xf>
    <xf numFmtId="0" fontId="19" fillId="21" borderId="0" xfId="0" applyFont="1" applyFill="1" applyAlignment="1">
      <alignment wrapText="1"/>
    </xf>
    <xf numFmtId="0" fontId="13" fillId="21" borderId="0" xfId="0" applyFont="1" applyFill="1" applyAlignment="1">
      <alignment vertical="center" wrapText="1"/>
    </xf>
    <xf numFmtId="0" fontId="14" fillId="25" borderId="0" xfId="0" applyFont="1" applyFill="1" applyAlignment="1">
      <alignment horizontal="center" vertical="center"/>
    </xf>
    <xf numFmtId="0" fontId="14" fillId="23" borderId="0" xfId="0" applyFont="1" applyFill="1" applyAlignment="1">
      <alignment horizontal="center" vertical="center"/>
    </xf>
    <xf numFmtId="0" fontId="14" fillId="26" borderId="0" xfId="0" applyFont="1" applyFill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2">
    <dxf>
      <font>
        <b/>
        <color rgb="FF17365D"/>
      </font>
      <fill>
        <patternFill>
          <bgColor rgb="FFFFF4CC"/>
        </patternFill>
      </fill>
    </dxf>
    <dxf>
      <font>
        <b/>
        <color rgb="FF176B43"/>
      </font>
      <fill>
        <patternFill>
          <bgColor rgb="FFDFF3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gionalRatesTable" displayName="RegionalRatesTable" ref="A5:S283" totalsRowShown="0">
  <tableColumns count="19">
    <tableColumn id="1" xr3:uid="{00000000-0010-0000-0000-000001000000}" name="시도"/>
    <tableColumn id="2" xr3:uid="{00000000-0010-0000-0000-000002000000}" name="시군구"/>
    <tableColumn id="3" xr3:uid="{00000000-0010-0000-0000-000003000000}" name="지역명"/>
    <tableColumn id="4" xr3:uid="{00000000-0010-0000-0000-000004000000}" name="2011"/>
    <tableColumn id="5" xr3:uid="{00000000-0010-0000-0000-000005000000}" name="2012"/>
    <tableColumn id="6" xr3:uid="{00000000-0010-0000-0000-000006000000}" name="2013"/>
    <tableColumn id="7" xr3:uid="{00000000-0010-0000-0000-000007000000}" name="2014"/>
    <tableColumn id="8" xr3:uid="{00000000-0010-0000-0000-000008000000}" name="2015"/>
    <tableColumn id="9" xr3:uid="{00000000-0010-0000-0000-000009000000}" name="2016"/>
    <tableColumn id="10" xr3:uid="{00000000-0010-0000-0000-00000A000000}" name="2017"/>
    <tableColumn id="11" xr3:uid="{00000000-0010-0000-0000-00000B000000}" name="2018"/>
    <tableColumn id="12" xr3:uid="{00000000-0010-0000-0000-00000C000000}" name="2019"/>
    <tableColumn id="13" xr3:uid="{00000000-0010-0000-0000-00000D000000}" name="2020"/>
    <tableColumn id="14" xr3:uid="{00000000-0010-0000-0000-00000E000000}" name="2021"/>
    <tableColumn id="15" xr3:uid="{00000000-0010-0000-0000-00000F000000}" name="2022"/>
    <tableColumn id="16" xr3:uid="{00000000-0010-0000-0000-000010000000}" name="2023"/>
    <tableColumn id="17" xr3:uid="{00000000-0010-0000-0000-000011000000}" name="2024"/>
    <tableColumn id="18" xr3:uid="{00000000-0010-0000-0000-000012000000}" name="2011~2024 평균"/>
    <tableColumn id="19" xr3:uid="{00000000-0010-0000-0000-000013000000}" name="관측연도 수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ProvinceRatesTable" displayName="ProvinceRatesTable" ref="A5:S22" totalsRowShown="0">
  <tableColumns count="19">
    <tableColumn id="1" xr3:uid="{00000000-0010-0000-0100-000001000000}" name="시도"/>
    <tableColumn id="2" xr3:uid="{00000000-0010-0000-0100-000002000000}" name="시군구"/>
    <tableColumn id="3" xr3:uid="{00000000-0010-0000-0100-000003000000}" name="지역명"/>
    <tableColumn id="4" xr3:uid="{00000000-0010-0000-0100-000004000000}" name="2011"/>
    <tableColumn id="5" xr3:uid="{00000000-0010-0000-0100-000005000000}" name="2012"/>
    <tableColumn id="6" xr3:uid="{00000000-0010-0000-0100-000006000000}" name="2013"/>
    <tableColumn id="7" xr3:uid="{00000000-0010-0000-0100-000007000000}" name="2014"/>
    <tableColumn id="8" xr3:uid="{00000000-0010-0000-0100-000008000000}" name="2015"/>
    <tableColumn id="9" xr3:uid="{00000000-0010-0000-0100-000009000000}" name="2016"/>
    <tableColumn id="10" xr3:uid="{00000000-0010-0000-0100-00000A000000}" name="2017"/>
    <tableColumn id="11" xr3:uid="{00000000-0010-0000-0100-00000B000000}" name="2018"/>
    <tableColumn id="12" xr3:uid="{00000000-0010-0000-0100-00000C000000}" name="2019"/>
    <tableColumn id="13" xr3:uid="{00000000-0010-0000-0100-00000D000000}" name="2020"/>
    <tableColumn id="14" xr3:uid="{00000000-0010-0000-0100-00000E000000}" name="2021"/>
    <tableColumn id="15" xr3:uid="{00000000-0010-0000-0100-00000F000000}" name="2022"/>
    <tableColumn id="16" xr3:uid="{00000000-0010-0000-0100-000010000000}" name="2023"/>
    <tableColumn id="17" xr3:uid="{00000000-0010-0000-0100-000011000000}" name="2024"/>
    <tableColumn id="18" xr3:uid="{00000000-0010-0000-0100-000012000000}" name="2011~2024 평균"/>
    <tableColumn id="19" xr3:uid="{00000000-0010-0000-0100-000013000000}" name="관측연도 수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RawOutflowTable" displayName="RawOutflowTable" ref="A5:K3730" totalsRowShown="0">
  <tableColumns count="11">
    <tableColumn id="1" xr3:uid="{00000000-0010-0000-0200-000001000000}" name="연도"/>
    <tableColumn id="2" xr3:uid="{00000000-0010-0000-0200-000002000000}" name="시도"/>
    <tableColumn id="3" xr3:uid="{00000000-0010-0000-0200-000003000000}" name="시군구"/>
    <tableColumn id="4" xr3:uid="{00000000-0010-0000-0200-000004000000}" name="지역명"/>
    <tableColumn id="5" xr3:uid="{00000000-0010-0000-0200-000005000000}" name="관내 진료실인원수"/>
    <tableColumn id="6" xr3:uid="{00000000-0010-0000-0200-000006000000}" name="관외 진료실인원수"/>
    <tableColumn id="7" xr3:uid="{00000000-0010-0000-0200-000007000000}" name="유출률"/>
    <tableColumn id="8" xr3:uid="{00000000-0010-0000-0200-000008000000}" name="원천파일"/>
    <tableColumn id="9" xr3:uid="{00000000-0010-0000-0200-000009000000}" name="관내 시트"/>
    <tableColumn id="10" xr3:uid="{00000000-0010-0000-0200-00000A000000}" name="관외 시트"/>
    <tableColumn id="11" xr3:uid="{00000000-0010-0000-0200-00000B000000}" name="출처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KidiRiskRatesTable" displayName="KidiRiskRatesTable" ref="A6:I75" totalsRowShown="0">
  <tableColumns count="9">
    <tableColumn id="1" xr3:uid="{00000000-0010-0000-0300-000001000000}" name="위험률 구분"/>
    <tableColumn id="2" xr3:uid="{00000000-0010-0000-0300-000002000000}" name="원문 표명"/>
    <tableColumn id="3" xr3:uid="{00000000-0010-0000-0300-000003000000}" name="연령(세)"/>
    <tableColumn id="4" xr3:uid="{00000000-0010-0000-0300-000004000000}" name="남자"/>
    <tableColumn id="5" xr3:uid="{00000000-0010-0000-0300-000005000000}" name="여자"/>
    <tableColumn id="6" xr3:uid="{00000000-0010-0000-0300-000006000000}" name="원자료 간격"/>
    <tableColumn id="7" xr3:uid="{00000000-0010-0000-0300-000007000000}" name="적용시점"/>
    <tableColumn id="8" xr3:uid="{00000000-0010-0000-0300-000008000000}" name="원문 기준·주석"/>
    <tableColumn id="9" xr3:uid="{00000000-0010-0000-0300-000009000000}" name="출처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KidiRiskRatesAnnualTable" displayName="KidiRiskRatesAnnualTable" ref="A6:J451" totalsRowShown="0">
  <tableColumns count="10">
    <tableColumn id="1" xr3:uid="{00000000-0010-0000-0400-000001000000}" name="위험률 구분"/>
    <tableColumn id="2" xr3:uid="{00000000-0010-0000-0400-000002000000}" name="원문 표명"/>
    <tableColumn id="3" xr3:uid="{00000000-0010-0000-0400-000003000000}" name="연령(세)"/>
    <tableColumn id="4" xr3:uid="{00000000-0010-0000-0400-000004000000}" name="남자"/>
    <tableColumn id="5" xr3:uid="{00000000-0010-0000-0400-000005000000}" name="여자"/>
    <tableColumn id="6" xr3:uid="{00000000-0010-0000-0400-000006000000}" name="값 구분"/>
    <tableColumn id="7" xr3:uid="{00000000-0010-0000-0400-000007000000}" name="보간 기준 연령"/>
    <tableColumn id="8" xr3:uid="{00000000-0010-0000-0400-000008000000}" name="원자료 간격"/>
    <tableColumn id="9" xr3:uid="{00000000-0010-0000-0400-000009000000}" name="적용시점"/>
    <tableColumn id="10" xr3:uid="{00000000-0010-0000-0400-00000A000000}" name="출처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3"/>
  <sheetViews>
    <sheetView showGridLines="0" workbookViewId="0">
      <selection sqref="A1:S2"/>
    </sheetView>
  </sheetViews>
  <sheetFormatPr defaultRowHeight="13.8"/>
  <cols>
    <col min="1" max="1" width="9" customWidth="1"/>
    <col min="2" max="2" width="19" customWidth="1"/>
    <col min="3" max="3" width="27" customWidth="1"/>
    <col min="4" max="17" width="11" customWidth="1"/>
    <col min="18" max="18" width="15" customWidth="1"/>
    <col min="19" max="19" width="12" customWidth="1"/>
  </cols>
  <sheetData>
    <row r="1" spans="1:19" ht="28.05" customHeight="1">
      <c r="A1" s="135" t="s">
        <v>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</row>
    <row r="2" spans="1:19" ht="28.05" customHeight="1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</row>
    <row r="3" spans="1:19" ht="31.95" customHeight="1">
      <c r="A3" s="136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</row>
    <row r="5" spans="1:19" ht="34.049999999999997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</row>
    <row r="6" spans="1:19">
      <c r="A6" s="14" t="s">
        <v>21</v>
      </c>
      <c r="B6" s="14" t="s">
        <v>22</v>
      </c>
      <c r="C6" s="14" t="s">
        <v>21</v>
      </c>
      <c r="D6" s="18">
        <f>원천데이터!G6</f>
        <v>0.1933173292140456</v>
      </c>
      <c r="E6" s="18">
        <f>원천데이터!G269</f>
        <v>0.19325336711681357</v>
      </c>
      <c r="F6" s="18">
        <f>원천데이터!G532</f>
        <v>0.19393007370370899</v>
      </c>
      <c r="G6" s="18">
        <f>원천데이터!G799</f>
        <v>0.1968052911113338</v>
      </c>
      <c r="H6" s="18">
        <f>원천데이터!G1067</f>
        <v>0.1964465019790799</v>
      </c>
      <c r="I6" s="18">
        <f>원천데이터!G1335</f>
        <v>0.19841810070724691</v>
      </c>
      <c r="J6" s="18">
        <f>원천데이터!G1601</f>
        <v>0.19922236117220929</v>
      </c>
      <c r="K6" s="18">
        <f>원천데이터!G1867</f>
        <v>0.1995033600599064</v>
      </c>
      <c r="L6" s="18">
        <f>원천데이터!G2133</f>
        <v>0.20066117949889128</v>
      </c>
      <c r="M6" s="18">
        <f>원천데이터!G2399</f>
        <v>0.19028604520382222</v>
      </c>
      <c r="N6" s="18">
        <f>원천데이터!G2665</f>
        <v>0.19502783693568271</v>
      </c>
      <c r="O6" s="18">
        <f>원천데이터!G2931</f>
        <v>0.21425468802312131</v>
      </c>
      <c r="P6" s="18">
        <f>원천데이터!G3197</f>
        <v>0.21190935773963873</v>
      </c>
      <c r="Q6" s="18">
        <f>원천데이터!G3463</f>
        <v>0.21071361965528015</v>
      </c>
      <c r="R6" s="18">
        <f t="shared" ref="R6:R69" si="0">IFERROR(AVERAGE(D6:Q6),"")</f>
        <v>0.1995535080086272</v>
      </c>
      <c r="S6" s="26">
        <f t="shared" ref="S6:S69" si="1">COUNT(D6:Q6)</f>
        <v>14</v>
      </c>
    </row>
    <row r="7" spans="1:19">
      <c r="A7" s="15" t="s">
        <v>21</v>
      </c>
      <c r="B7" s="15" t="s">
        <v>23</v>
      </c>
      <c r="C7" s="15" t="s">
        <v>24</v>
      </c>
      <c r="D7" s="20">
        <f>원천데이터!G7</f>
        <v>0.4507280049171255</v>
      </c>
      <c r="E7" s="20">
        <f>원천데이터!G270</f>
        <v>0.44954505340677398</v>
      </c>
      <c r="F7" s="20">
        <f>원천데이터!G533</f>
        <v>0.44966825431571322</v>
      </c>
      <c r="G7" s="20">
        <f>원천데이터!G800</f>
        <v>0.45691828688427499</v>
      </c>
      <c r="H7" s="20">
        <f>원천데이터!G1068</f>
        <v>0.45910184926154946</v>
      </c>
      <c r="I7" s="20">
        <f>원천데이터!G1336</f>
        <v>0.45639047299563906</v>
      </c>
      <c r="J7" s="20">
        <f>원천데이터!G1602</f>
        <v>0.45597490821347114</v>
      </c>
      <c r="K7" s="20">
        <f>원천데이터!G1868</f>
        <v>0.45651035414445673</v>
      </c>
      <c r="L7" s="20">
        <f>원천데이터!G2134</f>
        <v>0.45930959506534591</v>
      </c>
      <c r="M7" s="20">
        <f>원천데이터!G2400</f>
        <v>0.45841843571203694</v>
      </c>
      <c r="N7" s="20">
        <f>원천데이터!G2666</f>
        <v>0.46314206870301644</v>
      </c>
      <c r="O7" s="20">
        <f>원천데이터!G2932</f>
        <v>0.45670585321240759</v>
      </c>
      <c r="P7" s="20">
        <f>원천데이터!G3198</f>
        <v>0.46136105798462035</v>
      </c>
      <c r="Q7" s="20">
        <f>원천데이터!G3464</f>
        <v>0.4587008949309313</v>
      </c>
      <c r="R7" s="20">
        <f t="shared" si="0"/>
        <v>0.45660536355338305</v>
      </c>
      <c r="S7" s="27">
        <f t="shared" si="1"/>
        <v>14</v>
      </c>
    </row>
    <row r="8" spans="1:19">
      <c r="A8" s="15" t="s">
        <v>21</v>
      </c>
      <c r="B8" s="15" t="s">
        <v>25</v>
      </c>
      <c r="C8" s="15" t="s">
        <v>26</v>
      </c>
      <c r="D8" s="20">
        <f>원천데이터!G8</f>
        <v>0.40051409555139045</v>
      </c>
      <c r="E8" s="20">
        <f>원천데이터!G271</f>
        <v>0.39483814563583497</v>
      </c>
      <c r="F8" s="20">
        <f>원천데이터!G534</f>
        <v>0.39435886584196111</v>
      </c>
      <c r="G8" s="20">
        <f>원천데이터!G801</f>
        <v>0.39459203212433308</v>
      </c>
      <c r="H8" s="20">
        <f>원천데이터!G1069</f>
        <v>0.39750888590768318</v>
      </c>
      <c r="I8" s="20">
        <f>원천데이터!G1337</f>
        <v>0.39905235462370064</v>
      </c>
      <c r="J8" s="20">
        <f>원천데이터!G1603</f>
        <v>0.40270353262035968</v>
      </c>
      <c r="K8" s="20">
        <f>원천데이터!G1869</f>
        <v>0.40288327546509023</v>
      </c>
      <c r="L8" s="20">
        <f>원천데이터!G2135</f>
        <v>0.41270189678103286</v>
      </c>
      <c r="M8" s="20">
        <f>원천데이터!G2401</f>
        <v>0.40968037433291626</v>
      </c>
      <c r="N8" s="20">
        <f>원천데이터!G2667</f>
        <v>0.41256126980224644</v>
      </c>
      <c r="O8" s="20">
        <f>원천데이터!G2933</f>
        <v>0.41492241236802196</v>
      </c>
      <c r="P8" s="20">
        <f>원천데이터!G3199</f>
        <v>0.41900526192991533</v>
      </c>
      <c r="Q8" s="20">
        <f>원천데이터!G3465</f>
        <v>0.42474236984475183</v>
      </c>
      <c r="R8" s="20">
        <f t="shared" si="0"/>
        <v>0.40571891234494556</v>
      </c>
      <c r="S8" s="27">
        <f t="shared" si="1"/>
        <v>14</v>
      </c>
    </row>
    <row r="9" spans="1:19">
      <c r="A9" s="15" t="s">
        <v>21</v>
      </c>
      <c r="B9" s="15" t="s">
        <v>27</v>
      </c>
      <c r="C9" s="15" t="s">
        <v>28</v>
      </c>
      <c r="D9" s="20">
        <f>원천데이터!G9</f>
        <v>0.46984492744597373</v>
      </c>
      <c r="E9" s="20">
        <f>원천데이터!G272</f>
        <v>0.46649494691827342</v>
      </c>
      <c r="F9" s="20">
        <f>원천데이터!G535</f>
        <v>0.46816538050377499</v>
      </c>
      <c r="G9" s="20">
        <f>원천데이터!G802</f>
        <v>0.46738307444897992</v>
      </c>
      <c r="H9" s="20">
        <f>원천데이터!G1070</f>
        <v>0.4651311823863456</v>
      </c>
      <c r="I9" s="20">
        <f>원천데이터!G1338</f>
        <v>0.46596116447763575</v>
      </c>
      <c r="J9" s="20">
        <f>원천데이터!G1604</f>
        <v>0.467190208131951</v>
      </c>
      <c r="K9" s="20">
        <f>원천데이터!G1870</f>
        <v>0.46802555753621289</v>
      </c>
      <c r="L9" s="20">
        <f>원천데이터!G2136</f>
        <v>0.46940948838325508</v>
      </c>
      <c r="M9" s="20">
        <f>원천데이터!G2402</f>
        <v>0.46652198889385332</v>
      </c>
      <c r="N9" s="20">
        <f>원천데이터!G2668</f>
        <v>0.46921758423620236</v>
      </c>
      <c r="O9" s="20">
        <f>원천데이터!G2934</f>
        <v>0.46512782971298511</v>
      </c>
      <c r="P9" s="20">
        <f>원천데이터!G3200</f>
        <v>0.46747497476353317</v>
      </c>
      <c r="Q9" s="20">
        <f>원천데이터!G3466</f>
        <v>0.46629722784559913</v>
      </c>
      <c r="R9" s="20">
        <f t="shared" si="0"/>
        <v>0.46730325254889821</v>
      </c>
      <c r="S9" s="27">
        <f t="shared" si="1"/>
        <v>14</v>
      </c>
    </row>
    <row r="10" spans="1:19">
      <c r="A10" s="15" t="s">
        <v>21</v>
      </c>
      <c r="B10" s="15" t="s">
        <v>29</v>
      </c>
      <c r="C10" s="15" t="s">
        <v>30</v>
      </c>
      <c r="D10" s="20">
        <f>원천데이터!G10</f>
        <v>0.45292376911811333</v>
      </c>
      <c r="E10" s="20">
        <f>원천데이터!G273</f>
        <v>0.45041157926341074</v>
      </c>
      <c r="F10" s="20">
        <f>원천데이터!G536</f>
        <v>0.45216706361020143</v>
      </c>
      <c r="G10" s="20">
        <f>원천데이터!G803</f>
        <v>0.45887700064419973</v>
      </c>
      <c r="H10" s="20">
        <f>원천데이터!G1071</f>
        <v>0.45626092474340857</v>
      </c>
      <c r="I10" s="20">
        <f>원천데이터!G1339</f>
        <v>0.45846917128898357</v>
      </c>
      <c r="J10" s="20">
        <f>원천데이터!G1605</f>
        <v>0.45837843462602967</v>
      </c>
      <c r="K10" s="20">
        <f>원천데이터!G1871</f>
        <v>0.4564615712156696</v>
      </c>
      <c r="L10" s="20">
        <f>원천데이터!G2137</f>
        <v>0.45078353102189783</v>
      </c>
      <c r="M10" s="20">
        <f>원천데이터!G2403</f>
        <v>0.44032381550663041</v>
      </c>
      <c r="N10" s="20">
        <f>원천데이터!G2669</f>
        <v>0.43898375021629671</v>
      </c>
      <c r="O10" s="20">
        <f>원천데이터!G2935</f>
        <v>0.43657424990505128</v>
      </c>
      <c r="P10" s="20">
        <f>원천데이터!G3201</f>
        <v>0.43468980454970424</v>
      </c>
      <c r="Q10" s="20">
        <f>원천데이터!G3467</f>
        <v>0.4305482400215454</v>
      </c>
      <c r="R10" s="20">
        <f t="shared" si="0"/>
        <v>0.44827520755222444</v>
      </c>
      <c r="S10" s="27">
        <f t="shared" si="1"/>
        <v>14</v>
      </c>
    </row>
    <row r="11" spans="1:19">
      <c r="A11" s="15" t="s">
        <v>21</v>
      </c>
      <c r="B11" s="15" t="s">
        <v>31</v>
      </c>
      <c r="C11" s="15" t="s">
        <v>32</v>
      </c>
      <c r="D11" s="20">
        <f>원천데이터!G11</f>
        <v>0.48237000593076751</v>
      </c>
      <c r="E11" s="20">
        <f>원천데이터!G274</f>
        <v>0.47937041481067516</v>
      </c>
      <c r="F11" s="20">
        <f>원천데이터!G537</f>
        <v>0.4808421485056999</v>
      </c>
      <c r="G11" s="20">
        <f>원천데이터!G804</f>
        <v>0.4809154802176891</v>
      </c>
      <c r="H11" s="20">
        <f>원천데이터!G1072</f>
        <v>0.48188940988826984</v>
      </c>
      <c r="I11" s="20">
        <f>원천데이터!G1340</f>
        <v>0.48478305252953274</v>
      </c>
      <c r="J11" s="20">
        <f>원천데이터!G1606</f>
        <v>0.48301290456707807</v>
      </c>
      <c r="K11" s="20">
        <f>원천데이터!G1872</f>
        <v>0.48487360132615004</v>
      </c>
      <c r="L11" s="20">
        <f>원천데이터!G2138</f>
        <v>0.48506993514274505</v>
      </c>
      <c r="M11" s="20">
        <f>원천데이터!G2404</f>
        <v>0.48057010079388851</v>
      </c>
      <c r="N11" s="20">
        <f>원천데이터!G2670</f>
        <v>0.47864694338348562</v>
      </c>
      <c r="O11" s="20">
        <f>원천데이터!G2936</f>
        <v>0.47597104808123541</v>
      </c>
      <c r="P11" s="20">
        <f>원천데이터!G3202</f>
        <v>0.47805161738172008</v>
      </c>
      <c r="Q11" s="20">
        <f>원천데이터!G3468</f>
        <v>0.47719588543124158</v>
      </c>
      <c r="R11" s="20">
        <f t="shared" si="0"/>
        <v>0.48096875342786988</v>
      </c>
      <c r="S11" s="27">
        <f t="shared" si="1"/>
        <v>14</v>
      </c>
    </row>
    <row r="12" spans="1:19">
      <c r="A12" s="15" t="s">
        <v>21</v>
      </c>
      <c r="B12" s="15" t="s">
        <v>33</v>
      </c>
      <c r="C12" s="15" t="s">
        <v>34</v>
      </c>
      <c r="D12" s="20">
        <f>원천데이터!G12</f>
        <v>0.44930176911308989</v>
      </c>
      <c r="E12" s="20">
        <f>원천데이터!G275</f>
        <v>0.44735695174362811</v>
      </c>
      <c r="F12" s="20">
        <f>원천데이터!G538</f>
        <v>0.44613655882358672</v>
      </c>
      <c r="G12" s="20">
        <f>원천데이터!G805</f>
        <v>0.44596029147375005</v>
      </c>
      <c r="H12" s="20">
        <f>원천데이터!G1073</f>
        <v>0.44828377800363373</v>
      </c>
      <c r="I12" s="20">
        <f>원천데이터!G1341</f>
        <v>0.44868864503037864</v>
      </c>
      <c r="J12" s="20">
        <f>원천데이터!G1607</f>
        <v>0.44845234203792211</v>
      </c>
      <c r="K12" s="20">
        <f>원천데이터!G1873</f>
        <v>0.44812199061669949</v>
      </c>
      <c r="L12" s="20">
        <f>원천데이터!G2139</f>
        <v>0.44898160239222989</v>
      </c>
      <c r="M12" s="20">
        <f>원천데이터!G2405</f>
        <v>0.44597130118613304</v>
      </c>
      <c r="N12" s="20">
        <f>원천데이터!G2671</f>
        <v>0.45011147765907006</v>
      </c>
      <c r="O12" s="20">
        <f>원천데이터!G2937</f>
        <v>0.44820259745152147</v>
      </c>
      <c r="P12" s="20">
        <f>원천데이터!G3203</f>
        <v>0.45000650608127246</v>
      </c>
      <c r="Q12" s="20">
        <f>원천데이터!G3469</f>
        <v>0.44891338594928487</v>
      </c>
      <c r="R12" s="20">
        <f t="shared" si="0"/>
        <v>0.44817779982587147</v>
      </c>
      <c r="S12" s="27">
        <f t="shared" si="1"/>
        <v>14</v>
      </c>
    </row>
    <row r="13" spans="1:19">
      <c r="A13" s="15" t="s">
        <v>21</v>
      </c>
      <c r="B13" s="15" t="s">
        <v>35</v>
      </c>
      <c r="C13" s="15" t="s">
        <v>36</v>
      </c>
      <c r="D13" s="20">
        <f>원천데이터!G13</f>
        <v>0.46666132580271519</v>
      </c>
      <c r="E13" s="20">
        <f>원천데이터!G276</f>
        <v>0.46200008861422126</v>
      </c>
      <c r="F13" s="20">
        <f>원천데이터!G539</f>
        <v>0.46010508966890229</v>
      </c>
      <c r="G13" s="20">
        <f>원천데이터!G806</f>
        <v>0.46071377014997195</v>
      </c>
      <c r="H13" s="20">
        <f>원천데이터!G1074</f>
        <v>0.45876562250447278</v>
      </c>
      <c r="I13" s="20">
        <f>원천데이터!G1342</f>
        <v>0.4585243459313918</v>
      </c>
      <c r="J13" s="20">
        <f>원천데이터!G1608</f>
        <v>0.45983422913991373</v>
      </c>
      <c r="K13" s="20">
        <f>원천데이터!G1874</f>
        <v>0.46156583059540029</v>
      </c>
      <c r="L13" s="20">
        <f>원천데이터!G2140</f>
        <v>0.46893190464073786</v>
      </c>
      <c r="M13" s="20">
        <f>원천데이터!G2406</f>
        <v>0.46701743130491719</v>
      </c>
      <c r="N13" s="20">
        <f>원천데이터!G2672</f>
        <v>0.46920374439630264</v>
      </c>
      <c r="O13" s="20">
        <f>원천데이터!G2938</f>
        <v>0.4636086027666117</v>
      </c>
      <c r="P13" s="20">
        <f>원천데이터!G3204</f>
        <v>0.46657301755765401</v>
      </c>
      <c r="Q13" s="20">
        <f>원천데이터!G3470</f>
        <v>0.46598461358912163</v>
      </c>
      <c r="R13" s="20">
        <f t="shared" si="0"/>
        <v>0.46353497261873816</v>
      </c>
      <c r="S13" s="27">
        <f t="shared" si="1"/>
        <v>14</v>
      </c>
    </row>
    <row r="14" spans="1:19">
      <c r="A14" s="15" t="s">
        <v>21</v>
      </c>
      <c r="B14" s="15" t="s">
        <v>37</v>
      </c>
      <c r="C14" s="15" t="s">
        <v>38</v>
      </c>
      <c r="D14" s="20">
        <f>원천데이터!G14</f>
        <v>0.47401121113918976</v>
      </c>
      <c r="E14" s="20">
        <f>원천데이터!G277</f>
        <v>0.47204844062788659</v>
      </c>
      <c r="F14" s="20">
        <f>원천데이터!G540</f>
        <v>0.47293791948260422</v>
      </c>
      <c r="G14" s="20">
        <f>원천데이터!G807</f>
        <v>0.47535309535660547</v>
      </c>
      <c r="H14" s="20">
        <f>원천데이터!G1075</f>
        <v>0.47652603141011041</v>
      </c>
      <c r="I14" s="20">
        <f>원천데이터!G1343</f>
        <v>0.47856571588445918</v>
      </c>
      <c r="J14" s="20">
        <f>원천데이터!G1609</f>
        <v>0.4801355242531713</v>
      </c>
      <c r="K14" s="20">
        <f>원천데이터!G1875</f>
        <v>0.48007239878930685</v>
      </c>
      <c r="L14" s="20">
        <f>원천데이터!G2141</f>
        <v>0.4794327941753499</v>
      </c>
      <c r="M14" s="20">
        <f>원천데이터!G2407</f>
        <v>0.47859500722096143</v>
      </c>
      <c r="N14" s="20">
        <f>원천데이터!G2673</f>
        <v>0.48165931393858485</v>
      </c>
      <c r="O14" s="20">
        <f>원천데이터!G2939</f>
        <v>0.47570119773280706</v>
      </c>
      <c r="P14" s="20">
        <f>원천데이터!G3205</f>
        <v>0.48067491935118661</v>
      </c>
      <c r="Q14" s="20">
        <f>원천데이터!G3471</f>
        <v>0.48203163471268473</v>
      </c>
      <c r="R14" s="20">
        <f t="shared" si="0"/>
        <v>0.47769608600535057</v>
      </c>
      <c r="S14" s="27">
        <f t="shared" si="1"/>
        <v>14</v>
      </c>
    </row>
    <row r="15" spans="1:19">
      <c r="A15" s="15" t="s">
        <v>21</v>
      </c>
      <c r="B15" s="15" t="s">
        <v>39</v>
      </c>
      <c r="C15" s="15" t="s">
        <v>40</v>
      </c>
      <c r="D15" s="20">
        <f>원천데이터!G15</f>
        <v>0.42077067403567447</v>
      </c>
      <c r="E15" s="20">
        <f>원천데이터!G278</f>
        <v>0.41801575161185894</v>
      </c>
      <c r="F15" s="20">
        <f>원천데이터!G541</f>
        <v>0.41430656314115138</v>
      </c>
      <c r="G15" s="20">
        <f>원천데이터!G808</f>
        <v>0.41835036961763006</v>
      </c>
      <c r="H15" s="20">
        <f>원천데이터!G1076</f>
        <v>0.4191099175090543</v>
      </c>
      <c r="I15" s="20">
        <f>원천데이터!G1344</f>
        <v>0.4213761057204285</v>
      </c>
      <c r="J15" s="20">
        <f>원천데이터!G1610</f>
        <v>0.42252850124175267</v>
      </c>
      <c r="K15" s="20">
        <f>원천데이터!G1876</f>
        <v>0.42136028613516013</v>
      </c>
      <c r="L15" s="20">
        <f>원천데이터!G2142</f>
        <v>0.42345227022355914</v>
      </c>
      <c r="M15" s="20">
        <f>원천데이터!G2408</f>
        <v>0.41817366864655953</v>
      </c>
      <c r="N15" s="20">
        <f>원천데이터!G2674</f>
        <v>0.42416630612390632</v>
      </c>
      <c r="O15" s="20">
        <f>원천데이터!G2940</f>
        <v>0.42568189024246444</v>
      </c>
      <c r="P15" s="20">
        <f>원천데이터!G3206</f>
        <v>0.42605764876156893</v>
      </c>
      <c r="Q15" s="20">
        <f>원천데이터!G3472</f>
        <v>0.42773408173238364</v>
      </c>
      <c r="R15" s="20">
        <f t="shared" si="0"/>
        <v>0.42150600248165376</v>
      </c>
      <c r="S15" s="27">
        <f t="shared" si="1"/>
        <v>14</v>
      </c>
    </row>
    <row r="16" spans="1:19">
      <c r="A16" s="15" t="s">
        <v>21</v>
      </c>
      <c r="B16" s="15" t="s">
        <v>41</v>
      </c>
      <c r="C16" s="15" t="s">
        <v>42</v>
      </c>
      <c r="D16" s="20">
        <f>원천데이터!G16</f>
        <v>0.47107566349436808</v>
      </c>
      <c r="E16" s="20">
        <f>원천데이터!G279</f>
        <v>0.46688331815993089</v>
      </c>
      <c r="F16" s="20">
        <f>원천데이터!G542</f>
        <v>0.46806526897651707</v>
      </c>
      <c r="G16" s="20">
        <f>원천데이터!G809</f>
        <v>0.46970471173028394</v>
      </c>
      <c r="H16" s="20">
        <f>원천데이터!G1077</f>
        <v>0.47498915743405751</v>
      </c>
      <c r="I16" s="20">
        <f>원천데이터!G1345</f>
        <v>0.47462216526264789</v>
      </c>
      <c r="J16" s="20">
        <f>원천데이터!G1611</f>
        <v>0.47668011704186136</v>
      </c>
      <c r="K16" s="20">
        <f>원천데이터!G1877</f>
        <v>0.47588776461691051</v>
      </c>
      <c r="L16" s="20">
        <f>원천데이터!G2143</f>
        <v>0.47880290249214813</v>
      </c>
      <c r="M16" s="20">
        <f>원천데이터!G2409</f>
        <v>0.47560810999007996</v>
      </c>
      <c r="N16" s="20">
        <f>원천데이터!G2675</f>
        <v>0.48058958701522109</v>
      </c>
      <c r="O16" s="20">
        <f>원천데이터!G2941</f>
        <v>0.47502342344530046</v>
      </c>
      <c r="P16" s="20">
        <f>원천데이터!G3207</f>
        <v>0.47938565403650407</v>
      </c>
      <c r="Q16" s="20">
        <f>원천데이터!G3473</f>
        <v>0.47892910262766486</v>
      </c>
      <c r="R16" s="20">
        <f t="shared" si="0"/>
        <v>0.47473192473739256</v>
      </c>
      <c r="S16" s="27">
        <f t="shared" si="1"/>
        <v>14</v>
      </c>
    </row>
    <row r="17" spans="1:19">
      <c r="A17" s="15" t="s">
        <v>21</v>
      </c>
      <c r="B17" s="15" t="s">
        <v>43</v>
      </c>
      <c r="C17" s="15" t="s">
        <v>44</v>
      </c>
      <c r="D17" s="20">
        <f>원천데이터!G17</f>
        <v>0.44202496306152605</v>
      </c>
      <c r="E17" s="20">
        <f>원천데이터!G280</f>
        <v>0.44080667095544823</v>
      </c>
      <c r="F17" s="20">
        <f>원천데이터!G543</f>
        <v>0.4433485846447785</v>
      </c>
      <c r="G17" s="20">
        <f>원천데이터!G810</f>
        <v>0.44518417061102616</v>
      </c>
      <c r="H17" s="20">
        <f>원천데이터!G1078</f>
        <v>0.44563276635315052</v>
      </c>
      <c r="I17" s="20">
        <f>원천데이터!G1346</f>
        <v>0.44706545076207871</v>
      </c>
      <c r="J17" s="20">
        <f>원천데이터!G1612</f>
        <v>0.44893472092348369</v>
      </c>
      <c r="K17" s="20">
        <f>원천데이터!G1878</f>
        <v>0.45227513949386949</v>
      </c>
      <c r="L17" s="20">
        <f>원천데이터!G2144</f>
        <v>0.46185308188036217</v>
      </c>
      <c r="M17" s="20">
        <f>원천데이터!G2410</f>
        <v>0.45757497002875563</v>
      </c>
      <c r="N17" s="20">
        <f>원천데이터!G2676</f>
        <v>0.46010066313727327</v>
      </c>
      <c r="O17" s="20">
        <f>원천데이터!G2942</f>
        <v>0.4590033964370524</v>
      </c>
      <c r="P17" s="20">
        <f>원천데이터!G3208</f>
        <v>0.46666428965512063</v>
      </c>
      <c r="Q17" s="20">
        <f>원천데이터!G3474</f>
        <v>0.46479669104496923</v>
      </c>
      <c r="R17" s="20">
        <f t="shared" si="0"/>
        <v>0.4525189684992067</v>
      </c>
      <c r="S17" s="27">
        <f t="shared" si="1"/>
        <v>14</v>
      </c>
    </row>
    <row r="18" spans="1:19">
      <c r="A18" s="15" t="s">
        <v>21</v>
      </c>
      <c r="B18" s="15" t="s">
        <v>45</v>
      </c>
      <c r="C18" s="15" t="s">
        <v>46</v>
      </c>
      <c r="D18" s="20">
        <f>원천데이터!G18</f>
        <v>0.48917017332352714</v>
      </c>
      <c r="E18" s="20">
        <f>원천데이터!G281</f>
        <v>0.4896395469307594</v>
      </c>
      <c r="F18" s="20">
        <f>원천데이터!G544</f>
        <v>0.49078673727633293</v>
      </c>
      <c r="G18" s="20">
        <f>원천데이터!G811</f>
        <v>0.4908913230058039</v>
      </c>
      <c r="H18" s="20">
        <f>원천데이터!G1079</f>
        <v>0.49336987989126013</v>
      </c>
      <c r="I18" s="20">
        <f>원천데이터!G1347</f>
        <v>0.49403739460105445</v>
      </c>
      <c r="J18" s="20">
        <f>원천데이터!G1613</f>
        <v>0.49305657843805556</v>
      </c>
      <c r="K18" s="20">
        <f>원천데이터!G1879</f>
        <v>0.49436840749478023</v>
      </c>
      <c r="L18" s="20">
        <f>원천데이터!G2145</f>
        <v>0.49725169136368136</v>
      </c>
      <c r="M18" s="20">
        <f>원천데이터!G2411</f>
        <v>0.49721706532742405</v>
      </c>
      <c r="N18" s="20">
        <f>원천데이터!G2677</f>
        <v>0.50313135192677672</v>
      </c>
      <c r="O18" s="20">
        <f>원천데이터!G2943</f>
        <v>0.49725001915936845</v>
      </c>
      <c r="P18" s="20">
        <f>원천데이터!G3209</f>
        <v>0.49882739251098018</v>
      </c>
      <c r="Q18" s="20">
        <f>원천데이터!G3475</f>
        <v>0.50187626937782936</v>
      </c>
      <c r="R18" s="20">
        <f t="shared" si="0"/>
        <v>0.49506241647340243</v>
      </c>
      <c r="S18" s="27">
        <f t="shared" si="1"/>
        <v>14</v>
      </c>
    </row>
    <row r="19" spans="1:19">
      <c r="A19" s="15" t="s">
        <v>21</v>
      </c>
      <c r="B19" s="15" t="s">
        <v>47</v>
      </c>
      <c r="C19" s="15" t="s">
        <v>48</v>
      </c>
      <c r="D19" s="20">
        <f>원천데이터!G19</f>
        <v>0.48749508142275938</v>
      </c>
      <c r="E19" s="20">
        <f>원천데이터!G282</f>
        <v>0.4829470360540104</v>
      </c>
      <c r="F19" s="20">
        <f>원천데이터!G545</f>
        <v>0.48059271843514784</v>
      </c>
      <c r="G19" s="20">
        <f>원천데이터!G812</f>
        <v>0.48586252906596072</v>
      </c>
      <c r="H19" s="20">
        <f>원천데이터!G1080</f>
        <v>0.48405761396531549</v>
      </c>
      <c r="I19" s="20">
        <f>원천데이터!G1348</f>
        <v>0.48181681509060198</v>
      </c>
      <c r="J19" s="20">
        <f>원천데이터!G1614</f>
        <v>0.47904302039749425</v>
      </c>
      <c r="K19" s="20">
        <f>원천데이터!G1880</f>
        <v>0.48473084246185799</v>
      </c>
      <c r="L19" s="20">
        <f>원천데이터!G2146</f>
        <v>0.4820888562303931</v>
      </c>
      <c r="M19" s="20">
        <f>원천데이터!G2412</f>
        <v>0.4824847417665229</v>
      </c>
      <c r="N19" s="20">
        <f>원천데이터!G2678</f>
        <v>0.48715678392687717</v>
      </c>
      <c r="O19" s="20">
        <f>원천데이터!G2944</f>
        <v>0.4794030012551812</v>
      </c>
      <c r="P19" s="20">
        <f>원천데이터!G3210</f>
        <v>0.48350332601820289</v>
      </c>
      <c r="Q19" s="20">
        <f>원천데이터!G3476</f>
        <v>0.48430551582451303</v>
      </c>
      <c r="R19" s="20">
        <f t="shared" si="0"/>
        <v>0.48324913442248846</v>
      </c>
      <c r="S19" s="27">
        <f t="shared" si="1"/>
        <v>14</v>
      </c>
    </row>
    <row r="20" spans="1:19">
      <c r="A20" s="15" t="s">
        <v>21</v>
      </c>
      <c r="B20" s="15" t="s">
        <v>49</v>
      </c>
      <c r="C20" s="15" t="s">
        <v>50</v>
      </c>
      <c r="D20" s="20">
        <f>원천데이터!G20</f>
        <v>0.50517757499570415</v>
      </c>
      <c r="E20" s="20">
        <f>원천데이터!G283</f>
        <v>0.50327386045338685</v>
      </c>
      <c r="F20" s="20">
        <f>원천데이터!G546</f>
        <v>0.49884306702595427</v>
      </c>
      <c r="G20" s="20">
        <f>원천데이터!G813</f>
        <v>0.49709048001471584</v>
      </c>
      <c r="H20" s="20">
        <f>원천데이터!G1081</f>
        <v>0.50134546601440089</v>
      </c>
      <c r="I20" s="20">
        <f>원천데이터!G1349</f>
        <v>0.49836112764885604</v>
      </c>
      <c r="J20" s="20">
        <f>원천데이터!G1615</f>
        <v>0.50041496494638216</v>
      </c>
      <c r="K20" s="20">
        <f>원천데이터!G1881</f>
        <v>0.49975203160074477</v>
      </c>
      <c r="L20" s="20">
        <f>원천데이터!G2147</f>
        <v>0.50078704988552003</v>
      </c>
      <c r="M20" s="20">
        <f>원천데이터!G2413</f>
        <v>0.50038989957268809</v>
      </c>
      <c r="N20" s="20">
        <f>원천데이터!G2679</f>
        <v>0.50168884430675276</v>
      </c>
      <c r="O20" s="20">
        <f>원천데이터!G2945</f>
        <v>0.49599907295592882</v>
      </c>
      <c r="P20" s="20">
        <f>원천데이터!G3211</f>
        <v>0.49991909733103118</v>
      </c>
      <c r="Q20" s="20">
        <f>원천데이터!G3477</f>
        <v>0.50019492364621876</v>
      </c>
      <c r="R20" s="20">
        <f t="shared" si="0"/>
        <v>0.50023124717130618</v>
      </c>
      <c r="S20" s="27">
        <f t="shared" si="1"/>
        <v>14</v>
      </c>
    </row>
    <row r="21" spans="1:19">
      <c r="A21" s="15" t="s">
        <v>21</v>
      </c>
      <c r="B21" s="15" t="s">
        <v>51</v>
      </c>
      <c r="C21" s="15" t="s">
        <v>52</v>
      </c>
      <c r="D21" s="20">
        <f>원천데이터!G21</f>
        <v>0.50423222505897625</v>
      </c>
      <c r="E21" s="20">
        <f>원천데이터!G284</f>
        <v>0.50162347500199345</v>
      </c>
      <c r="F21" s="20">
        <f>원천데이터!G547</f>
        <v>0.50258055060062123</v>
      </c>
      <c r="G21" s="20">
        <f>원천데이터!G814</f>
        <v>0.50380715648652985</v>
      </c>
      <c r="H21" s="20">
        <f>원천데이터!G1082</f>
        <v>0.5038660107639481</v>
      </c>
      <c r="I21" s="20">
        <f>원천데이터!G1350</f>
        <v>0.50226570622863509</v>
      </c>
      <c r="J21" s="20">
        <f>원천데이터!G1616</f>
        <v>0.50113007854575375</v>
      </c>
      <c r="K21" s="20">
        <f>원천데이터!G1882</f>
        <v>0.50047136855529351</v>
      </c>
      <c r="L21" s="20">
        <f>원천데이터!G2148</f>
        <v>0.49881894152119111</v>
      </c>
      <c r="M21" s="20">
        <f>원천데이터!G2414</f>
        <v>0.49765164450366944</v>
      </c>
      <c r="N21" s="20">
        <f>원천데이터!G2680</f>
        <v>0.49459989822478667</v>
      </c>
      <c r="O21" s="20">
        <f>원천데이터!G2946</f>
        <v>0.48768214633460355</v>
      </c>
      <c r="P21" s="20">
        <f>원천데이터!G3212</f>
        <v>0.48992499077127621</v>
      </c>
      <c r="Q21" s="20">
        <f>원천데이터!G3478</f>
        <v>0.49000292209332036</v>
      </c>
      <c r="R21" s="20">
        <f t="shared" si="0"/>
        <v>0.49847550819218556</v>
      </c>
      <c r="S21" s="27">
        <f t="shared" si="1"/>
        <v>14</v>
      </c>
    </row>
    <row r="22" spans="1:19">
      <c r="A22" s="15" t="s">
        <v>21</v>
      </c>
      <c r="B22" s="15" t="s">
        <v>53</v>
      </c>
      <c r="C22" s="15" t="s">
        <v>54</v>
      </c>
      <c r="D22" s="20">
        <f>원천데이터!G22</f>
        <v>0.49245616094162059</v>
      </c>
      <c r="E22" s="20">
        <f>원천데이터!G285</f>
        <v>0.48894475724350211</v>
      </c>
      <c r="F22" s="20">
        <f>원천데이터!G548</f>
        <v>0.49039813753412353</v>
      </c>
      <c r="G22" s="20">
        <f>원천데이터!G815</f>
        <v>0.49337644481235421</v>
      </c>
      <c r="H22" s="20">
        <f>원천데이터!G1083</f>
        <v>0.49625046207021584</v>
      </c>
      <c r="I22" s="20">
        <f>원천데이터!G1351</f>
        <v>0.5005480906452302</v>
      </c>
      <c r="J22" s="20">
        <f>원천데이터!G1617</f>
        <v>0.50106029357157877</v>
      </c>
      <c r="K22" s="20">
        <f>원천데이터!G1883</f>
        <v>0.50216449270453423</v>
      </c>
      <c r="L22" s="20">
        <f>원천데이터!G2149</f>
        <v>0.49930109340054668</v>
      </c>
      <c r="M22" s="20">
        <f>원천데이터!G2415</f>
        <v>0.49959051713876229</v>
      </c>
      <c r="N22" s="20">
        <f>원천데이터!G2681</f>
        <v>0.49764427212840423</v>
      </c>
      <c r="O22" s="20">
        <f>원천데이터!G2947</f>
        <v>0.48987577529839588</v>
      </c>
      <c r="P22" s="20">
        <f>원천데이터!G3213</f>
        <v>0.49569947305796364</v>
      </c>
      <c r="Q22" s="20">
        <f>원천데이터!G3479</f>
        <v>0.4983775604304122</v>
      </c>
      <c r="R22" s="20">
        <f t="shared" si="0"/>
        <v>0.49612053792697458</v>
      </c>
      <c r="S22" s="27">
        <f t="shared" si="1"/>
        <v>14</v>
      </c>
    </row>
    <row r="23" spans="1:19">
      <c r="A23" s="15" t="s">
        <v>21</v>
      </c>
      <c r="B23" s="15" t="s">
        <v>55</v>
      </c>
      <c r="C23" s="15" t="s">
        <v>56</v>
      </c>
      <c r="D23" s="20">
        <f>원천데이터!G23</f>
        <v>0.48410947232342227</v>
      </c>
      <c r="E23" s="20">
        <f>원천데이터!G286</f>
        <v>0.47840910259366926</v>
      </c>
      <c r="F23" s="20">
        <f>원천데이터!G549</f>
        <v>0.47689250556575863</v>
      </c>
      <c r="G23" s="20">
        <f>원천데이터!G816</f>
        <v>0.47601803893552419</v>
      </c>
      <c r="H23" s="20">
        <f>원천데이터!G1084</f>
        <v>0.47992922786327474</v>
      </c>
      <c r="I23" s="20">
        <f>원천데이터!G1352</f>
        <v>0.48318482757785197</v>
      </c>
      <c r="J23" s="20">
        <f>원천데이터!G1618</f>
        <v>0.48139696276314997</v>
      </c>
      <c r="K23" s="20">
        <f>원천데이터!G1884</f>
        <v>0.48066075370129485</v>
      </c>
      <c r="L23" s="20">
        <f>원천데이터!G2150</f>
        <v>0.48658549216484293</v>
      </c>
      <c r="M23" s="20">
        <f>원천데이터!G2416</f>
        <v>0.48375897394530937</v>
      </c>
      <c r="N23" s="20">
        <f>원천데이터!G2682</f>
        <v>0.4870434988552933</v>
      </c>
      <c r="O23" s="20">
        <f>원천데이터!G2948</f>
        <v>0.47977323403821209</v>
      </c>
      <c r="P23" s="20">
        <f>원천데이터!G3214</f>
        <v>0.48395919266229787</v>
      </c>
      <c r="Q23" s="20">
        <f>원천데이터!G3480</f>
        <v>0.48600297911603474</v>
      </c>
      <c r="R23" s="20">
        <f t="shared" si="0"/>
        <v>0.48198030443613821</v>
      </c>
      <c r="S23" s="27">
        <f t="shared" si="1"/>
        <v>14</v>
      </c>
    </row>
    <row r="24" spans="1:19">
      <c r="A24" s="15" t="s">
        <v>21</v>
      </c>
      <c r="B24" s="15" t="s">
        <v>57</v>
      </c>
      <c r="C24" s="15" t="s">
        <v>58</v>
      </c>
      <c r="D24" s="20">
        <f>원천데이터!G24</f>
        <v>0.44494469315366836</v>
      </c>
      <c r="E24" s="20">
        <f>원천데이터!G287</f>
        <v>0.43841918922003792</v>
      </c>
      <c r="F24" s="20">
        <f>원천데이터!G550</f>
        <v>0.43806163190165642</v>
      </c>
      <c r="G24" s="20">
        <f>원천데이터!G817</f>
        <v>0.43901594965028451</v>
      </c>
      <c r="H24" s="20">
        <f>원천데이터!G1085</f>
        <v>0.43759959340639265</v>
      </c>
      <c r="I24" s="20">
        <f>원천데이터!G1353</f>
        <v>0.44255128826320078</v>
      </c>
      <c r="J24" s="20">
        <f>원천데이터!G1619</f>
        <v>0.44086863652545388</v>
      </c>
      <c r="K24" s="20">
        <f>원천데이터!G1885</f>
        <v>0.44387958532695376</v>
      </c>
      <c r="L24" s="20">
        <f>원천데이터!G2151</f>
        <v>0.44610148552083478</v>
      </c>
      <c r="M24" s="20">
        <f>원천데이터!G2417</f>
        <v>0.43892874416464078</v>
      </c>
      <c r="N24" s="20">
        <f>원천데이터!G2683</f>
        <v>0.44237834343705695</v>
      </c>
      <c r="O24" s="20">
        <f>원천데이터!G2949</f>
        <v>0.44150287575790637</v>
      </c>
      <c r="P24" s="20">
        <f>원천데이터!G3215</f>
        <v>0.44555349236388375</v>
      </c>
      <c r="Q24" s="20">
        <f>원천데이터!G3481</f>
        <v>0.44737391714490998</v>
      </c>
      <c r="R24" s="20">
        <f t="shared" si="0"/>
        <v>0.44194138755977719</v>
      </c>
      <c r="S24" s="27">
        <f t="shared" si="1"/>
        <v>14</v>
      </c>
    </row>
    <row r="25" spans="1:19">
      <c r="A25" s="15" t="s">
        <v>21</v>
      </c>
      <c r="B25" s="15" t="s">
        <v>59</v>
      </c>
      <c r="C25" s="15" t="s">
        <v>60</v>
      </c>
      <c r="D25" s="20">
        <f>원천데이터!G25</f>
        <v>0.46827647609322065</v>
      </c>
      <c r="E25" s="20">
        <f>원천데이터!G288</f>
        <v>0.46473327905348083</v>
      </c>
      <c r="F25" s="20">
        <f>원천데이터!G551</f>
        <v>0.46448158193569689</v>
      </c>
      <c r="G25" s="20">
        <f>원천데이터!G818</f>
        <v>0.4654300168634064</v>
      </c>
      <c r="H25" s="20">
        <f>원천데이터!G1086</f>
        <v>0.46654896553304154</v>
      </c>
      <c r="I25" s="20">
        <f>원천데이터!G1354</f>
        <v>0.46688566417749644</v>
      </c>
      <c r="J25" s="20">
        <f>원천데이터!G1620</f>
        <v>0.46602472161158959</v>
      </c>
      <c r="K25" s="20">
        <f>원천데이터!G1886</f>
        <v>0.46729831635612085</v>
      </c>
      <c r="L25" s="20">
        <f>원천데이터!G2152</f>
        <v>0.47193514970190015</v>
      </c>
      <c r="M25" s="20">
        <f>원천데이터!G2418</f>
        <v>0.4707841588904218</v>
      </c>
      <c r="N25" s="20">
        <f>원천데이터!G2684</f>
        <v>0.47501851569723857</v>
      </c>
      <c r="O25" s="20">
        <f>원천데이터!G2950</f>
        <v>0.46914680424679145</v>
      </c>
      <c r="P25" s="20">
        <f>원천데이터!G3216</f>
        <v>0.47185996081904769</v>
      </c>
      <c r="Q25" s="20">
        <f>원천데이터!G3482</f>
        <v>0.4703037446838757</v>
      </c>
      <c r="R25" s="20">
        <f t="shared" si="0"/>
        <v>0.46848052540452345</v>
      </c>
      <c r="S25" s="27">
        <f t="shared" si="1"/>
        <v>14</v>
      </c>
    </row>
    <row r="26" spans="1:19">
      <c r="A26" s="15" t="s">
        <v>21</v>
      </c>
      <c r="B26" s="15" t="s">
        <v>61</v>
      </c>
      <c r="C26" s="15" t="s">
        <v>62</v>
      </c>
      <c r="D26" s="20">
        <f>원천데이터!G26</f>
        <v>0.4622164450292961</v>
      </c>
      <c r="E26" s="20">
        <f>원천데이터!G289</f>
        <v>0.45835899358270632</v>
      </c>
      <c r="F26" s="20">
        <f>원천데이터!G552</f>
        <v>0.46050292418578864</v>
      </c>
      <c r="G26" s="20">
        <f>원천데이터!G819</f>
        <v>0.46474934205392676</v>
      </c>
      <c r="H26" s="20">
        <f>원천데이터!G1087</f>
        <v>0.46739136230575495</v>
      </c>
      <c r="I26" s="20">
        <f>원천데이터!G1355</f>
        <v>0.46891884468371275</v>
      </c>
      <c r="J26" s="20">
        <f>원천데이터!G1621</f>
        <v>0.4708380974864651</v>
      </c>
      <c r="K26" s="20">
        <f>원천데이터!G1887</f>
        <v>0.47042650564671901</v>
      </c>
      <c r="L26" s="20">
        <f>원천데이터!G2153</f>
        <v>0.47228574167134507</v>
      </c>
      <c r="M26" s="20">
        <f>원천데이터!G2419</f>
        <v>0.47444320128666828</v>
      </c>
      <c r="N26" s="20">
        <f>원천데이터!G2685</f>
        <v>0.46915508857683008</v>
      </c>
      <c r="O26" s="20">
        <f>원천데이터!G2951</f>
        <v>0.46704375585902863</v>
      </c>
      <c r="P26" s="20">
        <f>원천데이터!G3217</f>
        <v>0.47137506859778111</v>
      </c>
      <c r="Q26" s="20">
        <f>원천데이터!G3483</f>
        <v>0.47046964119574453</v>
      </c>
      <c r="R26" s="20">
        <f t="shared" si="0"/>
        <v>0.46772678658298339</v>
      </c>
      <c r="S26" s="27">
        <f t="shared" si="1"/>
        <v>14</v>
      </c>
    </row>
    <row r="27" spans="1:19">
      <c r="A27" s="15" t="s">
        <v>21</v>
      </c>
      <c r="B27" s="15" t="s">
        <v>63</v>
      </c>
      <c r="C27" s="15" t="s">
        <v>64</v>
      </c>
      <c r="D27" s="20">
        <f>원천데이터!G27</f>
        <v>0.52953404443969976</v>
      </c>
      <c r="E27" s="20">
        <f>원천데이터!G290</f>
        <v>0.52566955972481688</v>
      </c>
      <c r="F27" s="20">
        <f>원천데이터!G553</f>
        <v>0.52752293577981646</v>
      </c>
      <c r="G27" s="20">
        <f>원천데이터!G820</f>
        <v>0.53053109654321584</v>
      </c>
      <c r="H27" s="20">
        <f>원천데이터!G1088</f>
        <v>0.53052059944650409</v>
      </c>
      <c r="I27" s="20">
        <f>원천데이터!G1356</f>
        <v>0.53042541568716506</v>
      </c>
      <c r="J27" s="20">
        <f>원천데이터!G1622</f>
        <v>0.5344909661033086</v>
      </c>
      <c r="K27" s="20">
        <f>원천데이터!G1888</f>
        <v>0.53428149982699902</v>
      </c>
      <c r="L27" s="20">
        <f>원천데이터!G2154</f>
        <v>0.53638100173544156</v>
      </c>
      <c r="M27" s="20">
        <f>원천데이터!G2420</f>
        <v>0.53905896856379698</v>
      </c>
      <c r="N27" s="20">
        <f>원천데이터!G2686</f>
        <v>0.5356073056528885</v>
      </c>
      <c r="O27" s="20">
        <f>원천데이터!G2952</f>
        <v>0.51746369355893906</v>
      </c>
      <c r="P27" s="20">
        <f>원천데이터!G3218</f>
        <v>0.52391332298758808</v>
      </c>
      <c r="Q27" s="20">
        <f>원천데이터!G3484</f>
        <v>0.52902684932539146</v>
      </c>
      <c r="R27" s="20">
        <f t="shared" si="0"/>
        <v>0.53031623281254092</v>
      </c>
      <c r="S27" s="27">
        <f t="shared" si="1"/>
        <v>14</v>
      </c>
    </row>
    <row r="28" spans="1:19">
      <c r="A28" s="15" t="s">
        <v>21</v>
      </c>
      <c r="B28" s="15" t="s">
        <v>65</v>
      </c>
      <c r="C28" s="15" t="s">
        <v>66</v>
      </c>
      <c r="D28" s="20">
        <f>원천데이터!G28</f>
        <v>0.44070139427547655</v>
      </c>
      <c r="E28" s="20">
        <f>원천데이터!G291</f>
        <v>0.44264315578460928</v>
      </c>
      <c r="F28" s="20">
        <f>원천데이터!G554</f>
        <v>0.44007319042682963</v>
      </c>
      <c r="G28" s="20">
        <f>원천데이터!G821</f>
        <v>0.43969099139545725</v>
      </c>
      <c r="H28" s="20">
        <f>원천데이터!G1089</f>
        <v>0.44447667150072512</v>
      </c>
      <c r="I28" s="20">
        <f>원천데이터!G1357</f>
        <v>0.44652426523272065</v>
      </c>
      <c r="J28" s="20">
        <f>원천데이터!G1623</f>
        <v>0.44277362948145338</v>
      </c>
      <c r="K28" s="20">
        <f>원천데이터!G1889</f>
        <v>0.44342886473481902</v>
      </c>
      <c r="L28" s="20">
        <f>원천데이터!G2155</f>
        <v>0.44099506519858478</v>
      </c>
      <c r="M28" s="20">
        <f>원천데이터!G2421</f>
        <v>0.4299066837711038</v>
      </c>
      <c r="N28" s="20">
        <f>원천데이터!G2687</f>
        <v>0.42886354852337111</v>
      </c>
      <c r="O28" s="20">
        <f>원천데이터!G2953</f>
        <v>0.42804985824478053</v>
      </c>
      <c r="P28" s="20">
        <f>원천데이터!G3219</f>
        <v>0.43294161723741487</v>
      </c>
      <c r="Q28" s="20">
        <f>원천데이터!G3485</f>
        <v>0.43121627376005883</v>
      </c>
      <c r="R28" s="20">
        <f t="shared" si="0"/>
        <v>0.43802037211195755</v>
      </c>
      <c r="S28" s="27">
        <f t="shared" si="1"/>
        <v>14</v>
      </c>
    </row>
    <row r="29" spans="1:19">
      <c r="A29" s="15" t="s">
        <v>21</v>
      </c>
      <c r="B29" s="15" t="s">
        <v>67</v>
      </c>
      <c r="C29" s="15" t="s">
        <v>68</v>
      </c>
      <c r="D29" s="20">
        <f>원천데이터!G29</f>
        <v>0.5094704160233533</v>
      </c>
      <c r="E29" s="20">
        <f>원천데이터!G292</f>
        <v>0.50674375432768481</v>
      </c>
      <c r="F29" s="20">
        <f>원천데이터!G555</f>
        <v>0.50584542343995231</v>
      </c>
      <c r="G29" s="20">
        <f>원천데이터!G822</f>
        <v>0.50789552134114269</v>
      </c>
      <c r="H29" s="20">
        <f>원천데이터!G1090</f>
        <v>0.51158830593844662</v>
      </c>
      <c r="I29" s="20">
        <f>원천데이터!G1358</f>
        <v>0.50898734120574007</v>
      </c>
      <c r="J29" s="20">
        <f>원천데이터!G1624</f>
        <v>0.51179924175939906</v>
      </c>
      <c r="K29" s="20">
        <f>원천데이터!G1890</f>
        <v>0.510078119161395</v>
      </c>
      <c r="L29" s="20">
        <f>원천데이터!G2156</f>
        <v>0.5123037956778691</v>
      </c>
      <c r="M29" s="20">
        <f>원천데이터!G2422</f>
        <v>0.51635944158014924</v>
      </c>
      <c r="N29" s="20">
        <f>원천데이터!G2688</f>
        <v>0.51335415618987856</v>
      </c>
      <c r="O29" s="20">
        <f>원천데이터!G2954</f>
        <v>0.50530130650992611</v>
      </c>
      <c r="P29" s="20">
        <f>원천데이터!G3220</f>
        <v>0.50892793783707069</v>
      </c>
      <c r="Q29" s="20">
        <f>원천데이터!G3486</f>
        <v>0.51261676166047077</v>
      </c>
      <c r="R29" s="20">
        <f t="shared" si="0"/>
        <v>0.51009082304660569</v>
      </c>
      <c r="S29" s="27">
        <f t="shared" si="1"/>
        <v>14</v>
      </c>
    </row>
    <row r="30" spans="1:19">
      <c r="A30" s="15" t="s">
        <v>21</v>
      </c>
      <c r="B30" s="15" t="s">
        <v>69</v>
      </c>
      <c r="C30" s="15" t="s">
        <v>70</v>
      </c>
      <c r="D30" s="20">
        <f>원천데이터!G30</f>
        <v>0.49864747832223161</v>
      </c>
      <c r="E30" s="20">
        <f>원천데이터!G293</f>
        <v>0.4923462565092217</v>
      </c>
      <c r="F30" s="20">
        <f>원천데이터!G556</f>
        <v>0.489586911373809</v>
      </c>
      <c r="G30" s="20">
        <f>원천데이터!G823</f>
        <v>0.49594332864609586</v>
      </c>
      <c r="H30" s="20">
        <f>원천데이터!G1091</f>
        <v>0.50271334838965176</v>
      </c>
      <c r="I30" s="20">
        <f>원천데이터!G1359</f>
        <v>0.50175552114050537</v>
      </c>
      <c r="J30" s="20">
        <f>원천데이터!G1625</f>
        <v>0.50445780088840231</v>
      </c>
      <c r="K30" s="20">
        <f>원천데이터!G1891</f>
        <v>0.50838340014633598</v>
      </c>
      <c r="L30" s="20">
        <f>원천데이터!G2157</f>
        <v>0.51392986404696006</v>
      </c>
      <c r="M30" s="20">
        <f>원천데이터!G2423</f>
        <v>0.51906956236523871</v>
      </c>
      <c r="N30" s="20">
        <f>원천데이터!G2689</f>
        <v>0.52266555364181033</v>
      </c>
      <c r="O30" s="20">
        <f>원천데이터!G2955</f>
        <v>0.51250142427560108</v>
      </c>
      <c r="P30" s="20">
        <f>원천데이터!G3221</f>
        <v>0.51782345446104916</v>
      </c>
      <c r="Q30" s="20">
        <f>원천데이터!G3487</f>
        <v>0.51737350305337459</v>
      </c>
      <c r="R30" s="20">
        <f t="shared" si="0"/>
        <v>0.50694267194716336</v>
      </c>
      <c r="S30" s="27">
        <f t="shared" si="1"/>
        <v>14</v>
      </c>
    </row>
    <row r="31" spans="1:19">
      <c r="A31" s="15" t="s">
        <v>21</v>
      </c>
      <c r="B31" s="15" t="s">
        <v>71</v>
      </c>
      <c r="C31" s="15" t="s">
        <v>72</v>
      </c>
      <c r="D31" s="20">
        <f>원천데이터!G31</f>
        <v>0.45350440981693357</v>
      </c>
      <c r="E31" s="20">
        <f>원천데이터!G294</f>
        <v>0.44829875776290395</v>
      </c>
      <c r="F31" s="20">
        <f>원천데이터!G557</f>
        <v>0.45136719961941796</v>
      </c>
      <c r="G31" s="20">
        <f>원천데이터!G824</f>
        <v>0.45396949127948666</v>
      </c>
      <c r="H31" s="20">
        <f>원천데이터!G1092</f>
        <v>0.45392251543309936</v>
      </c>
      <c r="I31" s="20">
        <f>원천데이터!G1360</f>
        <v>0.45355672188193402</v>
      </c>
      <c r="J31" s="20">
        <f>원천데이터!G1626</f>
        <v>0.45435827158274295</v>
      </c>
      <c r="K31" s="20">
        <f>원천데이터!G1892</f>
        <v>0.45694272764730121</v>
      </c>
      <c r="L31" s="20">
        <f>원천데이터!G2158</f>
        <v>0.45838970540384094</v>
      </c>
      <c r="M31" s="20">
        <f>원천데이터!G2424</f>
        <v>0.45763829531791211</v>
      </c>
      <c r="N31" s="20">
        <f>원천데이터!G2690</f>
        <v>0.45624170256696722</v>
      </c>
      <c r="O31" s="20">
        <f>원천데이터!G2956</f>
        <v>0.45348449759544052</v>
      </c>
      <c r="P31" s="20">
        <f>원천데이터!G3222</f>
        <v>0.45508126844507391</v>
      </c>
      <c r="Q31" s="20">
        <f>원천데이터!G3488</f>
        <v>0.45282108433631496</v>
      </c>
      <c r="R31" s="20">
        <f t="shared" si="0"/>
        <v>0.45425547490638357</v>
      </c>
      <c r="S31" s="27">
        <f t="shared" si="1"/>
        <v>14</v>
      </c>
    </row>
    <row r="32" spans="1:19">
      <c r="A32" s="15" t="s">
        <v>73</v>
      </c>
      <c r="B32" s="15" t="s">
        <v>22</v>
      </c>
      <c r="C32" s="15" t="s">
        <v>73</v>
      </c>
      <c r="D32" s="20">
        <f>원천데이터!G32</f>
        <v>0.16627548331922962</v>
      </c>
      <c r="E32" s="20">
        <f>원천데이터!G295</f>
        <v>0.16776914202695908</v>
      </c>
      <c r="F32" s="20">
        <f>원천데이터!G558</f>
        <v>0.16864626807566446</v>
      </c>
      <c r="G32" s="20">
        <f>원천데이터!G825</f>
        <v>0.1709155878665756</v>
      </c>
      <c r="H32" s="20">
        <f>원천데이터!G1093</f>
        <v>0.17051811833733835</v>
      </c>
      <c r="I32" s="20">
        <f>원천데이터!G1361</f>
        <v>0.17360282842051455</v>
      </c>
      <c r="J32" s="20">
        <f>원천데이터!G1627</f>
        <v>0.17425843199853008</v>
      </c>
      <c r="K32" s="20">
        <f>원천데이터!G1893</f>
        <v>0.17346041221020608</v>
      </c>
      <c r="L32" s="20">
        <f>원천데이터!G2159</f>
        <v>0.17283885388396977</v>
      </c>
      <c r="M32" s="20">
        <f>원천데이터!G2425</f>
        <v>0.15876958460058641</v>
      </c>
      <c r="N32" s="20">
        <f>원천데이터!G2691</f>
        <v>0.16238656734211301</v>
      </c>
      <c r="O32" s="20">
        <f>원천데이터!G2957</f>
        <v>0.17867870736614322</v>
      </c>
      <c r="P32" s="20">
        <f>원천데이터!G3223</f>
        <v>0.17842422322961388</v>
      </c>
      <c r="Q32" s="20">
        <f>원천데이터!G3489</f>
        <v>0.17342271221252534</v>
      </c>
      <c r="R32" s="20">
        <f t="shared" si="0"/>
        <v>0.17071192292071213</v>
      </c>
      <c r="S32" s="27">
        <f t="shared" si="1"/>
        <v>14</v>
      </c>
    </row>
    <row r="33" spans="1:19">
      <c r="A33" s="15" t="s">
        <v>73</v>
      </c>
      <c r="B33" s="15" t="s">
        <v>29</v>
      </c>
      <c r="C33" s="15" t="s">
        <v>74</v>
      </c>
      <c r="D33" s="20">
        <f>원천데이터!G33</f>
        <v>0.6500752466417703</v>
      </c>
      <c r="E33" s="20">
        <f>원천데이터!G296</f>
        <v>0.63584483441652306</v>
      </c>
      <c r="F33" s="20">
        <f>원천데이터!G559</f>
        <v>0.63228839180787277</v>
      </c>
      <c r="G33" s="20">
        <f>원천데이터!G826</f>
        <v>0.61815878596727081</v>
      </c>
      <c r="H33" s="20">
        <f>원천데이터!G1094</f>
        <v>0.59827262214512866</v>
      </c>
      <c r="I33" s="20">
        <f>원천데이터!G1362</f>
        <v>0.58245115579621842</v>
      </c>
      <c r="J33" s="20">
        <f>원천데이터!G1628</f>
        <v>0.54927298555843818</v>
      </c>
      <c r="K33" s="20">
        <f>원천데이터!G1894</f>
        <v>0.54003736959568172</v>
      </c>
      <c r="L33" s="20">
        <f>원천데이터!G2160</f>
        <v>0.52480354123147321</v>
      </c>
      <c r="M33" s="20">
        <f>원천데이터!G2426</f>
        <v>0.51971217891259891</v>
      </c>
      <c r="N33" s="20">
        <f>원천데이터!G2692</f>
        <v>0.50267693367722233</v>
      </c>
      <c r="O33" s="20">
        <f>원천데이터!G2958</f>
        <v>0.48747141685140255</v>
      </c>
      <c r="P33" s="20">
        <f>원천데이터!G3224</f>
        <v>0.49098904012727596</v>
      </c>
      <c r="Q33" s="20">
        <f>원천데이터!G3490</f>
        <v>0.48786483152747828</v>
      </c>
      <c r="R33" s="20">
        <f t="shared" si="0"/>
        <v>0.55856566673259678</v>
      </c>
      <c r="S33" s="27">
        <f t="shared" si="1"/>
        <v>14</v>
      </c>
    </row>
    <row r="34" spans="1:19">
      <c r="A34" s="15" t="s">
        <v>73</v>
      </c>
      <c r="B34" s="15" t="s">
        <v>75</v>
      </c>
      <c r="C34" s="15" t="s">
        <v>76</v>
      </c>
      <c r="D34" s="20">
        <f>원천데이터!G34</f>
        <v>0.45135086229695309</v>
      </c>
      <c r="E34" s="20">
        <f>원천데이터!G297</f>
        <v>0.45443063236946496</v>
      </c>
      <c r="F34" s="20">
        <f>원천데이터!G560</f>
        <v>0.45524685847696217</v>
      </c>
      <c r="G34" s="20">
        <f>원천데이터!G827</f>
        <v>0.45956034046971705</v>
      </c>
      <c r="H34" s="20">
        <f>원천데이터!G1095</f>
        <v>0.46172607417191686</v>
      </c>
      <c r="I34" s="20">
        <f>원천데이터!G1363</f>
        <v>0.46536640465857154</v>
      </c>
      <c r="J34" s="20">
        <f>원천데이터!G1629</f>
        <v>0.47226307189542482</v>
      </c>
      <c r="K34" s="20">
        <f>원천데이터!G1895</f>
        <v>0.47361445815719083</v>
      </c>
      <c r="L34" s="20">
        <f>원천데이터!G2161</f>
        <v>0.47450374160362258</v>
      </c>
      <c r="M34" s="20">
        <f>원천데이터!G2427</f>
        <v>0.47275810648811439</v>
      </c>
      <c r="N34" s="20">
        <f>원천데이터!G2693</f>
        <v>0.47903351971492308</v>
      </c>
      <c r="O34" s="20">
        <f>원천데이터!G2959</f>
        <v>0.46906943436206322</v>
      </c>
      <c r="P34" s="20">
        <f>원천데이터!G3225</f>
        <v>0.47313362138681575</v>
      </c>
      <c r="Q34" s="20">
        <f>원천데이터!G3491</f>
        <v>0.4740146868971768</v>
      </c>
      <c r="R34" s="20">
        <f t="shared" si="0"/>
        <v>0.46686227235349398</v>
      </c>
      <c r="S34" s="27">
        <f t="shared" si="1"/>
        <v>14</v>
      </c>
    </row>
    <row r="35" spans="1:19">
      <c r="A35" s="15" t="s">
        <v>73</v>
      </c>
      <c r="B35" s="15" t="s">
        <v>77</v>
      </c>
      <c r="C35" s="15" t="s">
        <v>78</v>
      </c>
      <c r="D35" s="20">
        <f>원천데이터!G35</f>
        <v>0.49045531765895917</v>
      </c>
      <c r="E35" s="20">
        <f>원천데이터!G298</f>
        <v>0.47900170757348337</v>
      </c>
      <c r="F35" s="20">
        <f>원천데이터!G561</f>
        <v>0.47851666028140627</v>
      </c>
      <c r="G35" s="20">
        <f>원천데이터!G828</f>
        <v>0.46888127951198949</v>
      </c>
      <c r="H35" s="20">
        <f>원천데이터!G1096</f>
        <v>0.4553668322388208</v>
      </c>
      <c r="I35" s="20">
        <f>원천데이터!G1364</f>
        <v>0.45745148876008562</v>
      </c>
      <c r="J35" s="20">
        <f>원천데이터!G1630</f>
        <v>0.46256096196636265</v>
      </c>
      <c r="K35" s="20">
        <f>원천데이터!G1896</f>
        <v>0.44933716205946028</v>
      </c>
      <c r="L35" s="20">
        <f>원천데이터!G2162</f>
        <v>0.44777267630762685</v>
      </c>
      <c r="M35" s="20">
        <f>원천데이터!G2428</f>
        <v>0.44685089084228791</v>
      </c>
      <c r="N35" s="20">
        <f>원천데이터!G2694</f>
        <v>0.4398671850833813</v>
      </c>
      <c r="O35" s="20">
        <f>원천데이터!G2960</f>
        <v>0.4357877434811801</v>
      </c>
      <c r="P35" s="20">
        <f>원천데이터!G3226</f>
        <v>0.44031696139093734</v>
      </c>
      <c r="Q35" s="20">
        <f>원천데이터!G3492</f>
        <v>0.43231678737204976</v>
      </c>
      <c r="R35" s="20">
        <f t="shared" si="0"/>
        <v>0.45603454675200217</v>
      </c>
      <c r="S35" s="27">
        <f t="shared" si="1"/>
        <v>14</v>
      </c>
    </row>
    <row r="36" spans="1:19">
      <c r="A36" s="15" t="s">
        <v>73</v>
      </c>
      <c r="B36" s="15" t="s">
        <v>79</v>
      </c>
      <c r="C36" s="15" t="s">
        <v>80</v>
      </c>
      <c r="D36" s="20">
        <f>원천데이터!G36</f>
        <v>0.47000014160896103</v>
      </c>
      <c r="E36" s="20">
        <f>원천데이터!G299</f>
        <v>0.46863930578277257</v>
      </c>
      <c r="F36" s="20">
        <f>원천데이터!G562</f>
        <v>0.472436238201557</v>
      </c>
      <c r="G36" s="20">
        <f>원천데이터!G829</f>
        <v>0.47289177298620033</v>
      </c>
      <c r="H36" s="20">
        <f>원천데이터!G1097</f>
        <v>0.47409091991522395</v>
      </c>
      <c r="I36" s="20">
        <f>원천데이터!G1365</f>
        <v>0.47190046261213475</v>
      </c>
      <c r="J36" s="20">
        <f>원천데이터!G1631</f>
        <v>0.47166436810736789</v>
      </c>
      <c r="K36" s="20">
        <f>원천데이터!G1897</f>
        <v>0.47673644745598931</v>
      </c>
      <c r="L36" s="20">
        <f>원천데이터!G2163</f>
        <v>0.47434655412210447</v>
      </c>
      <c r="M36" s="20">
        <f>원천데이터!G2429</f>
        <v>0.47021231143815329</v>
      </c>
      <c r="N36" s="20">
        <f>원천데이터!G2695</f>
        <v>0.47274216399213537</v>
      </c>
      <c r="O36" s="20">
        <f>원천데이터!G2961</f>
        <v>0.46819353897051669</v>
      </c>
      <c r="P36" s="20">
        <f>원천데이터!G3227</f>
        <v>0.4689800783582922</v>
      </c>
      <c r="Q36" s="20">
        <f>원천데이터!G3493</f>
        <v>0.46818143394875417</v>
      </c>
      <c r="R36" s="20">
        <f t="shared" si="0"/>
        <v>0.47150112410715456</v>
      </c>
      <c r="S36" s="27">
        <f t="shared" si="1"/>
        <v>14</v>
      </c>
    </row>
    <row r="37" spans="1:19">
      <c r="A37" s="15" t="s">
        <v>73</v>
      </c>
      <c r="B37" s="15" t="s">
        <v>81</v>
      </c>
      <c r="C37" s="15" t="s">
        <v>82</v>
      </c>
      <c r="D37" s="20">
        <f>원천데이터!G37</f>
        <v>0.4840243451829026</v>
      </c>
      <c r="E37" s="20">
        <f>원천데이터!G300</f>
        <v>0.48455492981423887</v>
      </c>
      <c r="F37" s="20">
        <f>원천데이터!G563</f>
        <v>0.48429185905399291</v>
      </c>
      <c r="G37" s="20">
        <f>원천데이터!G830</f>
        <v>0.48536604865143795</v>
      </c>
      <c r="H37" s="20">
        <f>원천데이터!G1098</f>
        <v>0.48867580926896348</v>
      </c>
      <c r="I37" s="20">
        <f>원천데이터!G1366</f>
        <v>0.48949701146666869</v>
      </c>
      <c r="J37" s="20">
        <f>원천데이터!G1632</f>
        <v>0.4930713671798429</v>
      </c>
      <c r="K37" s="20">
        <f>원천데이터!G1898</f>
        <v>0.49152062663984275</v>
      </c>
      <c r="L37" s="20">
        <f>원천데이터!G2164</f>
        <v>0.4976709646931749</v>
      </c>
      <c r="M37" s="20">
        <f>원천데이터!G2430</f>
        <v>0.49753584917247523</v>
      </c>
      <c r="N37" s="20">
        <f>원천데이터!G2696</f>
        <v>0.5003340469791524</v>
      </c>
      <c r="O37" s="20">
        <f>원천데이터!G2962</f>
        <v>0.49194606676761121</v>
      </c>
      <c r="P37" s="20">
        <f>원천데이터!G3228</f>
        <v>0.50287998624484187</v>
      </c>
      <c r="Q37" s="20">
        <f>원천데이터!G3494</f>
        <v>0.50231576478864981</v>
      </c>
      <c r="R37" s="20">
        <f t="shared" si="0"/>
        <v>0.49240604827884255</v>
      </c>
      <c r="S37" s="27">
        <f t="shared" si="1"/>
        <v>14</v>
      </c>
    </row>
    <row r="38" spans="1:19">
      <c r="A38" s="15" t="s">
        <v>73</v>
      </c>
      <c r="B38" s="15" t="s">
        <v>83</v>
      </c>
      <c r="C38" s="15" t="s">
        <v>84</v>
      </c>
      <c r="D38" s="20">
        <f>원천데이터!G38</f>
        <v>0.47019880501853101</v>
      </c>
      <c r="E38" s="20">
        <f>원천데이터!G301</f>
        <v>0.46780771726552495</v>
      </c>
      <c r="F38" s="20">
        <f>원천데이터!G564</f>
        <v>0.47010111359239237</v>
      </c>
      <c r="G38" s="20">
        <f>원천데이터!G831</f>
        <v>0.4695806130352993</v>
      </c>
      <c r="H38" s="20">
        <f>원천데이터!G1099</f>
        <v>0.47155491872128069</v>
      </c>
      <c r="I38" s="20">
        <f>원천데이터!G1367</f>
        <v>0.46980299911790652</v>
      </c>
      <c r="J38" s="20">
        <f>원천데이터!G1633</f>
        <v>0.46834316261847253</v>
      </c>
      <c r="K38" s="20">
        <f>원천데이터!G1899</f>
        <v>0.46625647156463662</v>
      </c>
      <c r="L38" s="20">
        <f>원천데이터!G2165</f>
        <v>0.47185448439094652</v>
      </c>
      <c r="M38" s="20">
        <f>원천데이터!G2431</f>
        <v>0.46481146106294075</v>
      </c>
      <c r="N38" s="20">
        <f>원천데이터!G2697</f>
        <v>0.46656426899208481</v>
      </c>
      <c r="O38" s="20">
        <f>원천데이터!G2963</f>
        <v>0.46742637452706942</v>
      </c>
      <c r="P38" s="20">
        <f>원천데이터!G3229</f>
        <v>0.46462913439609166</v>
      </c>
      <c r="Q38" s="20">
        <f>원천데이터!G3495</f>
        <v>0.46560395336723076</v>
      </c>
      <c r="R38" s="20">
        <f t="shared" si="0"/>
        <v>0.46818110554788633</v>
      </c>
      <c r="S38" s="27">
        <f t="shared" si="1"/>
        <v>14</v>
      </c>
    </row>
    <row r="39" spans="1:19">
      <c r="A39" s="15" t="s">
        <v>73</v>
      </c>
      <c r="B39" s="15" t="s">
        <v>85</v>
      </c>
      <c r="C39" s="15" t="s">
        <v>86</v>
      </c>
      <c r="D39" s="20">
        <f>원천데이터!G39</f>
        <v>0.44356217298924744</v>
      </c>
      <c r="E39" s="20">
        <f>원천데이터!G302</f>
        <v>0.4384047452645915</v>
      </c>
      <c r="F39" s="20">
        <f>원천데이터!G565</f>
        <v>0.43765353709673332</v>
      </c>
      <c r="G39" s="20">
        <f>원천데이터!G832</f>
        <v>0.43935290506626223</v>
      </c>
      <c r="H39" s="20">
        <f>원천데이터!G1100</f>
        <v>0.44073496513178512</v>
      </c>
      <c r="I39" s="20">
        <f>원천데이터!G1368</f>
        <v>0.44154001728830544</v>
      </c>
      <c r="J39" s="20">
        <f>원천데이터!G1634</f>
        <v>0.44261192264474541</v>
      </c>
      <c r="K39" s="20">
        <f>원천데이터!G1900</f>
        <v>0.44182736031844361</v>
      </c>
      <c r="L39" s="20">
        <f>원천데이터!G2166</f>
        <v>0.44257130370342218</v>
      </c>
      <c r="M39" s="20">
        <f>원천데이터!G2432</f>
        <v>0.43894717300111391</v>
      </c>
      <c r="N39" s="20">
        <f>원천데이터!G2698</f>
        <v>0.44116983275874144</v>
      </c>
      <c r="O39" s="20">
        <f>원천데이터!G2964</f>
        <v>0.44646374038553704</v>
      </c>
      <c r="P39" s="20">
        <f>원천데이터!G3230</f>
        <v>0.44479425553035629</v>
      </c>
      <c r="Q39" s="20">
        <f>원천데이터!G3496</f>
        <v>0.44316768379170635</v>
      </c>
      <c r="R39" s="20">
        <f t="shared" si="0"/>
        <v>0.4416286867836422</v>
      </c>
      <c r="S39" s="27">
        <f t="shared" si="1"/>
        <v>14</v>
      </c>
    </row>
    <row r="40" spans="1:19">
      <c r="A40" s="15" t="s">
        <v>73</v>
      </c>
      <c r="B40" s="15" t="s">
        <v>87</v>
      </c>
      <c r="C40" s="15" t="s">
        <v>88</v>
      </c>
      <c r="D40" s="20">
        <f>원천데이터!G40</f>
        <v>0.40779060830487401</v>
      </c>
      <c r="E40" s="20">
        <f>원천데이터!G303</f>
        <v>0.41027398683035249</v>
      </c>
      <c r="F40" s="20">
        <f>원천데이터!G566</f>
        <v>0.40720120930684772</v>
      </c>
      <c r="G40" s="20">
        <f>원천데이터!G833</f>
        <v>0.41061389233073808</v>
      </c>
      <c r="H40" s="20">
        <f>원천데이터!G1101</f>
        <v>0.41830077196477489</v>
      </c>
      <c r="I40" s="20">
        <f>원천데이터!G1369</f>
        <v>0.41528189844182622</v>
      </c>
      <c r="J40" s="20">
        <f>원천데이터!G1635</f>
        <v>0.41352118116065312</v>
      </c>
      <c r="K40" s="20">
        <f>원천데이터!G1901</f>
        <v>0.41500944172198473</v>
      </c>
      <c r="L40" s="20">
        <f>원천데이터!G2167</f>
        <v>0.41567178276269184</v>
      </c>
      <c r="M40" s="20">
        <f>원천데이터!G2433</f>
        <v>0.40413524320494004</v>
      </c>
      <c r="N40" s="20">
        <f>원천데이터!G2699</f>
        <v>0.41222694902224455</v>
      </c>
      <c r="O40" s="20">
        <f>원천데이터!G2965</f>
        <v>0.41650739801884762</v>
      </c>
      <c r="P40" s="20">
        <f>원천데이터!G3231</f>
        <v>0.42050994757570853</v>
      </c>
      <c r="Q40" s="20">
        <f>원천데이터!G3497</f>
        <v>0.41985466874188337</v>
      </c>
      <c r="R40" s="20">
        <f t="shared" si="0"/>
        <v>0.41334992709916901</v>
      </c>
      <c r="S40" s="27">
        <f t="shared" si="1"/>
        <v>14</v>
      </c>
    </row>
    <row r="41" spans="1:19">
      <c r="A41" s="15" t="s">
        <v>73</v>
      </c>
      <c r="B41" s="15" t="s">
        <v>89</v>
      </c>
      <c r="C41" s="15" t="s">
        <v>90</v>
      </c>
      <c r="D41" s="20">
        <f>원천데이터!G41</f>
        <v>0.47367456064976221</v>
      </c>
      <c r="E41" s="20">
        <f>원천데이터!G304</f>
        <v>0.47401607084289932</v>
      </c>
      <c r="F41" s="20">
        <f>원천데이터!G567</f>
        <v>0.4761703046612844</v>
      </c>
      <c r="G41" s="20">
        <f>원천데이터!G834</f>
        <v>0.4764138591907115</v>
      </c>
      <c r="H41" s="20">
        <f>원천데이터!G1102</f>
        <v>0.48029174820198733</v>
      </c>
      <c r="I41" s="20">
        <f>원천데이터!G1370</f>
        <v>0.48349196736671313</v>
      </c>
      <c r="J41" s="20">
        <f>원천데이터!G1636</f>
        <v>0.48504996834519065</v>
      </c>
      <c r="K41" s="20">
        <f>원천데이터!G1902</f>
        <v>0.48564356290109684</v>
      </c>
      <c r="L41" s="20">
        <f>원천데이터!G2168</f>
        <v>0.48736933405762956</v>
      </c>
      <c r="M41" s="20">
        <f>원천데이터!G2434</f>
        <v>0.49267463854069821</v>
      </c>
      <c r="N41" s="20">
        <f>원천데이터!G2700</f>
        <v>0.49199072964117319</v>
      </c>
      <c r="O41" s="20">
        <f>원천데이터!G2966</f>
        <v>0.48226850677820587</v>
      </c>
      <c r="P41" s="20">
        <f>원천데이터!G3232</f>
        <v>0.48260254421730797</v>
      </c>
      <c r="Q41" s="20">
        <f>원천데이터!G3498</f>
        <v>0.48010786380295867</v>
      </c>
      <c r="R41" s="20">
        <f t="shared" si="0"/>
        <v>0.4822689756569728</v>
      </c>
      <c r="S41" s="27">
        <f t="shared" si="1"/>
        <v>14</v>
      </c>
    </row>
    <row r="42" spans="1:19">
      <c r="A42" s="15" t="s">
        <v>73</v>
      </c>
      <c r="B42" s="15" t="s">
        <v>91</v>
      </c>
      <c r="C42" s="15" t="s">
        <v>92</v>
      </c>
      <c r="D42" s="20">
        <f>원천데이터!G42</f>
        <v>0.40730005954768067</v>
      </c>
      <c r="E42" s="20">
        <f>원천데이터!G305</f>
        <v>0.41446646646646645</v>
      </c>
      <c r="F42" s="20">
        <f>원천데이터!G568</f>
        <v>0.41187765571192914</v>
      </c>
      <c r="G42" s="20">
        <f>원천데이터!G835</f>
        <v>0.41437035432322566</v>
      </c>
      <c r="H42" s="20">
        <f>원천데이터!G1103</f>
        <v>0.41657053352346712</v>
      </c>
      <c r="I42" s="20">
        <f>원천데이터!G1371</f>
        <v>0.41945878019895294</v>
      </c>
      <c r="J42" s="20">
        <f>원천데이터!G1637</f>
        <v>0.42352550935263955</v>
      </c>
      <c r="K42" s="20">
        <f>원천데이터!G1903</f>
        <v>0.42219732295894885</v>
      </c>
      <c r="L42" s="20">
        <f>원천데이터!G2169</f>
        <v>0.42430251032729582</v>
      </c>
      <c r="M42" s="20">
        <f>원천데이터!G2435</f>
        <v>0.42161762945530185</v>
      </c>
      <c r="N42" s="20">
        <f>원천데이터!G2701</f>
        <v>0.42631619177798863</v>
      </c>
      <c r="O42" s="20">
        <f>원천데이터!G2967</f>
        <v>0.4291914531340576</v>
      </c>
      <c r="P42" s="20">
        <f>원천데이터!G3233</f>
        <v>0.4286518984151198</v>
      </c>
      <c r="Q42" s="20">
        <f>원천데이터!G3499</f>
        <v>0.42449205837751602</v>
      </c>
      <c r="R42" s="20">
        <f t="shared" si="0"/>
        <v>0.42030988739789932</v>
      </c>
      <c r="S42" s="27">
        <f t="shared" si="1"/>
        <v>14</v>
      </c>
    </row>
    <row r="43" spans="1:19">
      <c r="A43" s="15" t="s">
        <v>73</v>
      </c>
      <c r="B43" s="15" t="s">
        <v>93</v>
      </c>
      <c r="C43" s="15" t="s">
        <v>94</v>
      </c>
      <c r="D43" s="20">
        <f>원천데이터!G43</f>
        <v>0.49425916717416934</v>
      </c>
      <c r="E43" s="20">
        <f>원천데이터!G306</f>
        <v>0.48951195954775295</v>
      </c>
      <c r="F43" s="20">
        <f>원천데이터!G569</f>
        <v>0.49306244949786449</v>
      </c>
      <c r="G43" s="20">
        <f>원천데이터!G836</f>
        <v>0.49769959404600811</v>
      </c>
      <c r="H43" s="20">
        <f>원천데이터!G1104</f>
        <v>0.49459377761242618</v>
      </c>
      <c r="I43" s="20">
        <f>원천데이터!G1372</f>
        <v>0.49209849753520296</v>
      </c>
      <c r="J43" s="20">
        <f>원천데이터!G1638</f>
        <v>0.49083722385329931</v>
      </c>
      <c r="K43" s="20">
        <f>원천데이터!G1904</f>
        <v>0.49423268029528677</v>
      </c>
      <c r="L43" s="20">
        <f>원천데이터!G2170</f>
        <v>0.49081462908941875</v>
      </c>
      <c r="M43" s="20">
        <f>원천데이터!G2436</f>
        <v>0.49078212465601434</v>
      </c>
      <c r="N43" s="20">
        <f>원천데이터!G2702</f>
        <v>0.48868834759381652</v>
      </c>
      <c r="O43" s="20">
        <f>원천데이터!G2968</f>
        <v>0.48507189573347814</v>
      </c>
      <c r="P43" s="20">
        <f>원천데이터!G3234</f>
        <v>0.49102571752491198</v>
      </c>
      <c r="Q43" s="20">
        <f>원천데이터!G3500</f>
        <v>0.49666365658389949</v>
      </c>
      <c r="R43" s="20">
        <f t="shared" si="0"/>
        <v>0.49209583719596789</v>
      </c>
      <c r="S43" s="27">
        <f t="shared" si="1"/>
        <v>14</v>
      </c>
    </row>
    <row r="44" spans="1:19">
      <c r="A44" s="15" t="s">
        <v>73</v>
      </c>
      <c r="B44" s="15" t="s">
        <v>95</v>
      </c>
      <c r="C44" s="15" t="s">
        <v>96</v>
      </c>
      <c r="D44" s="20">
        <f>원천데이터!G44</f>
        <v>0.48872307819585009</v>
      </c>
      <c r="E44" s="20">
        <f>원천데이터!G307</f>
        <v>0.48641590318187444</v>
      </c>
      <c r="F44" s="20">
        <f>원천데이터!G570</f>
        <v>0.48958862168347222</v>
      </c>
      <c r="G44" s="20">
        <f>원천데이터!G837</f>
        <v>0.49577626569399702</v>
      </c>
      <c r="H44" s="20">
        <f>원천데이터!G1105</f>
        <v>0.496938664424315</v>
      </c>
      <c r="I44" s="20">
        <f>원천데이터!G1373</f>
        <v>0.49608852137184328</v>
      </c>
      <c r="J44" s="20">
        <f>원천데이터!G1639</f>
        <v>0.49326573709467308</v>
      </c>
      <c r="K44" s="20">
        <f>원천데이터!G1905</f>
        <v>0.48988200701172391</v>
      </c>
      <c r="L44" s="20">
        <f>원천데이터!G2171</f>
        <v>0.49059277039426336</v>
      </c>
      <c r="M44" s="20">
        <f>원천데이터!G2437</f>
        <v>0.49447154535051302</v>
      </c>
      <c r="N44" s="20">
        <f>원천데이터!G2703</f>
        <v>0.49195676424202794</v>
      </c>
      <c r="O44" s="20">
        <f>원천데이터!G2969</f>
        <v>0.48551733591123553</v>
      </c>
      <c r="P44" s="20">
        <f>원천데이터!G3235</f>
        <v>0.48595816179572598</v>
      </c>
      <c r="Q44" s="20">
        <f>원천데이터!G3501</f>
        <v>0.48173440444902099</v>
      </c>
      <c r="R44" s="20">
        <f t="shared" si="0"/>
        <v>0.49049355577146686</v>
      </c>
      <c r="S44" s="27">
        <f t="shared" si="1"/>
        <v>14</v>
      </c>
    </row>
    <row r="45" spans="1:19">
      <c r="A45" s="15" t="s">
        <v>73</v>
      </c>
      <c r="B45" s="15" t="s">
        <v>97</v>
      </c>
      <c r="C45" s="15" t="s">
        <v>98</v>
      </c>
      <c r="D45" s="20">
        <f>원천데이터!G45</f>
        <v>0.49872204986416757</v>
      </c>
      <c r="E45" s="20">
        <f>원천데이터!G308</f>
        <v>0.49653244741171398</v>
      </c>
      <c r="F45" s="20">
        <f>원천데이터!G571</f>
        <v>0.49994838842868572</v>
      </c>
      <c r="G45" s="20">
        <f>원천데이터!G838</f>
        <v>0.50111016061284708</v>
      </c>
      <c r="H45" s="20">
        <f>원천데이터!G1106</f>
        <v>0.50750822464029965</v>
      </c>
      <c r="I45" s="20">
        <f>원천데이터!G1374</f>
        <v>0.50421521415956194</v>
      </c>
      <c r="J45" s="20">
        <f>원천데이터!G1640</f>
        <v>0.50459701794544287</v>
      </c>
      <c r="K45" s="20">
        <f>원천데이터!G1906</f>
        <v>0.5065481860915465</v>
      </c>
      <c r="L45" s="20">
        <f>원천데이터!G2172</f>
        <v>0.5065961758527836</v>
      </c>
      <c r="M45" s="20">
        <f>원천데이터!G2438</f>
        <v>0.50742993432959305</v>
      </c>
      <c r="N45" s="20">
        <f>원천데이터!G2704</f>
        <v>0.5085194177056136</v>
      </c>
      <c r="O45" s="20">
        <f>원천데이터!G2970</f>
        <v>0.493774240865337</v>
      </c>
      <c r="P45" s="20">
        <f>원천데이터!G3236</f>
        <v>0.50383627864416369</v>
      </c>
      <c r="Q45" s="20">
        <f>원천데이터!G3502</f>
        <v>0.50357321069541183</v>
      </c>
      <c r="R45" s="20">
        <f t="shared" si="0"/>
        <v>0.50306506766051207</v>
      </c>
      <c r="S45" s="27">
        <f t="shared" si="1"/>
        <v>14</v>
      </c>
    </row>
    <row r="46" spans="1:19">
      <c r="A46" s="15" t="s">
        <v>73</v>
      </c>
      <c r="B46" s="15" t="s">
        <v>99</v>
      </c>
      <c r="C46" s="15" t="s">
        <v>100</v>
      </c>
      <c r="D46" s="20">
        <f>원천데이터!G46</f>
        <v>0.43338964435404037</v>
      </c>
      <c r="E46" s="20">
        <f>원천데이터!G309</f>
        <v>0.43110565827119274</v>
      </c>
      <c r="F46" s="20">
        <f>원천데이터!G572</f>
        <v>0.43513120285622892</v>
      </c>
      <c r="G46" s="20">
        <f>원천데이터!G839</f>
        <v>0.43954179929636455</v>
      </c>
      <c r="H46" s="20">
        <f>원천데이터!G1107</f>
        <v>0.44369317849334233</v>
      </c>
      <c r="I46" s="20">
        <f>원천데이터!G1375</f>
        <v>0.44539019272155467</v>
      </c>
      <c r="J46" s="20">
        <f>원천데이터!G1641</f>
        <v>0.44506082404648634</v>
      </c>
      <c r="K46" s="20">
        <f>원천데이터!G1907</f>
        <v>0.44724568470147175</v>
      </c>
      <c r="L46" s="20">
        <f>원천데이터!G2173</f>
        <v>0.44994518295189806</v>
      </c>
      <c r="M46" s="20">
        <f>원천데이터!G2439</f>
        <v>0.44625233071564357</v>
      </c>
      <c r="N46" s="20">
        <f>원천데이터!G2705</f>
        <v>0.4507497688137273</v>
      </c>
      <c r="O46" s="20">
        <f>원천데이터!G2971</f>
        <v>0.45230390432641576</v>
      </c>
      <c r="P46" s="20">
        <f>원천데이터!G3237</f>
        <v>0.45426296251945875</v>
      </c>
      <c r="Q46" s="20">
        <f>원천데이터!G3503</f>
        <v>0.45249423743020201</v>
      </c>
      <c r="R46" s="20">
        <f t="shared" si="0"/>
        <v>0.44475475510700196</v>
      </c>
      <c r="S46" s="27">
        <f t="shared" si="1"/>
        <v>14</v>
      </c>
    </row>
    <row r="47" spans="1:19">
      <c r="A47" s="15" t="s">
        <v>73</v>
      </c>
      <c r="B47" s="15" t="s">
        <v>69</v>
      </c>
      <c r="C47" s="15" t="s">
        <v>101</v>
      </c>
      <c r="D47" s="20">
        <f>원천데이터!G47</f>
        <v>0.50026235242675998</v>
      </c>
      <c r="E47" s="20">
        <f>원천데이터!G310</f>
        <v>0.49660508217740995</v>
      </c>
      <c r="F47" s="20">
        <f>원천데이터!G573</f>
        <v>0.49813756770794687</v>
      </c>
      <c r="G47" s="20">
        <f>원천데이터!G840</f>
        <v>0.5051676516883965</v>
      </c>
      <c r="H47" s="20">
        <f>원천데이터!G1108</f>
        <v>0.51998418254514567</v>
      </c>
      <c r="I47" s="20">
        <f>원천데이터!G1376</f>
        <v>0.50761930833105207</v>
      </c>
      <c r="J47" s="20">
        <f>원천데이터!G1642</f>
        <v>0.51396019302221607</v>
      </c>
      <c r="K47" s="20">
        <f>원천데이터!G1908</f>
        <v>0.51540496443789696</v>
      </c>
      <c r="L47" s="20">
        <f>원천데이터!G2174</f>
        <v>0.52274395888530656</v>
      </c>
      <c r="M47" s="20">
        <f>원천데이터!G2440</f>
        <v>0.52343344767004096</v>
      </c>
      <c r="N47" s="20">
        <f>원천데이터!G2706</f>
        <v>0.52841437491696563</v>
      </c>
      <c r="O47" s="20">
        <f>원천데이터!G2972</f>
        <v>0.52021266404828048</v>
      </c>
      <c r="P47" s="20">
        <f>원천데이터!G3238</f>
        <v>0.51986602745123789</v>
      </c>
      <c r="Q47" s="20">
        <f>원천데이터!G3504</f>
        <v>0.5246275256820192</v>
      </c>
      <c r="R47" s="20">
        <f t="shared" si="0"/>
        <v>0.51403137864219106</v>
      </c>
      <c r="S47" s="27">
        <f t="shared" si="1"/>
        <v>14</v>
      </c>
    </row>
    <row r="48" spans="1:19">
      <c r="A48" s="15" t="s">
        <v>73</v>
      </c>
      <c r="B48" s="15" t="s">
        <v>102</v>
      </c>
      <c r="C48" s="15" t="s">
        <v>103</v>
      </c>
      <c r="D48" s="20">
        <f>원천데이터!G48</f>
        <v>0.44139740133197891</v>
      </c>
      <c r="E48" s="20">
        <f>원천데이터!G311</f>
        <v>0.43711034109118407</v>
      </c>
      <c r="F48" s="20">
        <f>원천데이터!G574</f>
        <v>0.43783159335957555</v>
      </c>
      <c r="G48" s="20">
        <f>원천데이터!G841</f>
        <v>0.43547879760020686</v>
      </c>
      <c r="H48" s="20">
        <f>원천데이터!G1109</f>
        <v>0.43752201134807278</v>
      </c>
      <c r="I48" s="20">
        <f>원천데이터!G1377</f>
        <v>0.43384133337707931</v>
      </c>
      <c r="J48" s="20">
        <f>원천데이터!G1643</f>
        <v>0.43221703348899532</v>
      </c>
      <c r="K48" s="20">
        <f>원천데이터!G1909</f>
        <v>0.43231369752785104</v>
      </c>
      <c r="L48" s="20">
        <f>원천데이터!G2175</f>
        <v>0.432380639141904</v>
      </c>
      <c r="M48" s="20">
        <f>원천데이터!G2441</f>
        <v>0.42814100419372941</v>
      </c>
      <c r="N48" s="20">
        <f>원천데이터!G2707</f>
        <v>0.43002136752136755</v>
      </c>
      <c r="O48" s="20">
        <f>원천데이터!G2973</f>
        <v>0.42952199342353514</v>
      </c>
      <c r="P48" s="20">
        <f>원천데이터!G3239</f>
        <v>0.43012898918505815</v>
      </c>
      <c r="Q48" s="20">
        <f>원천데이터!G3505</f>
        <v>0.43041476752391478</v>
      </c>
      <c r="R48" s="20">
        <f t="shared" si="0"/>
        <v>0.43345149786531806</v>
      </c>
      <c r="S48" s="27">
        <f t="shared" si="1"/>
        <v>14</v>
      </c>
    </row>
    <row r="49" spans="1:19">
      <c r="A49" s="15" t="s">
        <v>104</v>
      </c>
      <c r="B49" s="15" t="s">
        <v>22</v>
      </c>
      <c r="C49" s="15" t="s">
        <v>104</v>
      </c>
      <c r="D49" s="20">
        <f>원천데이터!G49</f>
        <v>0.16524839355837473</v>
      </c>
      <c r="E49" s="20">
        <f>원천데이터!G312</f>
        <v>0.16299644342351363</v>
      </c>
      <c r="F49" s="20">
        <f>원천데이터!G575</f>
        <v>0.16263102797125942</v>
      </c>
      <c r="G49" s="20">
        <f>원천데이터!G842</f>
        <v>0.16424244410235528</v>
      </c>
      <c r="H49" s="20">
        <f>원천데이터!G1110</f>
        <v>0.16583886225226591</v>
      </c>
      <c r="I49" s="20">
        <f>원천데이터!G1378</f>
        <v>0.16668543520211884</v>
      </c>
      <c r="J49" s="20">
        <f>원천데이터!G1644</f>
        <v>0.1658485841952482</v>
      </c>
      <c r="K49" s="20">
        <f>원천데이터!G1910</f>
        <v>0.16693080869929727</v>
      </c>
      <c r="L49" s="20">
        <f>원천데이터!G2176</f>
        <v>0.16726686051106088</v>
      </c>
      <c r="M49" s="20">
        <f>원천데이터!G2442</f>
        <v>0.15180971606332477</v>
      </c>
      <c r="N49" s="20">
        <f>원천데이터!G2708</f>
        <v>0.14899930024238428</v>
      </c>
      <c r="O49" s="20">
        <f>원천데이터!G2974</f>
        <v>0.1687364377564011</v>
      </c>
      <c r="P49" s="20">
        <f>원천데이터!G3240</f>
        <v>0.17115851585733743</v>
      </c>
      <c r="Q49" s="20">
        <f>원천데이터!G3506</f>
        <v>0.16933091533268385</v>
      </c>
      <c r="R49" s="20">
        <f t="shared" si="0"/>
        <v>0.16412312465483042</v>
      </c>
      <c r="S49" s="27">
        <f t="shared" si="1"/>
        <v>14</v>
      </c>
    </row>
    <row r="50" spans="1:19">
      <c r="A50" s="15" t="s">
        <v>104</v>
      </c>
      <c r="B50" s="15" t="s">
        <v>105</v>
      </c>
      <c r="C50" s="15" t="s">
        <v>106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>
        <f>원천데이터!G3241</f>
        <v>0.57176693510184751</v>
      </c>
      <c r="Q50" s="20">
        <f>원천데이터!G3507</f>
        <v>0.57504489865731634</v>
      </c>
      <c r="R50" s="20">
        <f t="shared" si="0"/>
        <v>0.57340591687958198</v>
      </c>
      <c r="S50" s="27">
        <f t="shared" si="1"/>
        <v>2</v>
      </c>
    </row>
    <row r="51" spans="1:19">
      <c r="A51" s="15" t="s">
        <v>104</v>
      </c>
      <c r="B51" s="15" t="s">
        <v>79</v>
      </c>
      <c r="C51" s="15" t="s">
        <v>107</v>
      </c>
      <c r="D51" s="20">
        <f>원천데이터!G50</f>
        <v>0.51469351779266193</v>
      </c>
      <c r="E51" s="20">
        <f>원천데이터!G313</f>
        <v>0.51636228344036628</v>
      </c>
      <c r="F51" s="20">
        <f>원천데이터!G576</f>
        <v>0.51210435182221781</v>
      </c>
      <c r="G51" s="20">
        <f>원천데이터!G843</f>
        <v>0.51135196240629421</v>
      </c>
      <c r="H51" s="20">
        <f>원천데이터!G1111</f>
        <v>0.51180759056398906</v>
      </c>
      <c r="I51" s="20">
        <f>원천데이터!G1379</f>
        <v>0.51227263420127633</v>
      </c>
      <c r="J51" s="20">
        <f>원천데이터!G1645</f>
        <v>0.51681560697162443</v>
      </c>
      <c r="K51" s="20">
        <f>원천데이터!G1911</f>
        <v>0.51704649599804486</v>
      </c>
      <c r="L51" s="20">
        <f>원천데이터!G2177</f>
        <v>0.522775736027557</v>
      </c>
      <c r="M51" s="20">
        <f>원천데이터!G2443</f>
        <v>0.52497304732517935</v>
      </c>
      <c r="N51" s="20">
        <f>원천데이터!G2709</f>
        <v>0.52229821022043721</v>
      </c>
      <c r="O51" s="20">
        <f>원천데이터!G2975</f>
        <v>0.51233425637929753</v>
      </c>
      <c r="P51" s="20">
        <f>원천데이터!G3242</f>
        <v>0.51497755505427756</v>
      </c>
      <c r="Q51" s="20">
        <f>원천데이터!G3508</f>
        <v>0.51897049649978055</v>
      </c>
      <c r="R51" s="20">
        <f t="shared" si="0"/>
        <v>0.51634169605021452</v>
      </c>
      <c r="S51" s="27">
        <f t="shared" si="1"/>
        <v>14</v>
      </c>
    </row>
    <row r="52" spans="1:19">
      <c r="A52" s="15" t="s">
        <v>104</v>
      </c>
      <c r="B52" s="15" t="s">
        <v>108</v>
      </c>
      <c r="C52" s="15" t="s">
        <v>109</v>
      </c>
      <c r="D52" s="20">
        <f>원천데이터!G51</f>
        <v>0.41179293739221784</v>
      </c>
      <c r="E52" s="20">
        <f>원천데이터!G314</f>
        <v>0.41301469987797068</v>
      </c>
      <c r="F52" s="20">
        <f>원천데이터!G577</f>
        <v>0.42012025090923488</v>
      </c>
      <c r="G52" s="20">
        <f>원천데이터!G844</f>
        <v>0.4230719545278388</v>
      </c>
      <c r="H52" s="20">
        <f>원천데이터!G1112</f>
        <v>0.42608889634993402</v>
      </c>
      <c r="I52" s="20">
        <f>원천데이터!G1380</f>
        <v>0.4292113368560852</v>
      </c>
      <c r="J52" s="20">
        <f>원천데이터!G1646</f>
        <v>0.42916738489374673</v>
      </c>
      <c r="K52" s="20">
        <f>원천데이터!G1912</f>
        <v>0.43115374485368524</v>
      </c>
      <c r="L52" s="20">
        <f>원천데이터!G2178</f>
        <v>0.42858922490322204</v>
      </c>
      <c r="M52" s="20">
        <f>원천데이터!G2444</f>
        <v>0.42069987108290363</v>
      </c>
      <c r="N52" s="20">
        <f>원천데이터!G2710</f>
        <v>0.42541884964642485</v>
      </c>
      <c r="O52" s="20">
        <f>원천데이터!G2976</f>
        <v>0.42907395739098703</v>
      </c>
      <c r="P52" s="20">
        <f>원천데이터!G3243</f>
        <v>0.4258539927774242</v>
      </c>
      <c r="Q52" s="20">
        <f>원천데이터!G3509</f>
        <v>0.42682307843352768</v>
      </c>
      <c r="R52" s="20">
        <f t="shared" si="0"/>
        <v>0.42429144142108582</v>
      </c>
      <c r="S52" s="27">
        <f t="shared" si="1"/>
        <v>14</v>
      </c>
    </row>
    <row r="53" spans="1:19">
      <c r="A53" s="15" t="s">
        <v>104</v>
      </c>
      <c r="B53" s="15" t="s">
        <v>110</v>
      </c>
      <c r="C53" s="15" t="s">
        <v>111</v>
      </c>
      <c r="D53" s="20">
        <f>원천데이터!G52</f>
        <v>0.4925461664658205</v>
      </c>
      <c r="E53" s="20">
        <f>원천데이터!G315</f>
        <v>0.48664545576295909</v>
      </c>
      <c r="F53" s="20">
        <f>원천데이터!G578</f>
        <v>0.48464356564676581</v>
      </c>
      <c r="G53" s="20">
        <f>원천데이터!G845</f>
        <v>0.48581084686671766</v>
      </c>
      <c r="H53" s="20">
        <f>원천데이터!G1113</f>
        <v>0.49251192910702113</v>
      </c>
      <c r="I53" s="20">
        <f>원천데이터!G1381</f>
        <v>0.49943011888642552</v>
      </c>
      <c r="J53" s="20">
        <f>원천데이터!G1647</f>
        <v>0.49412679725331216</v>
      </c>
      <c r="K53" s="20">
        <f>원천데이터!G1913</f>
        <v>0.48349256289247849</v>
      </c>
      <c r="L53" s="20">
        <f>원천데이터!G2179</f>
        <v>0.48581301840861879</v>
      </c>
      <c r="M53" s="20">
        <f>원천데이터!G2445</f>
        <v>0.48257311870066161</v>
      </c>
      <c r="N53" s="20">
        <f>원천데이터!G2711</f>
        <v>0.48253100297697982</v>
      </c>
      <c r="O53" s="20">
        <f>원천데이터!G2977</f>
        <v>0.47678649497007952</v>
      </c>
      <c r="P53" s="20">
        <f>원천데이터!G3244</f>
        <v>0.47340497216015887</v>
      </c>
      <c r="Q53" s="20">
        <f>원천데이터!G3510</f>
        <v>0.46860962644583248</v>
      </c>
      <c r="R53" s="20">
        <f t="shared" si="0"/>
        <v>0.48492326261027369</v>
      </c>
      <c r="S53" s="27">
        <f t="shared" si="1"/>
        <v>14</v>
      </c>
    </row>
    <row r="54" spans="1:19">
      <c r="A54" s="15" t="s">
        <v>104</v>
      </c>
      <c r="B54" s="15" t="s">
        <v>81</v>
      </c>
      <c r="C54" s="15" t="s">
        <v>112</v>
      </c>
      <c r="D54" s="20">
        <f>원천데이터!G53</f>
        <v>0.45243231957686686</v>
      </c>
      <c r="E54" s="20">
        <f>원천데이터!G316</f>
        <v>0.45237979276504037</v>
      </c>
      <c r="F54" s="20">
        <f>원천데이터!G579</f>
        <v>0.45666157368976151</v>
      </c>
      <c r="G54" s="20">
        <f>원천데이터!G846</f>
        <v>0.45625173588699425</v>
      </c>
      <c r="H54" s="20">
        <f>원천데이터!G1114</f>
        <v>0.45527352178493813</v>
      </c>
      <c r="I54" s="20">
        <f>원천데이터!G1382</f>
        <v>0.45424444431684857</v>
      </c>
      <c r="J54" s="20">
        <f>원천데이터!G1648</f>
        <v>0.45371720676051147</v>
      </c>
      <c r="K54" s="20">
        <f>원천데이터!G1914</f>
        <v>0.45367758281651793</v>
      </c>
      <c r="L54" s="20">
        <f>원천데이터!G2180</f>
        <v>0.45398113608800861</v>
      </c>
      <c r="M54" s="20">
        <f>원천데이터!G2446</f>
        <v>0.45052867728795915</v>
      </c>
      <c r="N54" s="20">
        <f>원천데이터!G2712</f>
        <v>0.45740986620365642</v>
      </c>
      <c r="O54" s="20">
        <f>원천데이터!G2978</f>
        <v>0.45519462154303447</v>
      </c>
      <c r="P54" s="20">
        <f>원천데이터!G3245</f>
        <v>0.45858944182293465</v>
      </c>
      <c r="Q54" s="20">
        <f>원천데이터!G3511</f>
        <v>0.46101792178804257</v>
      </c>
      <c r="R54" s="20">
        <f t="shared" si="0"/>
        <v>0.45509713159507964</v>
      </c>
      <c r="S54" s="27">
        <f t="shared" si="1"/>
        <v>14</v>
      </c>
    </row>
    <row r="55" spans="1:19">
      <c r="A55" s="15" t="s">
        <v>104</v>
      </c>
      <c r="B55" s="15" t="s">
        <v>87</v>
      </c>
      <c r="C55" s="15" t="s">
        <v>113</v>
      </c>
      <c r="D55" s="20">
        <f>원천데이터!G54</f>
        <v>0.40952254192196957</v>
      </c>
      <c r="E55" s="20">
        <f>원천데이터!G317</f>
        <v>0.40778384875105761</v>
      </c>
      <c r="F55" s="20">
        <f>원천데이터!G580</f>
        <v>0.40959033331053252</v>
      </c>
      <c r="G55" s="20">
        <f>원천데이터!G847</f>
        <v>0.41160011097869337</v>
      </c>
      <c r="H55" s="20">
        <f>원천데이터!G1115</f>
        <v>0.41524704489306191</v>
      </c>
      <c r="I55" s="20">
        <f>원천데이터!G1383</f>
        <v>0.4197600916608859</v>
      </c>
      <c r="J55" s="20">
        <f>원천데이터!G1649</f>
        <v>0.42392480253058856</v>
      </c>
      <c r="K55" s="20">
        <f>원천데이터!G1915</f>
        <v>0.42585166943544633</v>
      </c>
      <c r="L55" s="20">
        <f>원천데이터!G2181</f>
        <v>0.42933414478962073</v>
      </c>
      <c r="M55" s="20">
        <f>원천데이터!G2447</f>
        <v>0.4299981396650443</v>
      </c>
      <c r="N55" s="20">
        <f>원천데이터!G2713</f>
        <v>0.43316037721202183</v>
      </c>
      <c r="O55" s="20">
        <f>원천데이터!G2979</f>
        <v>0.43369952673595286</v>
      </c>
      <c r="P55" s="20">
        <f>원천데이터!G3246</f>
        <v>0.4331835479845309</v>
      </c>
      <c r="Q55" s="20">
        <f>원천데이터!G3512</f>
        <v>0.43499816436611011</v>
      </c>
      <c r="R55" s="20">
        <f t="shared" si="0"/>
        <v>0.4226895960168226</v>
      </c>
      <c r="S55" s="27">
        <f t="shared" si="1"/>
        <v>14</v>
      </c>
    </row>
    <row r="56" spans="1:19">
      <c r="A56" s="15" t="s">
        <v>104</v>
      </c>
      <c r="B56" s="15" t="s">
        <v>93</v>
      </c>
      <c r="C56" s="15" t="s">
        <v>114</v>
      </c>
      <c r="D56" s="20">
        <f>원천데이터!G55</f>
        <v>0.49609883767584551</v>
      </c>
      <c r="E56" s="20">
        <f>원천데이터!G318</f>
        <v>0.49591119505813502</v>
      </c>
      <c r="F56" s="20">
        <f>원천데이터!G581</f>
        <v>0.49546212553472524</v>
      </c>
      <c r="G56" s="20">
        <f>원천데이터!G848</f>
        <v>0.4971137812965391</v>
      </c>
      <c r="H56" s="20">
        <f>원천데이터!G1116</f>
        <v>0.50193516154462547</v>
      </c>
      <c r="I56" s="20">
        <f>원천데이터!G1384</f>
        <v>0.50122111218699705</v>
      </c>
      <c r="J56" s="20">
        <f>원천데이터!G1650</f>
        <v>0.5046428620269956</v>
      </c>
      <c r="K56" s="20">
        <f>원천데이터!G1916</f>
        <v>0.50500452396292106</v>
      </c>
      <c r="L56" s="20">
        <f>원천데이터!G2182</f>
        <v>0.50825551845394634</v>
      </c>
      <c r="M56" s="20">
        <f>원천데이터!G2448</f>
        <v>0.51208811135332444</v>
      </c>
      <c r="N56" s="20">
        <f>원천데이터!G2714</f>
        <v>0.51175423362555361</v>
      </c>
      <c r="O56" s="20">
        <f>원천데이터!G2980</f>
        <v>0.50337705747514161</v>
      </c>
      <c r="P56" s="20">
        <f>원천데이터!G3247</f>
        <v>0.51489267756068413</v>
      </c>
      <c r="Q56" s="20">
        <f>원천데이터!G3513</f>
        <v>0.51181584937837366</v>
      </c>
      <c r="R56" s="20">
        <f t="shared" si="0"/>
        <v>0.50425521765241477</v>
      </c>
      <c r="S56" s="27">
        <f t="shared" si="1"/>
        <v>14</v>
      </c>
    </row>
    <row r="57" spans="1:19">
      <c r="A57" s="15" t="s">
        <v>104</v>
      </c>
      <c r="B57" s="15" t="s">
        <v>115</v>
      </c>
      <c r="C57" s="15" t="s">
        <v>116</v>
      </c>
      <c r="D57" s="20">
        <f>원천데이터!G56</f>
        <v>0.44186326468578929</v>
      </c>
      <c r="E57" s="20">
        <f>원천데이터!G319</f>
        <v>0.44000640969961274</v>
      </c>
      <c r="F57" s="20">
        <f>원천데이터!G582</f>
        <v>0.44157795476398892</v>
      </c>
      <c r="G57" s="20">
        <f>원천데이터!G849</f>
        <v>0.44214975450811028</v>
      </c>
      <c r="H57" s="20">
        <f>원천데이터!G1117</f>
        <v>0.44366046258593117</v>
      </c>
      <c r="I57" s="20">
        <f>원천데이터!G1385</f>
        <v>0.44619066078244274</v>
      </c>
      <c r="J57" s="20">
        <f>원천데이터!G1651</f>
        <v>0.44498361787559276</v>
      </c>
      <c r="K57" s="20">
        <f>원천데이터!G1917</f>
        <v>0.44946677057337703</v>
      </c>
      <c r="L57" s="20">
        <f>원천데이터!G2183</f>
        <v>0.4525731215176601</v>
      </c>
      <c r="M57" s="20">
        <f>원천데이터!G2449</f>
        <v>0.44957695313189466</v>
      </c>
      <c r="N57" s="20">
        <f>원천데이터!G2715</f>
        <v>0.45284538820315678</v>
      </c>
      <c r="O57" s="20">
        <f>원천데이터!G2981</f>
        <v>0.45434035125239658</v>
      </c>
      <c r="P57" s="20">
        <f>원천데이터!G3248</f>
        <v>0.45456840523757186</v>
      </c>
      <c r="Q57" s="20">
        <f>원천데이터!G3514</f>
        <v>0.45354090560765209</v>
      </c>
      <c r="R57" s="20">
        <f t="shared" si="0"/>
        <v>0.44766743003036968</v>
      </c>
      <c r="S57" s="27">
        <f t="shared" si="1"/>
        <v>14</v>
      </c>
    </row>
    <row r="58" spans="1:19">
      <c r="A58" s="15" t="s">
        <v>104</v>
      </c>
      <c r="B58" s="15" t="s">
        <v>69</v>
      </c>
      <c r="C58" s="15" t="s">
        <v>117</v>
      </c>
      <c r="D58" s="20">
        <f>원천데이터!G57</f>
        <v>0.50564316016969502</v>
      </c>
      <c r="E58" s="20">
        <f>원천데이터!G320</f>
        <v>0.50249123122582962</v>
      </c>
      <c r="F58" s="20">
        <f>원천데이터!G583</f>
        <v>0.50383987797524032</v>
      </c>
      <c r="G58" s="20">
        <f>원천데이터!G850</f>
        <v>0.50704490109796219</v>
      </c>
      <c r="H58" s="20">
        <f>원천데이터!G1118</f>
        <v>0.51046368826340949</v>
      </c>
      <c r="I58" s="20">
        <f>원천데이터!G1386</f>
        <v>0.51085930904335441</v>
      </c>
      <c r="J58" s="20">
        <f>원천데이터!G1652</f>
        <v>0.5033372232623351</v>
      </c>
      <c r="K58" s="20">
        <f>원천데이터!G1918</f>
        <v>0.50058997780363224</v>
      </c>
      <c r="L58" s="20">
        <f>원천데이터!G2184</f>
        <v>0.50207720124463884</v>
      </c>
      <c r="M58" s="20">
        <f>원천데이터!G2450</f>
        <v>0.5011304293858444</v>
      </c>
      <c r="N58" s="20">
        <f>원천데이터!G2716</f>
        <v>0.50542515402854049</v>
      </c>
      <c r="O58" s="20">
        <f>원천데이터!G2982</f>
        <v>0.50266561622775152</v>
      </c>
      <c r="P58" s="20">
        <f>원천데이터!G3249</f>
        <v>0.50629883256506925</v>
      </c>
      <c r="Q58" s="20">
        <f>원천데이터!G3515</f>
        <v>0.50502894103145712</v>
      </c>
      <c r="R58" s="20">
        <f t="shared" si="0"/>
        <v>0.50477825309462576</v>
      </c>
      <c r="S58" s="27">
        <f t="shared" si="1"/>
        <v>14</v>
      </c>
    </row>
    <row r="59" spans="1:19">
      <c r="A59" s="15" t="s">
        <v>118</v>
      </c>
      <c r="B59" s="15" t="s">
        <v>22</v>
      </c>
      <c r="C59" s="15" t="s">
        <v>118</v>
      </c>
      <c r="D59" s="20">
        <f>원천데이터!G58</f>
        <v>0.27709255691341644</v>
      </c>
      <c r="E59" s="20">
        <f>원천데이터!G321</f>
        <v>0.27381841416845465</v>
      </c>
      <c r="F59" s="20">
        <f>원천데이터!G584</f>
        <v>0.27725807628137522</v>
      </c>
      <c r="G59" s="20">
        <f>원천데이터!G851</f>
        <v>0.2788940363287109</v>
      </c>
      <c r="H59" s="20">
        <f>원천데이터!G1119</f>
        <v>0.27742823720425602</v>
      </c>
      <c r="I59" s="20">
        <f>원천데이터!G1387</f>
        <v>0.28008278829837552</v>
      </c>
      <c r="J59" s="20">
        <f>원천데이터!G1653</f>
        <v>0.28082561569313069</v>
      </c>
      <c r="K59" s="20">
        <f>원천데이터!G1919</f>
        <v>0.27764404690620942</v>
      </c>
      <c r="L59" s="20">
        <f>원천데이터!G2185</f>
        <v>0.27918228880430429</v>
      </c>
      <c r="M59" s="20">
        <f>원천데이터!G2451</f>
        <v>0.26458102958244611</v>
      </c>
      <c r="N59" s="20">
        <f>원천데이터!G2717</f>
        <v>0.26997966804841028</v>
      </c>
      <c r="O59" s="20">
        <f>원천데이터!G2983</f>
        <v>0.28569432734164363</v>
      </c>
      <c r="P59" s="20">
        <f>원천데이터!G3250</f>
        <v>0.28666500861238564</v>
      </c>
      <c r="Q59" s="20">
        <f>원천데이터!G3516</f>
        <v>0.28393985862957682</v>
      </c>
      <c r="R59" s="20">
        <f t="shared" si="0"/>
        <v>0.27807756805804967</v>
      </c>
      <c r="S59" s="27">
        <f t="shared" si="1"/>
        <v>14</v>
      </c>
    </row>
    <row r="60" spans="1:19">
      <c r="A60" s="15" t="s">
        <v>118</v>
      </c>
      <c r="B60" s="15" t="s">
        <v>119</v>
      </c>
      <c r="C60" s="15" t="s">
        <v>120</v>
      </c>
      <c r="D60" s="20">
        <f>원천데이터!G59</f>
        <v>0.45518327450448004</v>
      </c>
      <c r="E60" s="20">
        <f>원천데이터!G322</f>
        <v>0.4613506393368888</v>
      </c>
      <c r="F60" s="20">
        <f>원천데이터!G585</f>
        <v>0.46698778195488722</v>
      </c>
      <c r="G60" s="20">
        <f>원천데이터!G852</f>
        <v>0.4727818349702006</v>
      </c>
      <c r="H60" s="20">
        <f>원천데이터!G1120</f>
        <v>0.48082085298232885</v>
      </c>
      <c r="I60" s="20">
        <f>원천데이터!G1388</f>
        <v>0.4878226762747423</v>
      </c>
      <c r="J60" s="20">
        <f>원천데이터!G1654</f>
        <v>0.50092199706547169</v>
      </c>
      <c r="K60" s="20">
        <f>원천데이터!G1920</f>
        <v>0.49621573741449732</v>
      </c>
      <c r="L60" s="20">
        <f>원천데이터!G2186</f>
        <v>0.49144915379681253</v>
      </c>
      <c r="M60" s="20">
        <f>원천데이터!G2452</f>
        <v>0.48593163711128246</v>
      </c>
      <c r="N60" s="20">
        <f>원천데이터!G2718</f>
        <v>0.48438981042654028</v>
      </c>
      <c r="O60" s="20">
        <f>원천데이터!G2984</f>
        <v>0.4802688475277308</v>
      </c>
      <c r="P60" s="20">
        <f>원천데이터!G3251</f>
        <v>0.48767868777066647</v>
      </c>
      <c r="Q60" s="20">
        <f>원천데이터!G3517</f>
        <v>0.4939974554950784</v>
      </c>
      <c r="R60" s="20">
        <f t="shared" si="0"/>
        <v>0.48184288475940057</v>
      </c>
      <c r="S60" s="27">
        <f t="shared" si="1"/>
        <v>14</v>
      </c>
    </row>
    <row r="61" spans="1:19">
      <c r="A61" s="15" t="s">
        <v>118</v>
      </c>
      <c r="B61" s="15" t="s">
        <v>121</v>
      </c>
      <c r="C61" s="15" t="s">
        <v>122</v>
      </c>
      <c r="D61" s="20">
        <f>원천데이터!G60</f>
        <v>0.42895876808551492</v>
      </c>
      <c r="E61" s="20">
        <f>원천데이터!G323</f>
        <v>0.42148106514523259</v>
      </c>
      <c r="F61" s="20">
        <f>원천데이터!G586</f>
        <v>0.42321652658996722</v>
      </c>
      <c r="G61" s="20">
        <f>원천데이터!G853</f>
        <v>0.42490298301050217</v>
      </c>
      <c r="H61" s="20">
        <f>원천데이터!G1121</f>
        <v>0.4235507995588641</v>
      </c>
      <c r="I61" s="20">
        <f>원천데이터!G1389</f>
        <v>0.42687184929689576</v>
      </c>
      <c r="J61" s="20">
        <f>원천데이터!G1655</f>
        <v>0.42493157769971768</v>
      </c>
      <c r="K61" s="20">
        <f>원천데이터!G1921</f>
        <v>0.4193410202406026</v>
      </c>
      <c r="L61" s="20">
        <f>원천데이터!G2187</f>
        <v>0.42080230459912249</v>
      </c>
      <c r="M61" s="20">
        <f>원천데이터!G2453</f>
        <v>0.40923515284328832</v>
      </c>
      <c r="N61" s="20">
        <f>원천데이터!G2719</f>
        <v>0.41669186500784977</v>
      </c>
      <c r="O61" s="20">
        <f>원천데이터!G2985</f>
        <v>0.42142481538215321</v>
      </c>
      <c r="P61" s="20">
        <f>원천데이터!G3252</f>
        <v>0.41943849985125187</v>
      </c>
      <c r="Q61" s="20">
        <f>원천데이터!G3518</f>
        <v>0.42371390883775467</v>
      </c>
      <c r="R61" s="20">
        <f t="shared" si="0"/>
        <v>0.42175436686776546</v>
      </c>
      <c r="S61" s="27">
        <f t="shared" si="1"/>
        <v>14</v>
      </c>
    </row>
    <row r="62" spans="1:19">
      <c r="A62" s="15" t="s">
        <v>118</v>
      </c>
      <c r="B62" s="15" t="s">
        <v>79</v>
      </c>
      <c r="C62" s="15" t="s">
        <v>123</v>
      </c>
      <c r="D62" s="20">
        <f>원천데이터!G61</f>
        <v>0.46262650771220742</v>
      </c>
      <c r="E62" s="20">
        <f>원천데이터!G324</f>
        <v>0.45901543578958942</v>
      </c>
      <c r="F62" s="20">
        <f>원천데이터!G587</f>
        <v>0.46140096693082816</v>
      </c>
      <c r="G62" s="20">
        <f>원천데이터!G854</f>
        <v>0.46171881813937499</v>
      </c>
      <c r="H62" s="20">
        <f>원천데이터!G1122</f>
        <v>0.46309655459897819</v>
      </c>
      <c r="I62" s="20">
        <f>원천데이터!G1390</f>
        <v>0.47055477090482195</v>
      </c>
      <c r="J62" s="20">
        <f>원천데이터!G1656</f>
        <v>0.4686173091079272</v>
      </c>
      <c r="K62" s="20"/>
      <c r="L62" s="20"/>
      <c r="M62" s="20"/>
      <c r="N62" s="20"/>
      <c r="O62" s="20"/>
      <c r="P62" s="20"/>
      <c r="Q62" s="20"/>
      <c r="R62" s="20">
        <f t="shared" si="0"/>
        <v>0.46386148045481823</v>
      </c>
      <c r="S62" s="27">
        <f t="shared" si="1"/>
        <v>7</v>
      </c>
    </row>
    <row r="63" spans="1:19">
      <c r="A63" s="15" t="s">
        <v>118</v>
      </c>
      <c r="B63" s="15" t="s">
        <v>124</v>
      </c>
      <c r="C63" s="15" t="s">
        <v>125</v>
      </c>
      <c r="D63" s="20">
        <f>원천데이터!G62</f>
        <v>0.41998802989006861</v>
      </c>
      <c r="E63" s="20">
        <f>원천데이터!G325</f>
        <v>0.41660612261567498</v>
      </c>
      <c r="F63" s="20">
        <f>원천데이터!G588</f>
        <v>0.41662655310280777</v>
      </c>
      <c r="G63" s="20">
        <f>원천데이터!G855</f>
        <v>0.41893430100360135</v>
      </c>
      <c r="H63" s="20">
        <f>원천데이터!G1123</f>
        <v>0.42192961303332793</v>
      </c>
      <c r="I63" s="20">
        <f>원천데이터!G1391</f>
        <v>0.41828219703410335</v>
      </c>
      <c r="J63" s="20">
        <f>원천데이터!G1657</f>
        <v>0.42009026733017013</v>
      </c>
      <c r="K63" s="20">
        <f>원천데이터!G1922</f>
        <v>0.41782126189829361</v>
      </c>
      <c r="L63" s="20">
        <f>원천데이터!G2188</f>
        <v>0.41866564605648515</v>
      </c>
      <c r="M63" s="20">
        <f>원천데이터!G2454</f>
        <v>0.41072390960578398</v>
      </c>
      <c r="N63" s="20">
        <f>원천데이터!G2720</f>
        <v>0.4140770391511101</v>
      </c>
      <c r="O63" s="20">
        <f>원천데이터!G2986</f>
        <v>0.41985300052399149</v>
      </c>
      <c r="P63" s="20">
        <f>원천데이터!G3253</f>
        <v>0.41584219473088702</v>
      </c>
      <c r="Q63" s="20">
        <f>원천데이터!G3519</f>
        <v>0.4203263747033173</v>
      </c>
      <c r="R63" s="20">
        <f t="shared" si="0"/>
        <v>0.4178404650485445</v>
      </c>
      <c r="S63" s="27">
        <f t="shared" si="1"/>
        <v>14</v>
      </c>
    </row>
    <row r="64" spans="1:19">
      <c r="A64" s="15" t="s">
        <v>118</v>
      </c>
      <c r="B64" s="15" t="s">
        <v>81</v>
      </c>
      <c r="C64" s="15" t="s">
        <v>126</v>
      </c>
      <c r="D64" s="20">
        <f>원천데이터!G63</f>
        <v>0.50145795502165103</v>
      </c>
      <c r="E64" s="20">
        <f>원천데이터!G326</f>
        <v>0.49510222982118685</v>
      </c>
      <c r="F64" s="20">
        <f>원천데이터!G589</f>
        <v>0.49546340358033086</v>
      </c>
      <c r="G64" s="20">
        <f>원천데이터!G856</f>
        <v>0.49394165770821563</v>
      </c>
      <c r="H64" s="20">
        <f>원천데이터!G1124</f>
        <v>0.49879397357874422</v>
      </c>
      <c r="I64" s="20">
        <f>원천데이터!G1392</f>
        <v>0.49950591042995113</v>
      </c>
      <c r="J64" s="20">
        <f>원천데이터!G1658</f>
        <v>0.50052784250320981</v>
      </c>
      <c r="K64" s="20">
        <f>원천데이터!G1923</f>
        <v>0.49866083737051481</v>
      </c>
      <c r="L64" s="20">
        <f>원천데이터!G2189</f>
        <v>0.50058270924328874</v>
      </c>
      <c r="M64" s="20">
        <f>원천데이터!G2455</f>
        <v>0.5029009960267784</v>
      </c>
      <c r="N64" s="20">
        <f>원천데이터!G2721</f>
        <v>0.50828440269029573</v>
      </c>
      <c r="O64" s="20">
        <f>원천데이터!G2987</f>
        <v>0.49559924409317285</v>
      </c>
      <c r="P64" s="20">
        <f>원천데이터!G3254</f>
        <v>0.50932861228380766</v>
      </c>
      <c r="Q64" s="20">
        <f>원천데이터!G3520</f>
        <v>0.51045828937974835</v>
      </c>
      <c r="R64" s="20">
        <f t="shared" si="0"/>
        <v>0.5007577188379212</v>
      </c>
      <c r="S64" s="27">
        <f t="shared" si="1"/>
        <v>14</v>
      </c>
    </row>
    <row r="65" spans="1:19">
      <c r="A65" s="15" t="s">
        <v>118</v>
      </c>
      <c r="B65" s="15" t="s">
        <v>127</v>
      </c>
      <c r="C65" s="15" t="s">
        <v>128</v>
      </c>
      <c r="D65" s="20"/>
      <c r="E65" s="20"/>
      <c r="F65" s="20"/>
      <c r="G65" s="20"/>
      <c r="H65" s="20"/>
      <c r="I65" s="20"/>
      <c r="J65" s="20"/>
      <c r="K65" s="20">
        <f>원천데이터!G1924</f>
        <v>0.46936431913780507</v>
      </c>
      <c r="L65" s="20">
        <f>원천데이터!G2190</f>
        <v>0.46509710051071018</v>
      </c>
      <c r="M65" s="20">
        <f>원천데이터!G2456</f>
        <v>0.46283635756661079</v>
      </c>
      <c r="N65" s="20">
        <f>원천데이터!G2722</f>
        <v>0.46949062286788812</v>
      </c>
      <c r="O65" s="20">
        <f>원천데이터!G2988</f>
        <v>0.46396729493560335</v>
      </c>
      <c r="P65" s="20">
        <f>원천데이터!G3255</f>
        <v>0.46414836271284415</v>
      </c>
      <c r="Q65" s="20">
        <f>원천데이터!G3521</f>
        <v>0.46133190704376015</v>
      </c>
      <c r="R65" s="20">
        <f t="shared" si="0"/>
        <v>0.46517656639646027</v>
      </c>
      <c r="S65" s="27">
        <f t="shared" si="1"/>
        <v>7</v>
      </c>
    </row>
    <row r="66" spans="1:19">
      <c r="A66" s="15" t="s">
        <v>118</v>
      </c>
      <c r="B66" s="15" t="s">
        <v>129</v>
      </c>
      <c r="C66" s="15" t="s">
        <v>130</v>
      </c>
      <c r="D66" s="20">
        <f>원천데이터!G64</f>
        <v>0.42018469226014771</v>
      </c>
      <c r="E66" s="20">
        <f>원천데이터!G327</f>
        <v>0.41384831608259337</v>
      </c>
      <c r="F66" s="20">
        <f>원천데이터!G590</f>
        <v>0.41700149492512262</v>
      </c>
      <c r="G66" s="20">
        <f>원천데이터!G857</f>
        <v>0.41956721873672492</v>
      </c>
      <c r="H66" s="20">
        <f>원천데이터!G1125</f>
        <v>0.42126776156770745</v>
      </c>
      <c r="I66" s="20">
        <f>원천데이터!G1393</f>
        <v>0.42391300165577989</v>
      </c>
      <c r="J66" s="20">
        <f>원천데이터!G1659</f>
        <v>0.42777026469009372</v>
      </c>
      <c r="K66" s="20">
        <f>원천데이터!G1925</f>
        <v>0.42417984142809667</v>
      </c>
      <c r="L66" s="20">
        <f>원천데이터!G2191</f>
        <v>0.42652738199815737</v>
      </c>
      <c r="M66" s="20">
        <f>원천데이터!G2457</f>
        <v>0.41968026436826711</v>
      </c>
      <c r="N66" s="20">
        <f>원천데이터!G2723</f>
        <v>0.42660889796373908</v>
      </c>
      <c r="O66" s="20">
        <f>원천데이터!G2989</f>
        <v>0.43114544978232622</v>
      </c>
      <c r="P66" s="20">
        <f>원천데이터!G3256</f>
        <v>0.43409706791853203</v>
      </c>
      <c r="Q66" s="20">
        <f>원천데이터!G3522</f>
        <v>0.43033934193517687</v>
      </c>
      <c r="R66" s="20">
        <f t="shared" si="0"/>
        <v>0.42400935680803314</v>
      </c>
      <c r="S66" s="27">
        <f t="shared" si="1"/>
        <v>14</v>
      </c>
    </row>
    <row r="67" spans="1:19">
      <c r="A67" s="15" t="s">
        <v>118</v>
      </c>
      <c r="B67" s="15" t="s">
        <v>93</v>
      </c>
      <c r="C67" s="15" t="s">
        <v>131</v>
      </c>
      <c r="D67" s="20">
        <f>원천데이터!G65</f>
        <v>0.4253558678732457</v>
      </c>
      <c r="E67" s="20">
        <f>원천데이터!G328</f>
        <v>0.43171924923186261</v>
      </c>
      <c r="F67" s="20">
        <f>원천데이터!G591</f>
        <v>0.42789156089730013</v>
      </c>
      <c r="G67" s="20">
        <f>원천데이터!G858</f>
        <v>0.4207779032516305</v>
      </c>
      <c r="H67" s="20">
        <f>원천데이터!G1126</f>
        <v>0.41212547502790964</v>
      </c>
      <c r="I67" s="20">
        <f>원천데이터!G1394</f>
        <v>0.40650732884980167</v>
      </c>
      <c r="J67" s="20">
        <f>원천데이터!G1660</f>
        <v>0.40507816435618221</v>
      </c>
      <c r="K67" s="20">
        <f>원천데이터!G1926</f>
        <v>0.40504299286887469</v>
      </c>
      <c r="L67" s="20">
        <f>원천데이터!G2192</f>
        <v>0.40355577577311691</v>
      </c>
      <c r="M67" s="20">
        <f>원천데이터!G2458</f>
        <v>0.39109647890368321</v>
      </c>
      <c r="N67" s="20">
        <f>원천데이터!G2724</f>
        <v>0.40626204716955927</v>
      </c>
      <c r="O67" s="20">
        <f>원천데이터!G2990</f>
        <v>0.41147470817992565</v>
      </c>
      <c r="P67" s="20">
        <f>원천데이터!G3257</f>
        <v>0.415236520718895</v>
      </c>
      <c r="Q67" s="20">
        <f>원천데이터!G3523</f>
        <v>0.40693363897623724</v>
      </c>
      <c r="R67" s="20">
        <f t="shared" si="0"/>
        <v>0.41207555086273029</v>
      </c>
      <c r="S67" s="27">
        <f t="shared" si="1"/>
        <v>14</v>
      </c>
    </row>
    <row r="68" spans="1:19">
      <c r="A68" s="15" t="s">
        <v>118</v>
      </c>
      <c r="B68" s="15" t="s">
        <v>132</v>
      </c>
      <c r="C68" s="15" t="s">
        <v>133</v>
      </c>
      <c r="D68" s="20">
        <f>원천데이터!G66</f>
        <v>0.44714141439022587</v>
      </c>
      <c r="E68" s="20">
        <f>원천데이터!G329</f>
        <v>0.43262224241580377</v>
      </c>
      <c r="F68" s="20">
        <f>원천데이터!G592</f>
        <v>0.43356674970674242</v>
      </c>
      <c r="G68" s="20">
        <f>원천데이터!G859</f>
        <v>0.43488790274851985</v>
      </c>
      <c r="H68" s="20">
        <f>원천데이터!G1127</f>
        <v>0.43759816465190154</v>
      </c>
      <c r="I68" s="20">
        <f>원천데이터!G1395</f>
        <v>0.43607198517952184</v>
      </c>
      <c r="J68" s="20">
        <f>원천데이터!G1661</f>
        <v>0.43369535944608567</v>
      </c>
      <c r="K68" s="20">
        <f>원천데이터!G1927</f>
        <v>0.43555412543067251</v>
      </c>
      <c r="L68" s="20">
        <f>원천데이터!G2193</f>
        <v>0.43737916298533508</v>
      </c>
      <c r="M68" s="20">
        <f>원천데이터!G2459</f>
        <v>0.43588827577109945</v>
      </c>
      <c r="N68" s="20">
        <f>원천데이터!G2725</f>
        <v>0.42801163959430111</v>
      </c>
      <c r="O68" s="20">
        <f>원천데이터!G2991</f>
        <v>0.42441263304140719</v>
      </c>
      <c r="P68" s="20">
        <f>원천데이터!G3258</f>
        <v>0.42740557015514941</v>
      </c>
      <c r="Q68" s="20">
        <f>원천데이터!G3524</f>
        <v>0.42426415716071758</v>
      </c>
      <c r="R68" s="20">
        <f t="shared" si="0"/>
        <v>0.43346424161982011</v>
      </c>
      <c r="S68" s="27">
        <f t="shared" si="1"/>
        <v>14</v>
      </c>
    </row>
    <row r="69" spans="1:19">
      <c r="A69" s="15" t="s">
        <v>118</v>
      </c>
      <c r="B69" s="15" t="s">
        <v>134</v>
      </c>
      <c r="C69" s="15" t="s">
        <v>135</v>
      </c>
      <c r="D69" s="20">
        <f>원천데이터!G67</f>
        <v>0.60149635036496352</v>
      </c>
      <c r="E69" s="20">
        <f>원천데이터!G330</f>
        <v>0.60194486001282321</v>
      </c>
      <c r="F69" s="20">
        <f>원천데이터!G593</f>
        <v>0.5959746048899095</v>
      </c>
      <c r="G69" s="20">
        <f>원천데이터!G860</f>
        <v>0.59062260312802217</v>
      </c>
      <c r="H69" s="20">
        <f>원천데이터!G1128</f>
        <v>0.58905600633287158</v>
      </c>
      <c r="I69" s="20">
        <f>원천데이터!G1396</f>
        <v>0.59644588045234248</v>
      </c>
      <c r="J69" s="20">
        <f>원천데이터!G1662</f>
        <v>0.59962993683404586</v>
      </c>
      <c r="K69" s="20">
        <f>원천데이터!G1928</f>
        <v>0.59953869144305116</v>
      </c>
      <c r="L69" s="20">
        <f>원천데이터!G2194</f>
        <v>0.59922833399287689</v>
      </c>
      <c r="M69" s="20">
        <f>원천데이터!G2460</f>
        <v>0.59837112192428477</v>
      </c>
      <c r="N69" s="20">
        <f>원천데이터!G2726</f>
        <v>0.60270012922532812</v>
      </c>
      <c r="O69" s="20">
        <f>원천데이터!G2992</f>
        <v>0.60016740173196403</v>
      </c>
      <c r="P69" s="20">
        <f>원천데이터!G3259</f>
        <v>0.60194995125121875</v>
      </c>
      <c r="Q69" s="20">
        <f>원천데이터!G3525</f>
        <v>0.60460646230323112</v>
      </c>
      <c r="R69" s="20">
        <f t="shared" si="0"/>
        <v>0.59869516670620959</v>
      </c>
      <c r="S69" s="27">
        <f t="shared" si="1"/>
        <v>14</v>
      </c>
    </row>
    <row r="70" spans="1:19">
      <c r="A70" s="15" t="s">
        <v>118</v>
      </c>
      <c r="B70" s="15" t="s">
        <v>69</v>
      </c>
      <c r="C70" s="15" t="s">
        <v>136</v>
      </c>
      <c r="D70" s="20">
        <f>원천데이터!G68</f>
        <v>0.50852200267062764</v>
      </c>
      <c r="E70" s="20">
        <f>원천데이터!G331</f>
        <v>0.5100452967149165</v>
      </c>
      <c r="F70" s="20">
        <f>원천데이터!G594</f>
        <v>0.50347840260798693</v>
      </c>
      <c r="G70" s="20">
        <f>원천데이터!G861</f>
        <v>0.50284710406211419</v>
      </c>
      <c r="H70" s="20">
        <f>원천데이터!G1129</f>
        <v>0.49379580931290545</v>
      </c>
      <c r="I70" s="20">
        <f>원천데이터!G1397</f>
        <v>0.49224344735673037</v>
      </c>
      <c r="J70" s="20">
        <f>원천데이터!G1663</f>
        <v>0.49093696664641728</v>
      </c>
      <c r="K70" s="20">
        <f>원천데이터!G1929</f>
        <v>0.49543133271099887</v>
      </c>
      <c r="L70" s="20">
        <f>원천데이터!G2195</f>
        <v>0.4924424766489367</v>
      </c>
      <c r="M70" s="20">
        <f>원천데이터!G2461</f>
        <v>0.48491495053629596</v>
      </c>
      <c r="N70" s="20">
        <f>원천데이터!G2727</f>
        <v>0.4857945825659914</v>
      </c>
      <c r="O70" s="20">
        <f>원천데이터!G2993</f>
        <v>0.4768656559053624</v>
      </c>
      <c r="P70" s="20">
        <f>원천데이터!G3260</f>
        <v>0.46878180087319044</v>
      </c>
      <c r="Q70" s="20">
        <f>원천데이터!G3526</f>
        <v>0.46660683215632553</v>
      </c>
      <c r="R70" s="20">
        <f t="shared" ref="R70:R133" si="2">IFERROR(AVERAGE(D70:Q70),"")</f>
        <v>0.49090761862634286</v>
      </c>
      <c r="S70" s="27">
        <f t="shared" ref="S70:S133" si="3">COUNT(D70:Q70)</f>
        <v>14</v>
      </c>
    </row>
    <row r="71" spans="1:19">
      <c r="A71" s="15" t="s">
        <v>137</v>
      </c>
      <c r="B71" s="15" t="s">
        <v>22</v>
      </c>
      <c r="C71" s="15" t="s">
        <v>137</v>
      </c>
      <c r="D71" s="20">
        <f>원천데이터!G69</f>
        <v>0.19447265395031202</v>
      </c>
      <c r="E71" s="20">
        <f>원천데이터!G332</f>
        <v>0.19269177895208939</v>
      </c>
      <c r="F71" s="20">
        <f>원천데이터!G595</f>
        <v>0.1908818957502034</v>
      </c>
      <c r="G71" s="20">
        <f>원천데이터!G862</f>
        <v>0.19169649041965128</v>
      </c>
      <c r="H71" s="20">
        <f>원천데이터!G1130</f>
        <v>0.19525713062620847</v>
      </c>
      <c r="I71" s="20">
        <f>원천데이터!G1398</f>
        <v>0.19335519083850763</v>
      </c>
      <c r="J71" s="20">
        <f>원천데이터!G1664</f>
        <v>0.19396601714805653</v>
      </c>
      <c r="K71" s="20">
        <f>원천데이터!G1930</f>
        <v>0.1911772376616766</v>
      </c>
      <c r="L71" s="20">
        <f>원천데이터!G2196</f>
        <v>0.19261347745749302</v>
      </c>
      <c r="M71" s="20">
        <f>원천데이터!G2462</f>
        <v>0.17942476431013085</v>
      </c>
      <c r="N71" s="20">
        <f>원천데이터!G2728</f>
        <v>0.17840692230703178</v>
      </c>
      <c r="O71" s="20">
        <f>원천데이터!G2994</f>
        <v>0.1968528680505495</v>
      </c>
      <c r="P71" s="20">
        <f>원천데이터!G3261</f>
        <v>0.19848957849643648</v>
      </c>
      <c r="Q71" s="20">
        <f>원천데이터!G3527</f>
        <v>0.19523027309072022</v>
      </c>
      <c r="R71" s="20">
        <f t="shared" si="2"/>
        <v>0.19175116278993337</v>
      </c>
      <c r="S71" s="27">
        <f t="shared" si="3"/>
        <v>14</v>
      </c>
    </row>
    <row r="72" spans="1:19">
      <c r="A72" s="15" t="s">
        <v>137</v>
      </c>
      <c r="B72" s="15" t="s">
        <v>138</v>
      </c>
      <c r="C72" s="15" t="s">
        <v>139</v>
      </c>
      <c r="D72" s="20">
        <f>원천데이터!G70</f>
        <v>0.39652688340524406</v>
      </c>
      <c r="E72" s="20">
        <f>원천데이터!G333</f>
        <v>0.38971253190826827</v>
      </c>
      <c r="F72" s="20">
        <f>원천데이터!G596</f>
        <v>0.38981027630754295</v>
      </c>
      <c r="G72" s="20">
        <f>원천데이터!G863</f>
        <v>0.39313836267795538</v>
      </c>
      <c r="H72" s="20">
        <f>원천데이터!G1131</f>
        <v>0.39347699292211169</v>
      </c>
      <c r="I72" s="20">
        <f>원천데이터!G1399</f>
        <v>0.39529648574323845</v>
      </c>
      <c r="J72" s="20">
        <f>원천데이터!G1665</f>
        <v>0.39569472093226271</v>
      </c>
      <c r="K72" s="20">
        <f>원천데이터!G1931</f>
        <v>0.39415036796732361</v>
      </c>
      <c r="L72" s="20">
        <f>원천데이터!G2197</f>
        <v>0.39475848206127795</v>
      </c>
      <c r="M72" s="20">
        <f>원천데이터!G2463</f>
        <v>0.39185182583036199</v>
      </c>
      <c r="N72" s="20">
        <f>원천데이터!G2729</f>
        <v>0.39031200595586207</v>
      </c>
      <c r="O72" s="20">
        <f>원천데이터!G2995</f>
        <v>0.39401820546163852</v>
      </c>
      <c r="P72" s="20">
        <f>원천데이터!G3262</f>
        <v>0.39847911398504038</v>
      </c>
      <c r="Q72" s="20">
        <f>원천데이터!G3528</f>
        <v>0.39638526404410468</v>
      </c>
      <c r="R72" s="20">
        <f t="shared" si="2"/>
        <v>0.39382939422873087</v>
      </c>
      <c r="S72" s="27">
        <f t="shared" si="3"/>
        <v>14</v>
      </c>
    </row>
    <row r="73" spans="1:19">
      <c r="A73" s="15" t="s">
        <v>137</v>
      </c>
      <c r="B73" s="15" t="s">
        <v>79</v>
      </c>
      <c r="C73" s="15" t="s">
        <v>140</v>
      </c>
      <c r="D73" s="20">
        <f>원천데이터!G71</f>
        <v>0.477646687198926</v>
      </c>
      <c r="E73" s="20">
        <f>원천데이터!G334</f>
        <v>0.47574217269706448</v>
      </c>
      <c r="F73" s="20">
        <f>원천데이터!G597</f>
        <v>0.47460992996381102</v>
      </c>
      <c r="G73" s="20">
        <f>원천데이터!G864</f>
        <v>0.47501373207201708</v>
      </c>
      <c r="H73" s="20">
        <f>원천데이터!G1132</f>
        <v>0.48015645527290102</v>
      </c>
      <c r="I73" s="20">
        <f>원천데이터!G1400</f>
        <v>0.47743433768335258</v>
      </c>
      <c r="J73" s="20">
        <f>원천데이터!G1666</f>
        <v>0.47312981918203545</v>
      </c>
      <c r="K73" s="20">
        <f>원천데이터!G1932</f>
        <v>0.47085220778121162</v>
      </c>
      <c r="L73" s="20">
        <f>원천데이터!G2198</f>
        <v>0.47310342774643904</v>
      </c>
      <c r="M73" s="20">
        <f>원천데이터!G2464</f>
        <v>0.46787068229302897</v>
      </c>
      <c r="N73" s="20">
        <f>원천데이터!G2730</f>
        <v>0.46871353401746979</v>
      </c>
      <c r="O73" s="20">
        <f>원천데이터!G2996</f>
        <v>0.46651086688795318</v>
      </c>
      <c r="P73" s="20">
        <f>원천데이터!G3263</f>
        <v>0.47067771183350965</v>
      </c>
      <c r="Q73" s="20">
        <f>원천데이터!G3529</f>
        <v>0.46823346085601503</v>
      </c>
      <c r="R73" s="20">
        <f t="shared" si="2"/>
        <v>0.47283535896326673</v>
      </c>
      <c r="S73" s="27">
        <f t="shared" si="3"/>
        <v>14</v>
      </c>
    </row>
    <row r="74" spans="1:19">
      <c r="A74" s="15" t="s">
        <v>137</v>
      </c>
      <c r="B74" s="15" t="s">
        <v>81</v>
      </c>
      <c r="C74" s="15" t="s">
        <v>141</v>
      </c>
      <c r="D74" s="20">
        <f>원천데이터!G72</f>
        <v>0.49955480998774116</v>
      </c>
      <c r="E74" s="20">
        <f>원천데이터!G335</f>
        <v>0.49533275824331457</v>
      </c>
      <c r="F74" s="20">
        <f>원천데이터!G598</f>
        <v>0.49549102449408705</v>
      </c>
      <c r="G74" s="20">
        <f>원천데이터!G865</f>
        <v>0.50078102247756218</v>
      </c>
      <c r="H74" s="20">
        <f>원천데이터!G1133</f>
        <v>0.50199066308279949</v>
      </c>
      <c r="I74" s="20">
        <f>원천데이터!G1401</f>
        <v>0.5028442114965298</v>
      </c>
      <c r="J74" s="20">
        <f>원천데이터!G1667</f>
        <v>0.50898063753940836</v>
      </c>
      <c r="K74" s="20">
        <f>원천데이터!G1933</f>
        <v>0.51205089149717764</v>
      </c>
      <c r="L74" s="20">
        <f>원천데이터!G2199</f>
        <v>0.51812781915451589</v>
      </c>
      <c r="M74" s="20">
        <f>원천데이터!G2465</f>
        <v>0.52262225455689482</v>
      </c>
      <c r="N74" s="20">
        <f>원천데이터!G2731</f>
        <v>0.51788389630991205</v>
      </c>
      <c r="O74" s="20">
        <f>원천데이터!G2997</f>
        <v>0.50777867342238603</v>
      </c>
      <c r="P74" s="20">
        <f>원천데이터!G3264</f>
        <v>0.50611865010513735</v>
      </c>
      <c r="Q74" s="20">
        <f>원천데이터!G3530</f>
        <v>0.50622529989857656</v>
      </c>
      <c r="R74" s="20">
        <f t="shared" si="2"/>
        <v>0.50684161516186022</v>
      </c>
      <c r="S74" s="27">
        <f t="shared" si="3"/>
        <v>14</v>
      </c>
    </row>
    <row r="75" spans="1:19">
      <c r="A75" s="15" t="s">
        <v>137</v>
      </c>
      <c r="B75" s="15" t="s">
        <v>87</v>
      </c>
      <c r="C75" s="15" t="s">
        <v>142</v>
      </c>
      <c r="D75" s="20">
        <f>원천데이터!G73</f>
        <v>0.43739759415048352</v>
      </c>
      <c r="E75" s="20">
        <f>원천데이터!G336</f>
        <v>0.4407313073623304</v>
      </c>
      <c r="F75" s="20">
        <f>원천데이터!G599</f>
        <v>0.44118539698874903</v>
      </c>
      <c r="G75" s="20">
        <f>원천데이터!G866</f>
        <v>0.44278844405657974</v>
      </c>
      <c r="H75" s="20">
        <f>원천데이터!G1134</f>
        <v>0.44206612157623582</v>
      </c>
      <c r="I75" s="20">
        <f>원천데이터!G1402</f>
        <v>0.442359013549741</v>
      </c>
      <c r="J75" s="20">
        <f>원천데이터!G1668</f>
        <v>0.44193397669353846</v>
      </c>
      <c r="K75" s="20">
        <f>원천데이터!G1934</f>
        <v>0.44243167584914622</v>
      </c>
      <c r="L75" s="20">
        <f>원천데이터!G2200</f>
        <v>0.44298139038021578</v>
      </c>
      <c r="M75" s="20">
        <f>원천데이터!G2466</f>
        <v>0.43946297816160446</v>
      </c>
      <c r="N75" s="20">
        <f>원천데이터!G2732</f>
        <v>0.44035534808393073</v>
      </c>
      <c r="O75" s="20">
        <f>원천데이터!G2998</f>
        <v>0.44304460524084188</v>
      </c>
      <c r="P75" s="20">
        <f>원천데이터!G3265</f>
        <v>0.4436758878225589</v>
      </c>
      <c r="Q75" s="20">
        <f>원천데이터!G3531</f>
        <v>0.44430450964457407</v>
      </c>
      <c r="R75" s="20">
        <f t="shared" si="2"/>
        <v>0.44176558925432369</v>
      </c>
      <c r="S75" s="27">
        <f t="shared" si="3"/>
        <v>14</v>
      </c>
    </row>
    <row r="76" spans="1:19">
      <c r="A76" s="15" t="s">
        <v>137</v>
      </c>
      <c r="B76" s="15" t="s">
        <v>93</v>
      </c>
      <c r="C76" s="15" t="s">
        <v>143</v>
      </c>
      <c r="D76" s="20">
        <f>원천데이터!G74</f>
        <v>0.44565135155582936</v>
      </c>
      <c r="E76" s="20">
        <f>원천데이터!G337</f>
        <v>0.44350536994783107</v>
      </c>
      <c r="F76" s="20">
        <f>원천데이터!G600</f>
        <v>0.44526392835615258</v>
      </c>
      <c r="G76" s="20">
        <f>원천데이터!G867</f>
        <v>0.44911502993740848</v>
      </c>
      <c r="H76" s="20">
        <f>원천데이터!G1135</f>
        <v>0.4481660929998027</v>
      </c>
      <c r="I76" s="20">
        <f>원천데이터!G1403</f>
        <v>0.44873159634287679</v>
      </c>
      <c r="J76" s="20">
        <f>원천데이터!G1669</f>
        <v>0.4461619055626338</v>
      </c>
      <c r="K76" s="20">
        <f>원천데이터!G1935</f>
        <v>0.44590939238015148</v>
      </c>
      <c r="L76" s="20">
        <f>원천데이터!G2201</f>
        <v>0.44758172554333026</v>
      </c>
      <c r="M76" s="20">
        <f>원천데이터!G2467</f>
        <v>0.43970331245686001</v>
      </c>
      <c r="N76" s="20">
        <f>원천데이터!G2733</f>
        <v>0.44093618951519586</v>
      </c>
      <c r="O76" s="20">
        <f>원천데이터!G2999</f>
        <v>0.44451416317706061</v>
      </c>
      <c r="P76" s="20">
        <f>원천데이터!G3266</f>
        <v>0.44426016034211097</v>
      </c>
      <c r="Q76" s="20">
        <f>원천데이터!G3532</f>
        <v>0.44265882309719962</v>
      </c>
      <c r="R76" s="20">
        <f t="shared" si="2"/>
        <v>0.44515421722960313</v>
      </c>
      <c r="S76" s="27">
        <f t="shared" si="3"/>
        <v>14</v>
      </c>
    </row>
    <row r="77" spans="1:19">
      <c r="A77" s="15" t="s">
        <v>144</v>
      </c>
      <c r="B77" s="15" t="s">
        <v>22</v>
      </c>
      <c r="C77" s="15" t="s">
        <v>144</v>
      </c>
      <c r="D77" s="20">
        <f>원천데이터!G75</f>
        <v>0.18957218553108249</v>
      </c>
      <c r="E77" s="20">
        <f>원천데이터!G338</f>
        <v>0.18969844809196074</v>
      </c>
      <c r="F77" s="20">
        <f>원천데이터!G601</f>
        <v>0.19022972024629703</v>
      </c>
      <c r="G77" s="20">
        <f>원천데이터!G868</f>
        <v>0.19184461496475028</v>
      </c>
      <c r="H77" s="20">
        <f>원천데이터!G1136</f>
        <v>0.19424725951001479</v>
      </c>
      <c r="I77" s="20">
        <f>원천데이터!G1404</f>
        <v>0.19782710821756885</v>
      </c>
      <c r="J77" s="20">
        <f>원천데이터!G1670</f>
        <v>0.20471156802294008</v>
      </c>
      <c r="K77" s="20">
        <f>원천데이터!G1936</f>
        <v>0.20208869176764219</v>
      </c>
      <c r="L77" s="20">
        <f>원천데이터!G2202</f>
        <v>0.20023929116169742</v>
      </c>
      <c r="M77" s="20">
        <f>원천데이터!G2468</f>
        <v>0.18598464704955486</v>
      </c>
      <c r="N77" s="20">
        <f>원천데이터!G2734</f>
        <v>0.18726673100691679</v>
      </c>
      <c r="O77" s="20">
        <f>원천데이터!G3000</f>
        <v>0.20691363270546859</v>
      </c>
      <c r="P77" s="20">
        <f>원천데이터!G3267</f>
        <v>0.20970253854539792</v>
      </c>
      <c r="Q77" s="20">
        <f>원천데이터!G3533</f>
        <v>0.2091791016385191</v>
      </c>
      <c r="R77" s="20">
        <f t="shared" si="2"/>
        <v>0.1971075384614151</v>
      </c>
      <c r="S77" s="27">
        <f t="shared" si="3"/>
        <v>14</v>
      </c>
    </row>
    <row r="78" spans="1:19">
      <c r="A78" s="15" t="s">
        <v>144</v>
      </c>
      <c r="B78" s="15" t="s">
        <v>145</v>
      </c>
      <c r="C78" s="15" t="s">
        <v>146</v>
      </c>
      <c r="D78" s="20">
        <f>원천데이터!G76</f>
        <v>0.45702337883339983</v>
      </c>
      <c r="E78" s="20">
        <f>원천데이터!G339</f>
        <v>0.46060615936125143</v>
      </c>
      <c r="F78" s="20">
        <f>원천데이터!G602</f>
        <v>0.45824494808529642</v>
      </c>
      <c r="G78" s="20">
        <f>원천데이터!G869</f>
        <v>0.46057356501969599</v>
      </c>
      <c r="H78" s="20">
        <f>원천데이터!G1137</f>
        <v>0.46168034367464927</v>
      </c>
      <c r="I78" s="20">
        <f>원천데이터!G1405</f>
        <v>0.46343324140305631</v>
      </c>
      <c r="J78" s="20">
        <f>원천데이터!G1671</f>
        <v>0.46763011761459661</v>
      </c>
      <c r="K78" s="20">
        <f>원천데이터!G1937</f>
        <v>0.47089922943251827</v>
      </c>
      <c r="L78" s="20">
        <f>원천데이터!G2203</f>
        <v>0.47304924891349431</v>
      </c>
      <c r="M78" s="20">
        <f>원천데이터!G2469</f>
        <v>0.47549592919285588</v>
      </c>
      <c r="N78" s="20">
        <f>원천데이터!G2735</f>
        <v>0.48356746428558151</v>
      </c>
      <c r="O78" s="20">
        <f>원천데이터!G3001</f>
        <v>0.47999367888748418</v>
      </c>
      <c r="P78" s="20">
        <f>원천데이터!G3268</f>
        <v>0.47916666666666669</v>
      </c>
      <c r="Q78" s="20">
        <f>원천데이터!G3534</f>
        <v>0.48124148093571562</v>
      </c>
      <c r="R78" s="20">
        <f t="shared" si="2"/>
        <v>0.46947181802187593</v>
      </c>
      <c r="S78" s="27">
        <f t="shared" si="3"/>
        <v>14</v>
      </c>
    </row>
    <row r="79" spans="1:19">
      <c r="A79" s="15" t="s">
        <v>144</v>
      </c>
      <c r="B79" s="15" t="s">
        <v>81</v>
      </c>
      <c r="C79" s="15" t="s">
        <v>147</v>
      </c>
      <c r="D79" s="20">
        <f>원천데이터!G77</f>
        <v>0.50385703672088644</v>
      </c>
      <c r="E79" s="20">
        <f>원천데이터!G340</f>
        <v>0.49938258630655247</v>
      </c>
      <c r="F79" s="20">
        <f>원천데이터!G603</f>
        <v>0.49946286407703239</v>
      </c>
      <c r="G79" s="20">
        <f>원천데이터!G870</f>
        <v>0.49973176535576941</v>
      </c>
      <c r="H79" s="20">
        <f>원천데이터!G1138</f>
        <v>0.50049854240870695</v>
      </c>
      <c r="I79" s="20">
        <f>원천데이터!G1406</f>
        <v>0.50169945326709264</v>
      </c>
      <c r="J79" s="20">
        <f>원천데이터!G1672</f>
        <v>0.5017775421906091</v>
      </c>
      <c r="K79" s="20">
        <f>원천데이터!G1938</f>
        <v>0.49844028892188097</v>
      </c>
      <c r="L79" s="20">
        <f>원천데이터!G2204</f>
        <v>0.49702623124092982</v>
      </c>
      <c r="M79" s="20">
        <f>원천데이터!G2470</f>
        <v>0.49529771264129113</v>
      </c>
      <c r="N79" s="20">
        <f>원천데이터!G2736</f>
        <v>0.49308952838884729</v>
      </c>
      <c r="O79" s="20">
        <f>원천데이터!G3002</f>
        <v>0.48833357062283017</v>
      </c>
      <c r="P79" s="20">
        <f>원천데이터!G3269</f>
        <v>0.49158744635493312</v>
      </c>
      <c r="Q79" s="20">
        <f>원천데이터!G3535</f>
        <v>0.49249019420262125</v>
      </c>
      <c r="R79" s="20">
        <f t="shared" si="2"/>
        <v>0.49733391162142737</v>
      </c>
      <c r="S79" s="27">
        <f t="shared" si="3"/>
        <v>14</v>
      </c>
    </row>
    <row r="80" spans="1:19">
      <c r="A80" s="15" t="s">
        <v>144</v>
      </c>
      <c r="B80" s="15" t="s">
        <v>93</v>
      </c>
      <c r="C80" s="15" t="s">
        <v>148</v>
      </c>
      <c r="D80" s="20">
        <f>원천데이터!G78</f>
        <v>0.39247606234299515</v>
      </c>
      <c r="E80" s="20">
        <f>원천데이터!G341</f>
        <v>0.39128901023734169</v>
      </c>
      <c r="F80" s="20">
        <f>원천데이터!G604</f>
        <v>0.39281148192039284</v>
      </c>
      <c r="G80" s="20">
        <f>원천데이터!G871</f>
        <v>0.39498860533856811</v>
      </c>
      <c r="H80" s="20">
        <f>원천데이터!G1139</f>
        <v>0.39476734605746883</v>
      </c>
      <c r="I80" s="20">
        <f>원천데이터!G1407</f>
        <v>0.39949055164055836</v>
      </c>
      <c r="J80" s="20">
        <f>원천데이터!G1673</f>
        <v>0.40169738806127336</v>
      </c>
      <c r="K80" s="20">
        <f>원천데이터!G1939</f>
        <v>0.40522133779611103</v>
      </c>
      <c r="L80" s="20">
        <f>원천데이터!G2205</f>
        <v>0.40778536664937021</v>
      </c>
      <c r="M80" s="20">
        <f>원천데이터!G2471</f>
        <v>0.39988797041709589</v>
      </c>
      <c r="N80" s="20">
        <f>원천데이터!G2737</f>
        <v>0.40657748862177617</v>
      </c>
      <c r="O80" s="20">
        <f>원천데이터!G3003</f>
        <v>0.42007600247703691</v>
      </c>
      <c r="P80" s="20">
        <f>원천데이터!G3270</f>
        <v>0.41171250859183972</v>
      </c>
      <c r="Q80" s="20">
        <f>원천데이터!G3536</f>
        <v>0.41053903913421808</v>
      </c>
      <c r="R80" s="20">
        <f t="shared" si="2"/>
        <v>0.4020942970918604</v>
      </c>
      <c r="S80" s="27">
        <f t="shared" si="3"/>
        <v>14</v>
      </c>
    </row>
    <row r="81" spans="1:19">
      <c r="A81" s="15" t="s">
        <v>144</v>
      </c>
      <c r="B81" s="15" t="s">
        <v>149</v>
      </c>
      <c r="C81" s="15" t="s">
        <v>150</v>
      </c>
      <c r="D81" s="20">
        <f>원천데이터!G79</f>
        <v>0.47443072877672882</v>
      </c>
      <c r="E81" s="20">
        <f>원천데이터!G342</f>
        <v>0.47039639827925528</v>
      </c>
      <c r="F81" s="20">
        <f>원천데이터!G605</f>
        <v>0.46714950526933935</v>
      </c>
      <c r="G81" s="20">
        <f>원천데이터!G872</f>
        <v>0.47360178122886437</v>
      </c>
      <c r="H81" s="20">
        <f>원천데이터!G1140</f>
        <v>0.47138533389703935</v>
      </c>
      <c r="I81" s="20">
        <f>원천데이터!G1408</f>
        <v>0.47215800771574823</v>
      </c>
      <c r="J81" s="20">
        <f>원천데이터!G1674</f>
        <v>0.4704437287725739</v>
      </c>
      <c r="K81" s="20">
        <f>원천데이터!G1940</f>
        <v>0.4651100420108637</v>
      </c>
      <c r="L81" s="20">
        <f>원천데이터!G2206</f>
        <v>0.46398048862845997</v>
      </c>
      <c r="M81" s="20">
        <f>원천데이터!G2472</f>
        <v>0.46071646417487311</v>
      </c>
      <c r="N81" s="20">
        <f>원천데이터!G2738</f>
        <v>0.4617217977208084</v>
      </c>
      <c r="O81" s="20">
        <f>원천데이터!G3004</f>
        <v>0.45580644494369632</v>
      </c>
      <c r="P81" s="20">
        <f>원천데이터!G3271</f>
        <v>0.46173733107965209</v>
      </c>
      <c r="Q81" s="20">
        <f>원천데이터!G3537</f>
        <v>0.46022276875546253</v>
      </c>
      <c r="R81" s="20">
        <f t="shared" si="2"/>
        <v>0.46634720151809755</v>
      </c>
      <c r="S81" s="27">
        <f t="shared" si="3"/>
        <v>14</v>
      </c>
    </row>
    <row r="82" spans="1:19">
      <c r="A82" s="15" t="s">
        <v>144</v>
      </c>
      <c r="B82" s="15" t="s">
        <v>69</v>
      </c>
      <c r="C82" s="15" t="s">
        <v>151</v>
      </c>
      <c r="D82" s="20">
        <f>원천데이터!G80</f>
        <v>0.45136774246112171</v>
      </c>
      <c r="E82" s="20">
        <f>원천데이터!G343</f>
        <v>0.45206132601052018</v>
      </c>
      <c r="F82" s="20">
        <f>원천데이터!G606</f>
        <v>0.45502644167055822</v>
      </c>
      <c r="G82" s="20">
        <f>원천데이터!G873</f>
        <v>0.45558146675429673</v>
      </c>
      <c r="H82" s="20">
        <f>원천데이터!G1141</f>
        <v>0.4568514023036</v>
      </c>
      <c r="I82" s="20">
        <f>원천데이터!G1409</f>
        <v>0.46042456817987915</v>
      </c>
      <c r="J82" s="20">
        <f>원천데이터!G1675</f>
        <v>0.46247188196426986</v>
      </c>
      <c r="K82" s="20">
        <f>원천데이터!G1941</f>
        <v>0.46214838437741074</v>
      </c>
      <c r="L82" s="20">
        <f>원천데이터!G2207</f>
        <v>0.46616871587077563</v>
      </c>
      <c r="M82" s="20">
        <f>원천데이터!G2473</f>
        <v>0.46413209221875784</v>
      </c>
      <c r="N82" s="20">
        <f>원천데이터!G2739</f>
        <v>0.46711101770967045</v>
      </c>
      <c r="O82" s="20">
        <f>원천데이터!G3005</f>
        <v>0.46869119898062483</v>
      </c>
      <c r="P82" s="20">
        <f>원천데이터!G3272</f>
        <v>0.47224585341985131</v>
      </c>
      <c r="Q82" s="20">
        <f>원천데이터!G3538</f>
        <v>0.47736644915458704</v>
      </c>
      <c r="R82" s="20">
        <f t="shared" si="2"/>
        <v>0.46226061007685171</v>
      </c>
      <c r="S82" s="27">
        <f t="shared" si="3"/>
        <v>14</v>
      </c>
    </row>
    <row r="83" spans="1:19">
      <c r="A83" s="15" t="s">
        <v>152</v>
      </c>
      <c r="B83" s="15" t="s">
        <v>22</v>
      </c>
      <c r="C83" s="15" t="s">
        <v>152</v>
      </c>
      <c r="D83" s="20">
        <f>원천데이터!G81</f>
        <v>0.19038178181766274</v>
      </c>
      <c r="E83" s="20">
        <f>원천데이터!G344</f>
        <v>0.19320427997136749</v>
      </c>
      <c r="F83" s="20">
        <f>원천데이터!G607</f>
        <v>0.1936878223510024</v>
      </c>
      <c r="G83" s="20">
        <f>원천데이터!G874</f>
        <v>0.19579611990226065</v>
      </c>
      <c r="H83" s="20">
        <f>원천데이터!G1142</f>
        <v>0.20030989976586508</v>
      </c>
      <c r="I83" s="20">
        <f>원천데이터!G1410</f>
        <v>0.20104399955845606</v>
      </c>
      <c r="J83" s="20">
        <f>원천데이터!G1676</f>
        <v>0.20219916842548027</v>
      </c>
      <c r="K83" s="20">
        <f>원천데이터!G1942</f>
        <v>0.20107745228334581</v>
      </c>
      <c r="L83" s="20">
        <f>원천데이터!G2208</f>
        <v>0.20276801141460418</v>
      </c>
      <c r="M83" s="20">
        <f>원천데이터!G2474</f>
        <v>0.18006386526756135</v>
      </c>
      <c r="N83" s="20">
        <f>원천데이터!G2740</f>
        <v>0.18291009031479114</v>
      </c>
      <c r="O83" s="20">
        <f>원천데이터!G3006</f>
        <v>0.19999939419594279</v>
      </c>
      <c r="P83" s="20">
        <f>원천데이터!G3273</f>
        <v>0.20326225633931491</v>
      </c>
      <c r="Q83" s="20">
        <f>원천데이터!G3539</f>
        <v>0.1999381636135272</v>
      </c>
      <c r="R83" s="20">
        <f t="shared" si="2"/>
        <v>0.19618873608722726</v>
      </c>
      <c r="S83" s="27">
        <f t="shared" si="3"/>
        <v>14</v>
      </c>
    </row>
    <row r="84" spans="1:19">
      <c r="A84" s="15" t="s">
        <v>152</v>
      </c>
      <c r="B84" s="15" t="s">
        <v>79</v>
      </c>
      <c r="C84" s="15" t="s">
        <v>153</v>
      </c>
      <c r="D84" s="20">
        <f>원천데이터!G82</f>
        <v>0.35477982371972699</v>
      </c>
      <c r="E84" s="20">
        <f>원천데이터!G345</f>
        <v>0.35418076096357892</v>
      </c>
      <c r="F84" s="20">
        <f>원천데이터!G608</f>
        <v>0.35166990758588079</v>
      </c>
      <c r="G84" s="20">
        <f>원천데이터!G875</f>
        <v>0.35550765004387808</v>
      </c>
      <c r="H84" s="20">
        <f>원천데이터!G1143</f>
        <v>0.35809157414066789</v>
      </c>
      <c r="I84" s="20">
        <f>원천데이터!G1411</f>
        <v>0.35973784561783667</v>
      </c>
      <c r="J84" s="20">
        <f>원천데이터!G1677</f>
        <v>0.3591298030177924</v>
      </c>
      <c r="K84" s="20">
        <f>원천데이터!G1943</f>
        <v>0.36248233284486719</v>
      </c>
      <c r="L84" s="20">
        <f>원천데이터!G2209</f>
        <v>0.36418540347813433</v>
      </c>
      <c r="M84" s="20">
        <f>원천데이터!G2475</f>
        <v>0.35255714762368084</v>
      </c>
      <c r="N84" s="20">
        <f>원천데이터!G2741</f>
        <v>0.35784586685970432</v>
      </c>
      <c r="O84" s="20">
        <f>원천데이터!G3007</f>
        <v>0.37237360814091186</v>
      </c>
      <c r="P84" s="20">
        <f>원천데이터!G3274</f>
        <v>0.37286453454658997</v>
      </c>
      <c r="Q84" s="20">
        <f>원천데이터!G3540</f>
        <v>0.36994344281642066</v>
      </c>
      <c r="R84" s="20">
        <f t="shared" si="2"/>
        <v>0.36038212152854798</v>
      </c>
      <c r="S84" s="27">
        <f t="shared" si="3"/>
        <v>14</v>
      </c>
    </row>
    <row r="85" spans="1:19">
      <c r="A85" s="15" t="s">
        <v>152</v>
      </c>
      <c r="B85" s="15" t="s">
        <v>81</v>
      </c>
      <c r="C85" s="15" t="s">
        <v>154</v>
      </c>
      <c r="D85" s="20">
        <f>원천데이터!G83</f>
        <v>0.34217128046618128</v>
      </c>
      <c r="E85" s="20">
        <f>원천데이터!G346</f>
        <v>0.33961160904822879</v>
      </c>
      <c r="F85" s="20">
        <f>원천데이터!G609</f>
        <v>0.33901619846893477</v>
      </c>
      <c r="G85" s="20">
        <f>원천데이터!G876</f>
        <v>0.34874999485425184</v>
      </c>
      <c r="H85" s="20">
        <f>원천데이터!G1144</f>
        <v>0.34805293757143096</v>
      </c>
      <c r="I85" s="20">
        <f>원천데이터!G1412</f>
        <v>0.35114901427431655</v>
      </c>
      <c r="J85" s="20">
        <f>원천데이터!G1678</f>
        <v>0.35735308400086141</v>
      </c>
      <c r="K85" s="20">
        <f>원천데이터!G1944</f>
        <v>0.35883361921097773</v>
      </c>
      <c r="L85" s="20">
        <f>원천데이터!G2210</f>
        <v>0.36185442868611184</v>
      </c>
      <c r="M85" s="20">
        <f>원천데이터!G2476</f>
        <v>0.35361331108552091</v>
      </c>
      <c r="N85" s="20">
        <f>원천데이터!G2742</f>
        <v>0.36267215893965504</v>
      </c>
      <c r="O85" s="20">
        <f>원천데이터!G3008</f>
        <v>0.37134166978392918</v>
      </c>
      <c r="P85" s="20">
        <f>원천데이터!G3275</f>
        <v>0.3789471362724125</v>
      </c>
      <c r="Q85" s="20">
        <f>원천데이터!G3541</f>
        <v>0.38282253947576883</v>
      </c>
      <c r="R85" s="20">
        <f t="shared" si="2"/>
        <v>0.35687064158132725</v>
      </c>
      <c r="S85" s="27">
        <f t="shared" si="3"/>
        <v>14</v>
      </c>
    </row>
    <row r="86" spans="1:19">
      <c r="A86" s="15" t="s">
        <v>152</v>
      </c>
      <c r="B86" s="15" t="s">
        <v>87</v>
      </c>
      <c r="C86" s="15" t="s">
        <v>155</v>
      </c>
      <c r="D86" s="20">
        <f>원천데이터!G84</f>
        <v>0.46110462781945011</v>
      </c>
      <c r="E86" s="20">
        <f>원천데이터!G347</f>
        <v>0.45854831769754961</v>
      </c>
      <c r="F86" s="20">
        <f>원천데이터!G610</f>
        <v>0.46297271291370889</v>
      </c>
      <c r="G86" s="20">
        <f>원천데이터!G877</f>
        <v>0.45992403844439295</v>
      </c>
      <c r="H86" s="20">
        <f>원천데이터!G1145</f>
        <v>0.46157261090616974</v>
      </c>
      <c r="I86" s="20">
        <f>원천데이터!G1413</f>
        <v>0.46448703878002451</v>
      </c>
      <c r="J86" s="20">
        <f>원천데이터!G1679</f>
        <v>0.46669481512030192</v>
      </c>
      <c r="K86" s="20">
        <f>원천데이터!G1945</f>
        <v>0.46731686021682256</v>
      </c>
      <c r="L86" s="20">
        <f>원천데이터!G2211</f>
        <v>0.47413730955928296</v>
      </c>
      <c r="M86" s="20">
        <f>원천데이터!G2477</f>
        <v>0.46659646403729699</v>
      </c>
      <c r="N86" s="20">
        <f>원천데이터!G2743</f>
        <v>0.46635742950956377</v>
      </c>
      <c r="O86" s="20">
        <f>원천데이터!G3009</f>
        <v>0.45229525002847704</v>
      </c>
      <c r="P86" s="20">
        <f>원천데이터!G3276</f>
        <v>0.45770754898138505</v>
      </c>
      <c r="Q86" s="20">
        <f>원천데이터!G3542</f>
        <v>0.45661013266944789</v>
      </c>
      <c r="R86" s="20">
        <f t="shared" si="2"/>
        <v>0.46259465404884814</v>
      </c>
      <c r="S86" s="27">
        <f t="shared" si="3"/>
        <v>14</v>
      </c>
    </row>
    <row r="87" spans="1:19">
      <c r="A87" s="15" t="s">
        <v>152</v>
      </c>
      <c r="B87" s="15" t="s">
        <v>156</v>
      </c>
      <c r="C87" s="15" t="s">
        <v>157</v>
      </c>
      <c r="D87" s="20">
        <f>원천데이터!G85</f>
        <v>0.50152962961713721</v>
      </c>
      <c r="E87" s="20">
        <f>원천데이터!G348</f>
        <v>0.49877630136271078</v>
      </c>
      <c r="F87" s="20">
        <f>원천데이터!G611</f>
        <v>0.50404603024605155</v>
      </c>
      <c r="G87" s="20">
        <f>원천데이터!G878</f>
        <v>0.50479624166939796</v>
      </c>
      <c r="H87" s="20">
        <f>원천데이터!G1146</f>
        <v>0.51408045977011496</v>
      </c>
      <c r="I87" s="20">
        <f>원천데이터!G1414</f>
        <v>0.51103877596939928</v>
      </c>
      <c r="J87" s="20">
        <f>원천데이터!G1680</f>
        <v>0.51154944199325203</v>
      </c>
      <c r="K87" s="20">
        <f>원천데이터!G1946</f>
        <v>0.50868761005637841</v>
      </c>
      <c r="L87" s="20">
        <f>원천데이터!G2212</f>
        <v>0.51410201231455699</v>
      </c>
      <c r="M87" s="20">
        <f>원천데이터!G2478</f>
        <v>0.51484828225754276</v>
      </c>
      <c r="N87" s="20">
        <f>원천데이터!G2744</f>
        <v>0.5156552819218625</v>
      </c>
      <c r="O87" s="20">
        <f>원천데이터!G3010</f>
        <v>0.49999859368451843</v>
      </c>
      <c r="P87" s="20">
        <f>원천데이터!G3277</f>
        <v>0.5025543970793821</v>
      </c>
      <c r="Q87" s="20">
        <f>원천데이터!G3543</f>
        <v>0.5060487404083438</v>
      </c>
      <c r="R87" s="20">
        <f t="shared" si="2"/>
        <v>0.50769369988218915</v>
      </c>
      <c r="S87" s="27">
        <f t="shared" si="3"/>
        <v>14</v>
      </c>
    </row>
    <row r="88" spans="1:19">
      <c r="A88" s="15" t="s">
        <v>152</v>
      </c>
      <c r="B88" s="15" t="s">
        <v>69</v>
      </c>
      <c r="C88" s="15" t="s">
        <v>158</v>
      </c>
      <c r="D88" s="20">
        <f>원천데이터!G86</f>
        <v>0.46726027357110828</v>
      </c>
      <c r="E88" s="20">
        <f>원천데이터!G349</f>
        <v>0.46417038938089106</v>
      </c>
      <c r="F88" s="20">
        <f>원천데이터!G612</f>
        <v>0.46834747274757405</v>
      </c>
      <c r="G88" s="20">
        <f>원천데이터!G879</f>
        <v>0.47398643451506889</v>
      </c>
      <c r="H88" s="20">
        <f>원천데이터!G1147</f>
        <v>0.47651214104100142</v>
      </c>
      <c r="I88" s="20">
        <f>원천데이터!G1415</f>
        <v>0.47311005663885164</v>
      </c>
      <c r="J88" s="20">
        <f>원천데이터!G1681</f>
        <v>0.47281163480373384</v>
      </c>
      <c r="K88" s="20">
        <f>원천데이터!G1947</f>
        <v>0.471304683738481</v>
      </c>
      <c r="L88" s="20">
        <f>원천데이터!G2213</f>
        <v>0.47254755763924955</v>
      </c>
      <c r="M88" s="20">
        <f>원천데이터!G2479</f>
        <v>0.47231098399803739</v>
      </c>
      <c r="N88" s="20">
        <f>원천데이터!G2745</f>
        <v>0.47340683079444301</v>
      </c>
      <c r="O88" s="20">
        <f>원천데이터!G3011</f>
        <v>0.46747172930998848</v>
      </c>
      <c r="P88" s="20">
        <f>원천데이터!G3278</f>
        <v>0.47459536125479729</v>
      </c>
      <c r="Q88" s="20">
        <f>원천데이터!G3544</f>
        <v>0.47550414897722887</v>
      </c>
      <c r="R88" s="20">
        <f t="shared" si="2"/>
        <v>0.47166712131503241</v>
      </c>
      <c r="S88" s="27">
        <f t="shared" si="3"/>
        <v>14</v>
      </c>
    </row>
    <row r="89" spans="1:19">
      <c r="A89" s="15" t="s">
        <v>159</v>
      </c>
      <c r="B89" s="15" t="s">
        <v>22</v>
      </c>
      <c r="C89" s="15" t="s">
        <v>159</v>
      </c>
      <c r="D89" s="20"/>
      <c r="E89" s="20">
        <f>원천데이터!G350</f>
        <v>0.50606176420833671</v>
      </c>
      <c r="F89" s="20">
        <f>원천데이터!G613</f>
        <v>0.49747827809696316</v>
      </c>
      <c r="G89" s="20">
        <f>원천데이터!G880</f>
        <v>0.52039158143711262</v>
      </c>
      <c r="H89" s="20">
        <f>원천데이터!G1148</f>
        <v>0.50150675024108005</v>
      </c>
      <c r="I89" s="20">
        <f>원천데이터!G1416</f>
        <v>0.47964155805824821</v>
      </c>
      <c r="J89" s="20">
        <f>원천데이터!G1682</f>
        <v>0.46292927334814571</v>
      </c>
      <c r="K89" s="20">
        <f>원천데이터!G1948</f>
        <v>0.45271063378896542</v>
      </c>
      <c r="L89" s="20">
        <f>원천데이터!G2214</f>
        <v>0.44405595774587225</v>
      </c>
      <c r="M89" s="20">
        <f>원천데이터!G2480</f>
        <v>0.42032458662261546</v>
      </c>
      <c r="N89" s="20">
        <f>원천데이터!G2746</f>
        <v>0.40258852202879614</v>
      </c>
      <c r="O89" s="20">
        <f>원천데이터!G3012</f>
        <v>0.39781143867986429</v>
      </c>
      <c r="P89" s="20">
        <f>원천데이터!G3279</f>
        <v>0.39231409042391374</v>
      </c>
      <c r="Q89" s="20">
        <f>원천데이터!G3545</f>
        <v>0.38600908903483189</v>
      </c>
      <c r="R89" s="20">
        <f t="shared" si="2"/>
        <v>0.45106334797805725</v>
      </c>
      <c r="S89" s="27">
        <f t="shared" si="3"/>
        <v>13</v>
      </c>
    </row>
    <row r="90" spans="1:19">
      <c r="A90" s="15" t="s">
        <v>160</v>
      </c>
      <c r="B90" s="15" t="s">
        <v>22</v>
      </c>
      <c r="C90" s="15" t="s">
        <v>160</v>
      </c>
      <c r="D90" s="20">
        <f>원천데이터!G87</f>
        <v>0.27093805992719561</v>
      </c>
      <c r="E90" s="20">
        <f>원천데이터!G351</f>
        <v>0.27205804794088484</v>
      </c>
      <c r="F90" s="20">
        <f>원천데이터!G614</f>
        <v>0.27283754363488449</v>
      </c>
      <c r="G90" s="20">
        <f>원천데이터!G881</f>
        <v>0.27404921988688524</v>
      </c>
      <c r="H90" s="20">
        <f>원천데이터!G1149</f>
        <v>0.27524958335118482</v>
      </c>
      <c r="I90" s="20">
        <f>원천데이터!G1417</f>
        <v>0.27948130382764474</v>
      </c>
      <c r="J90" s="20">
        <f>원천데이터!G1683</f>
        <v>0.27944172958352448</v>
      </c>
      <c r="K90" s="20">
        <f>원천데이터!G1949</f>
        <v>0.28076258315009639</v>
      </c>
      <c r="L90" s="20">
        <f>원천데이터!G2215</f>
        <v>0.28233496958635845</v>
      </c>
      <c r="M90" s="20">
        <f>원천데이터!G2481</f>
        <v>0.26951292928315668</v>
      </c>
      <c r="N90" s="20">
        <f>원천데이터!G2747</f>
        <v>0.27189519032185228</v>
      </c>
      <c r="O90" s="20">
        <f>원천데이터!G3013</f>
        <v>0.28234645300775335</v>
      </c>
      <c r="P90" s="20">
        <f>원천데이터!G3280</f>
        <v>0.28235481854544975</v>
      </c>
      <c r="Q90" s="20">
        <f>원천데이터!G3546</f>
        <v>0.27895380117413193</v>
      </c>
      <c r="R90" s="20">
        <f t="shared" si="2"/>
        <v>0.27658687380150021</v>
      </c>
      <c r="S90" s="27">
        <f t="shared" si="3"/>
        <v>14</v>
      </c>
    </row>
    <row r="91" spans="1:19">
      <c r="A91" s="15" t="s">
        <v>160</v>
      </c>
      <c r="B91" s="15" t="s">
        <v>161</v>
      </c>
      <c r="C91" s="15" t="s">
        <v>162</v>
      </c>
      <c r="D91" s="20">
        <f>원천데이터!G88</f>
        <v>0.46825174171225509</v>
      </c>
      <c r="E91" s="20">
        <f>원천데이터!G352</f>
        <v>0.47453439971122063</v>
      </c>
      <c r="F91" s="20">
        <f>원천데이터!G615</f>
        <v>0.47411014179121302</v>
      </c>
      <c r="G91" s="20">
        <f>원천데이터!G882</f>
        <v>0.47753070544938592</v>
      </c>
      <c r="H91" s="20">
        <f>원천데이터!G1150</f>
        <v>0.48270736299672978</v>
      </c>
      <c r="I91" s="20">
        <f>원천데이터!G1418</f>
        <v>0.49586487690056619</v>
      </c>
      <c r="J91" s="20">
        <f>원천데이터!G1684</f>
        <v>0.49778075093442065</v>
      </c>
      <c r="K91" s="20">
        <f>원천데이터!G1950</f>
        <v>0.49925652893254308</v>
      </c>
      <c r="L91" s="20">
        <f>원천데이터!G2216</f>
        <v>0.50741010943199583</v>
      </c>
      <c r="M91" s="20">
        <f>원천데이터!G2482</f>
        <v>0.49503856462994367</v>
      </c>
      <c r="N91" s="20">
        <f>원천데이터!G2748</f>
        <v>0.49397437389565457</v>
      </c>
      <c r="O91" s="20">
        <f>원천데이터!G3014</f>
        <v>0.49476714819678758</v>
      </c>
      <c r="P91" s="20">
        <f>원천데이터!G3281</f>
        <v>0.49916888467382547</v>
      </c>
      <c r="Q91" s="20">
        <f>원천데이터!G3547</f>
        <v>0.50149372431864758</v>
      </c>
      <c r="R91" s="20">
        <f t="shared" si="2"/>
        <v>0.49013495096965637</v>
      </c>
      <c r="S91" s="27">
        <f t="shared" si="3"/>
        <v>14</v>
      </c>
    </row>
    <row r="92" spans="1:19">
      <c r="A92" s="15" t="s">
        <v>160</v>
      </c>
      <c r="B92" s="15" t="s">
        <v>163</v>
      </c>
      <c r="C92" s="15" t="s">
        <v>164</v>
      </c>
      <c r="D92" s="20">
        <f>원천데이터!G89</f>
        <v>0.43978636435913987</v>
      </c>
      <c r="E92" s="20">
        <f>원천데이터!G353</f>
        <v>0.43954278412077513</v>
      </c>
      <c r="F92" s="20">
        <f>원천데이터!G616</f>
        <v>0.44933282824885562</v>
      </c>
      <c r="G92" s="20">
        <f>원천데이터!G883</f>
        <v>0.45113646473107055</v>
      </c>
      <c r="H92" s="20">
        <f>원천데이터!G1151</f>
        <v>0.45358668079504222</v>
      </c>
      <c r="I92" s="20">
        <f>원천데이터!G1419</f>
        <v>0.44943069113627487</v>
      </c>
      <c r="J92" s="20">
        <f>원천데이터!G1685</f>
        <v>0.44970585279497821</v>
      </c>
      <c r="K92" s="20">
        <f>원천데이터!G1951</f>
        <v>0.44819447794506034</v>
      </c>
      <c r="L92" s="20">
        <f>원천데이터!G2217</f>
        <v>0.46332375360709016</v>
      </c>
      <c r="M92" s="20">
        <f>원천데이터!G2483</f>
        <v>0.4621301466367479</v>
      </c>
      <c r="N92" s="20">
        <f>원천데이터!G2749</f>
        <v>0.4604744156267328</v>
      </c>
      <c r="O92" s="20">
        <f>원천데이터!G3015</f>
        <v>0.4529006159786706</v>
      </c>
      <c r="P92" s="20">
        <f>원천데이터!G3282</f>
        <v>0.45373850886858758</v>
      </c>
      <c r="Q92" s="20">
        <f>원천데이터!G3548</f>
        <v>0.45006927675072245</v>
      </c>
      <c r="R92" s="20">
        <f t="shared" si="2"/>
        <v>0.45166806154283917</v>
      </c>
      <c r="S92" s="27">
        <f t="shared" si="3"/>
        <v>14</v>
      </c>
    </row>
    <row r="93" spans="1:19">
      <c r="A93" s="15" t="s">
        <v>160</v>
      </c>
      <c r="B93" s="15" t="s">
        <v>165</v>
      </c>
      <c r="C93" s="15" t="s">
        <v>166</v>
      </c>
      <c r="D93" s="20">
        <f>원천데이터!G90</f>
        <v>0.36270578375222684</v>
      </c>
      <c r="E93" s="20">
        <f>원천데이터!G354</f>
        <v>0.45553338177955005</v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>
        <f t="shared" si="2"/>
        <v>0.40911958276588845</v>
      </c>
      <c r="S93" s="27">
        <f t="shared" si="3"/>
        <v>2</v>
      </c>
    </row>
    <row r="94" spans="1:19">
      <c r="A94" s="15" t="s">
        <v>160</v>
      </c>
      <c r="B94" s="15" t="s">
        <v>167</v>
      </c>
      <c r="C94" s="15" t="s">
        <v>168</v>
      </c>
      <c r="D94" s="20"/>
      <c r="E94" s="20"/>
      <c r="F94" s="20">
        <f>원천데이터!G617</f>
        <v>0.46275317795567111</v>
      </c>
      <c r="G94" s="20">
        <f>원천데이터!G884</f>
        <v>0.46125631114780691</v>
      </c>
      <c r="H94" s="20">
        <f>원천데이터!G1152</f>
        <v>0.46107471917510889</v>
      </c>
      <c r="I94" s="20">
        <f>원천데이터!G1420</f>
        <v>0.46196122382467486</v>
      </c>
      <c r="J94" s="20">
        <f>원천데이터!G1686</f>
        <v>0.45916429360687178</v>
      </c>
      <c r="K94" s="20">
        <f>원천데이터!G1952</f>
        <v>0.46197684242822501</v>
      </c>
      <c r="L94" s="20">
        <f>원천데이터!G2218</f>
        <v>0.46590188296272134</v>
      </c>
      <c r="M94" s="20">
        <f>원천데이터!G2484</f>
        <v>0.46248004638544299</v>
      </c>
      <c r="N94" s="20">
        <f>원천데이터!G2750</f>
        <v>0.46211199843130296</v>
      </c>
      <c r="O94" s="20">
        <f>원천데이터!G3016</f>
        <v>0.46440267908334348</v>
      </c>
      <c r="P94" s="20">
        <f>원천데이터!G3283</f>
        <v>0.46565498583928649</v>
      </c>
      <c r="Q94" s="20">
        <f>원천데이터!G3549</f>
        <v>0.46887709580076026</v>
      </c>
      <c r="R94" s="20">
        <f t="shared" si="2"/>
        <v>0.46313460472010126</v>
      </c>
      <c r="S94" s="27">
        <f t="shared" si="3"/>
        <v>12</v>
      </c>
    </row>
    <row r="95" spans="1:19">
      <c r="A95" s="15" t="s">
        <v>160</v>
      </c>
      <c r="B95" s="15" t="s">
        <v>169</v>
      </c>
      <c r="C95" s="15" t="s">
        <v>170</v>
      </c>
      <c r="D95" s="20"/>
      <c r="E95" s="20"/>
      <c r="F95" s="20">
        <f>원천데이터!G618</f>
        <v>0.45393657704300761</v>
      </c>
      <c r="G95" s="20">
        <f>원천데이터!G885</f>
        <v>0.45705441938052266</v>
      </c>
      <c r="H95" s="20">
        <f>원천데이터!G1153</f>
        <v>0.45893441573875998</v>
      </c>
      <c r="I95" s="20">
        <f>원천데이터!G1421</f>
        <v>0.46396192102302791</v>
      </c>
      <c r="J95" s="20">
        <f>원천데이터!G1687</f>
        <v>0.4613133121261907</v>
      </c>
      <c r="K95" s="20">
        <f>원천데이터!G1953</f>
        <v>0.46533154269298671</v>
      </c>
      <c r="L95" s="20">
        <f>원천데이터!G2219</f>
        <v>0.47001377129228589</v>
      </c>
      <c r="M95" s="20">
        <f>원천데이터!G2485</f>
        <v>0.4661933389802107</v>
      </c>
      <c r="N95" s="20">
        <f>원천데이터!G2751</f>
        <v>0.46831639998728297</v>
      </c>
      <c r="O95" s="20">
        <f>원천데이터!G3017</f>
        <v>0.46569646123328723</v>
      </c>
      <c r="P95" s="20">
        <f>원천데이터!G3284</f>
        <v>0.46648485434503612</v>
      </c>
      <c r="Q95" s="20">
        <f>원천데이터!G3550</f>
        <v>0.46647991028545133</v>
      </c>
      <c r="R95" s="20">
        <f t="shared" si="2"/>
        <v>0.46364307701067081</v>
      </c>
      <c r="S95" s="27">
        <f t="shared" si="3"/>
        <v>12</v>
      </c>
    </row>
    <row r="96" spans="1:19">
      <c r="A96" s="15" t="s">
        <v>160</v>
      </c>
      <c r="B96" s="15" t="s">
        <v>171</v>
      </c>
      <c r="C96" s="15" t="s">
        <v>172</v>
      </c>
      <c r="D96" s="20">
        <f>원천데이터!G91</f>
        <v>0.50678589170392452</v>
      </c>
      <c r="E96" s="20">
        <f>원천데이터!G355</f>
        <v>0.50718120406505673</v>
      </c>
      <c r="F96" s="20">
        <f>원천데이터!G619</f>
        <v>0.50920476388641178</v>
      </c>
      <c r="G96" s="20">
        <f>원천데이터!G886</f>
        <v>0.5073308585326467</v>
      </c>
      <c r="H96" s="20">
        <f>원천데이터!G1154</f>
        <v>0.5088180337533349</v>
      </c>
      <c r="I96" s="20">
        <f>원천데이터!G1422</f>
        <v>0.5095740940040705</v>
      </c>
      <c r="J96" s="20">
        <f>원천데이터!G1688</f>
        <v>0.50981663052701043</v>
      </c>
      <c r="K96" s="20">
        <f>원천데이터!G1954</f>
        <v>0.51613015325093536</v>
      </c>
      <c r="L96" s="20">
        <f>원천데이터!G2220</f>
        <v>0.52104112583686291</v>
      </c>
      <c r="M96" s="20">
        <f>원천데이터!G2486</f>
        <v>0.5299385620191509</v>
      </c>
      <c r="N96" s="20">
        <f>원천데이터!G2752</f>
        <v>0.53229523398551193</v>
      </c>
      <c r="O96" s="20">
        <f>원천데이터!G3018</f>
        <v>0.515949283403773</v>
      </c>
      <c r="P96" s="20">
        <f>원천데이터!G3285</f>
        <v>0.51192183102331257</v>
      </c>
      <c r="Q96" s="20">
        <f>원천데이터!G3551</f>
        <v>0.50774997467328542</v>
      </c>
      <c r="R96" s="20">
        <f t="shared" si="2"/>
        <v>0.51383840290466343</v>
      </c>
      <c r="S96" s="27">
        <f t="shared" si="3"/>
        <v>14</v>
      </c>
    </row>
    <row r="97" spans="1:19">
      <c r="A97" s="15" t="s">
        <v>160</v>
      </c>
      <c r="B97" s="15" t="s">
        <v>173</v>
      </c>
      <c r="C97" s="15" t="s">
        <v>174</v>
      </c>
      <c r="D97" s="20">
        <f>원천데이터!G92</f>
        <v>0.42129891383681028</v>
      </c>
      <c r="E97" s="20">
        <f>원천데이터!G356</f>
        <v>0.41862172324248259</v>
      </c>
      <c r="F97" s="20">
        <f>원천데이터!G620</f>
        <v>0.41903940061522216</v>
      </c>
      <c r="G97" s="20">
        <f>원천데이터!G887</f>
        <v>0.41725831880834935</v>
      </c>
      <c r="H97" s="20">
        <f>원천데이터!G1155</f>
        <v>0.41398249151038008</v>
      </c>
      <c r="I97" s="20">
        <f>원천데이터!G1423</f>
        <v>0.41545826141873532</v>
      </c>
      <c r="J97" s="20">
        <f>원천데이터!G1689</f>
        <v>0.41764608819702193</v>
      </c>
      <c r="K97" s="20">
        <f>원천데이터!G1955</f>
        <v>0.41731579457895601</v>
      </c>
      <c r="L97" s="20">
        <f>원천데이터!G2221</f>
        <v>0.42225975298455509</v>
      </c>
      <c r="M97" s="20">
        <f>원천데이터!G2487</f>
        <v>0.41260944705960984</v>
      </c>
      <c r="N97" s="20">
        <f>원천데이터!G2753</f>
        <v>0.41553989491590204</v>
      </c>
      <c r="O97" s="20">
        <f>원천데이터!G3019</f>
        <v>0.415593742448503</v>
      </c>
      <c r="P97" s="20">
        <f>원천데이터!G3286</f>
        <v>0.41062721971842975</v>
      </c>
      <c r="Q97" s="20">
        <f>원천데이터!G3552</f>
        <v>0.40781538859942118</v>
      </c>
      <c r="R97" s="20">
        <f t="shared" si="2"/>
        <v>0.41607617413816994</v>
      </c>
      <c r="S97" s="27">
        <f t="shared" si="3"/>
        <v>14</v>
      </c>
    </row>
    <row r="98" spans="1:19">
      <c r="A98" s="15" t="s">
        <v>160</v>
      </c>
      <c r="B98" s="15" t="s">
        <v>175</v>
      </c>
      <c r="C98" s="15" t="s">
        <v>176</v>
      </c>
      <c r="D98" s="20">
        <f>원천데이터!G93</f>
        <v>0.46611451868654918</v>
      </c>
      <c r="E98" s="20">
        <f>원천데이터!G357</f>
        <v>0.46803185619932514</v>
      </c>
      <c r="F98" s="20">
        <f>원천데이터!G621</f>
        <v>0.47355257204731815</v>
      </c>
      <c r="G98" s="20">
        <f>원천데이터!G888</f>
        <v>0.47571933632454216</v>
      </c>
      <c r="H98" s="20">
        <f>원천데이터!G1156</f>
        <v>0.48019954989090691</v>
      </c>
      <c r="I98" s="20">
        <f>원천데이터!G1424</f>
        <v>0.48326339186104389</v>
      </c>
      <c r="J98" s="20">
        <f>원천데이터!G1690</f>
        <v>0.48188465056547997</v>
      </c>
      <c r="K98" s="20">
        <f>원천데이터!G1956</f>
        <v>0.47907118966545614</v>
      </c>
      <c r="L98" s="20">
        <f>원천데이터!G2222</f>
        <v>0.47575683981601019</v>
      </c>
      <c r="M98" s="20">
        <f>원천데이터!G2488</f>
        <v>0.47121946108176582</v>
      </c>
      <c r="N98" s="20">
        <f>원천데이터!G2754</f>
        <v>0.4719549363524585</v>
      </c>
      <c r="O98" s="20">
        <f>원천데이터!G3020</f>
        <v>0.45866923196030823</v>
      </c>
      <c r="P98" s="20">
        <f>원천데이터!G3287</f>
        <v>0.45910201654593225</v>
      </c>
      <c r="Q98" s="20">
        <f>원천데이터!G3553</f>
        <v>0.45745284521549834</v>
      </c>
      <c r="R98" s="20">
        <f t="shared" si="2"/>
        <v>0.47157088544375686</v>
      </c>
      <c r="S98" s="27">
        <f t="shared" si="3"/>
        <v>14</v>
      </c>
    </row>
    <row r="99" spans="1:19">
      <c r="A99" s="15" t="s">
        <v>160</v>
      </c>
      <c r="B99" s="15" t="s">
        <v>177</v>
      </c>
      <c r="C99" s="15" t="s">
        <v>178</v>
      </c>
      <c r="D99" s="20">
        <f>원천데이터!G94</f>
        <v>0.41256573968794802</v>
      </c>
      <c r="E99" s="20">
        <f>원천데이터!G358</f>
        <v>0.40205898720089039</v>
      </c>
      <c r="F99" s="20">
        <f>원천데이터!G622</f>
        <v>0.40375544797018076</v>
      </c>
      <c r="G99" s="20">
        <f>원천데이터!G889</f>
        <v>0.40239015789741162</v>
      </c>
      <c r="H99" s="20">
        <f>원천데이터!G1157</f>
        <v>0.40505243872361918</v>
      </c>
      <c r="I99" s="20">
        <f>원천데이터!G1425</f>
        <v>0.42179284718996751</v>
      </c>
      <c r="J99" s="20">
        <f>원천데이터!G1691</f>
        <v>0.4251342215152118</v>
      </c>
      <c r="K99" s="20">
        <f>원천데이터!G1957</f>
        <v>0.42561541572694805</v>
      </c>
      <c r="L99" s="20">
        <f>원천데이터!G2223</f>
        <v>0.42744172322218943</v>
      </c>
      <c r="M99" s="20">
        <f>원천데이터!G2489</f>
        <v>0.4210375223128025</v>
      </c>
      <c r="N99" s="20">
        <f>원천데이터!G2755</f>
        <v>0.42547618348839256</v>
      </c>
      <c r="O99" s="20">
        <f>원천데이터!G3021</f>
        <v>0.42869564614915612</v>
      </c>
      <c r="P99" s="20">
        <f>원천데이터!G3288</f>
        <v>0.43217130173651913</v>
      </c>
      <c r="Q99" s="20">
        <f>원천데이터!G3554</f>
        <v>0.43064780947157355</v>
      </c>
      <c r="R99" s="20">
        <f t="shared" si="2"/>
        <v>0.41884538873520072</v>
      </c>
      <c r="S99" s="27">
        <f t="shared" si="3"/>
        <v>14</v>
      </c>
    </row>
    <row r="100" spans="1:19">
      <c r="A100" s="15" t="s">
        <v>160</v>
      </c>
      <c r="B100" s="15" t="s">
        <v>179</v>
      </c>
      <c r="C100" s="15" t="s">
        <v>180</v>
      </c>
      <c r="D100" s="20">
        <f>원천데이터!G95</f>
        <v>0.4238380432320894</v>
      </c>
      <c r="E100" s="20">
        <f>원천데이터!G359</f>
        <v>0.42454290521592819</v>
      </c>
      <c r="F100" s="20">
        <f>원천데이터!G623</f>
        <v>0.42372935944603418</v>
      </c>
      <c r="G100" s="20">
        <f>원천데이터!G890</f>
        <v>0.42483675954687306</v>
      </c>
      <c r="H100" s="20">
        <f>원천데이터!G1158</f>
        <v>0.42414173354852375</v>
      </c>
      <c r="I100" s="20">
        <f>원천데이터!G1426</f>
        <v>0.42448766731694126</v>
      </c>
      <c r="J100" s="20">
        <f>원천데이터!G1692</f>
        <v>0.42744703299901765</v>
      </c>
      <c r="K100" s="20">
        <f>원천데이터!G1958</f>
        <v>0.42519961414885704</v>
      </c>
      <c r="L100" s="20">
        <f>원천데이터!G2224</f>
        <v>0.42829605844260416</v>
      </c>
      <c r="M100" s="20">
        <f>원천데이터!G2490</f>
        <v>0.42218449787865164</v>
      </c>
      <c r="N100" s="20">
        <f>원천데이터!G2756</f>
        <v>0.42172501810375379</v>
      </c>
      <c r="O100" s="20">
        <f>원천데이터!G3022</f>
        <v>0.42458733594912734</v>
      </c>
      <c r="P100" s="20">
        <f>원천데이터!G3289</f>
        <v>0.426986296935424</v>
      </c>
      <c r="Q100" s="20">
        <f>원천데이터!G3555</f>
        <v>0.42680601327945311</v>
      </c>
      <c r="R100" s="20">
        <f t="shared" si="2"/>
        <v>0.42491488114594844</v>
      </c>
      <c r="S100" s="27">
        <f t="shared" si="3"/>
        <v>14</v>
      </c>
    </row>
    <row r="101" spans="1:19">
      <c r="A101" s="15" t="s">
        <v>160</v>
      </c>
      <c r="B101" s="15" t="s">
        <v>181</v>
      </c>
      <c r="C101" s="15" t="s">
        <v>182</v>
      </c>
      <c r="D101" s="20">
        <f>원천데이터!G96</f>
        <v>0.41678777090803815</v>
      </c>
      <c r="E101" s="20">
        <f>원천데이터!G360</f>
        <v>0.42164249822002081</v>
      </c>
      <c r="F101" s="20">
        <f>원천데이터!G624</f>
        <v>0.4232100901181084</v>
      </c>
      <c r="G101" s="20">
        <f>원천데이터!G891</f>
        <v>0.42319747273249436</v>
      </c>
      <c r="H101" s="20">
        <f>원천데이터!G1159</f>
        <v>0.41167305174726326</v>
      </c>
      <c r="I101" s="20">
        <f>원천데이터!G1427</f>
        <v>0.41156940535875886</v>
      </c>
      <c r="J101" s="20">
        <f>원천데이터!G1693</f>
        <v>0.41205264875448711</v>
      </c>
      <c r="K101" s="20">
        <f>원천데이터!G1959</f>
        <v>0.41472033499287264</v>
      </c>
      <c r="L101" s="20">
        <f>원천데이터!G2225</f>
        <v>0.40453717009843176</v>
      </c>
      <c r="M101" s="20">
        <f>원천데이터!G2491</f>
        <v>0.40390901848748728</v>
      </c>
      <c r="N101" s="20">
        <f>원천데이터!G2757</f>
        <v>0.39001712080572548</v>
      </c>
      <c r="O101" s="20">
        <f>원천데이터!G3023</f>
        <v>0.39249513571094707</v>
      </c>
      <c r="P101" s="20">
        <f>원천데이터!G3290</f>
        <v>0.39944784723227283</v>
      </c>
      <c r="Q101" s="20">
        <f>원천데이터!G3556</f>
        <v>0.39274869034101489</v>
      </c>
      <c r="R101" s="20">
        <f t="shared" si="2"/>
        <v>0.40842916110770877</v>
      </c>
      <c r="S101" s="27">
        <f t="shared" si="3"/>
        <v>14</v>
      </c>
    </row>
    <row r="102" spans="1:19">
      <c r="A102" s="15" t="s">
        <v>160</v>
      </c>
      <c r="B102" s="15" t="s">
        <v>183</v>
      </c>
      <c r="C102" s="15" t="s">
        <v>184</v>
      </c>
      <c r="D102" s="20">
        <f>원천데이터!G97</f>
        <v>0.43422507018493572</v>
      </c>
      <c r="E102" s="20">
        <f>원천데이터!G361</f>
        <v>0.4355553883641235</v>
      </c>
      <c r="F102" s="20">
        <f>원천데이터!G625</f>
        <v>0.43429722050245256</v>
      </c>
      <c r="G102" s="20">
        <f>원천데이터!G892</f>
        <v>0.43278340530378018</v>
      </c>
      <c r="H102" s="20">
        <f>원천데이터!G1160</f>
        <v>0.43327072473351469</v>
      </c>
      <c r="I102" s="20">
        <f>원천데이터!G1428</f>
        <v>0.43682993153116173</v>
      </c>
      <c r="J102" s="20">
        <f>원천데이터!G1694</f>
        <v>0.43072414754094923</v>
      </c>
      <c r="K102" s="20">
        <f>원천데이터!G1960</f>
        <v>0.43585607063125675</v>
      </c>
      <c r="L102" s="20">
        <f>원천데이터!G2226</f>
        <v>0.43903947363295326</v>
      </c>
      <c r="M102" s="20">
        <f>원천데이터!G2492</f>
        <v>0.42882723200377482</v>
      </c>
      <c r="N102" s="20">
        <f>원천데이터!G2758</f>
        <v>0.43270902530526417</v>
      </c>
      <c r="O102" s="20">
        <f>원천데이터!G3024</f>
        <v>0.42349748426944983</v>
      </c>
      <c r="P102" s="20">
        <f>원천데이터!G3291</f>
        <v>0.42483723940677581</v>
      </c>
      <c r="Q102" s="20">
        <f>원천데이터!G3557</f>
        <v>0.42090762976786417</v>
      </c>
      <c r="R102" s="20">
        <f t="shared" si="2"/>
        <v>0.43166857451273261</v>
      </c>
      <c r="S102" s="27">
        <f t="shared" si="3"/>
        <v>14</v>
      </c>
    </row>
    <row r="103" spans="1:19">
      <c r="A103" s="15" t="s">
        <v>160</v>
      </c>
      <c r="B103" s="15" t="s">
        <v>185</v>
      </c>
      <c r="C103" s="15" t="s">
        <v>186</v>
      </c>
      <c r="D103" s="20">
        <f>원천데이터!G98</f>
        <v>0.39767836385913102</v>
      </c>
      <c r="E103" s="20">
        <f>원천데이터!G362</f>
        <v>0.40185744708659116</v>
      </c>
      <c r="F103" s="20">
        <f>원천데이터!G626</f>
        <v>0.40448513840856809</v>
      </c>
      <c r="G103" s="20">
        <f>원천데이터!G893</f>
        <v>0.40754875424561193</v>
      </c>
      <c r="H103" s="20">
        <f>원천데이터!G1161</f>
        <v>0.4104998624504636</v>
      </c>
      <c r="I103" s="20">
        <f>원천데이터!G1429</f>
        <v>0.41554891937034977</v>
      </c>
      <c r="J103" s="20">
        <f>원천데이터!G1695</f>
        <v>0.41376360751858809</v>
      </c>
      <c r="K103" s="20">
        <f>원천데이터!G1961</f>
        <v>0.41942622417321751</v>
      </c>
      <c r="L103" s="20">
        <f>원천데이터!G2227</f>
        <v>0.42753370778363159</v>
      </c>
      <c r="M103" s="20">
        <f>원천데이터!G2493</f>
        <v>0.41655830082358042</v>
      </c>
      <c r="N103" s="20">
        <f>원천데이터!G2759</f>
        <v>0.43137796627887876</v>
      </c>
      <c r="O103" s="20">
        <f>원천데이터!G3025</f>
        <v>0.43183961590123177</v>
      </c>
      <c r="P103" s="20">
        <f>원천데이터!G3292</f>
        <v>0.43374595060480875</v>
      </c>
      <c r="Q103" s="20">
        <f>원천데이터!G3558</f>
        <v>0.43402481404706744</v>
      </c>
      <c r="R103" s="20">
        <f t="shared" si="2"/>
        <v>0.41756347661083709</v>
      </c>
      <c r="S103" s="27">
        <f t="shared" si="3"/>
        <v>14</v>
      </c>
    </row>
    <row r="104" spans="1:19">
      <c r="A104" s="15" t="s">
        <v>160</v>
      </c>
      <c r="B104" s="15" t="s">
        <v>187</v>
      </c>
      <c r="C104" s="15" t="s">
        <v>188</v>
      </c>
      <c r="D104" s="20"/>
      <c r="E104" s="20"/>
      <c r="F104" s="20"/>
      <c r="G104" s="20"/>
      <c r="H104" s="20"/>
      <c r="I104" s="20">
        <f>원천데이터!G1430</f>
        <v>0.35431359939340146</v>
      </c>
      <c r="J104" s="20">
        <f>원천데이터!G1696</f>
        <v>0.35231330253939486</v>
      </c>
      <c r="K104" s="20">
        <f>원천데이터!G1962</f>
        <v>0.3539012431472473</v>
      </c>
      <c r="L104" s="20">
        <f>원천데이터!G2228</f>
        <v>0.35443950349673881</v>
      </c>
      <c r="M104" s="20">
        <f>원천데이터!G2494</f>
        <v>0.34295150782077222</v>
      </c>
      <c r="N104" s="20">
        <f>원천데이터!G2760</f>
        <v>0.34981384462898024</v>
      </c>
      <c r="O104" s="20">
        <f>원천데이터!G3026</f>
        <v>0.35948648302010111</v>
      </c>
      <c r="P104" s="20">
        <f>원천데이터!G3293</f>
        <v>0.35710275328738966</v>
      </c>
      <c r="Q104" s="20"/>
      <c r="R104" s="20">
        <f t="shared" si="2"/>
        <v>0.35304027966675322</v>
      </c>
      <c r="S104" s="27">
        <f t="shared" si="3"/>
        <v>8</v>
      </c>
    </row>
    <row r="105" spans="1:19">
      <c r="A105" s="15" t="s">
        <v>160</v>
      </c>
      <c r="B105" s="15" t="s">
        <v>189</v>
      </c>
      <c r="C105" s="15" t="s">
        <v>190</v>
      </c>
      <c r="D105" s="20">
        <f>원천데이터!G99</f>
        <v>0.49460901009492242</v>
      </c>
      <c r="E105" s="20">
        <f>원천데이터!G363</f>
        <v>0.4933512067544813</v>
      </c>
      <c r="F105" s="20">
        <f>원천데이터!G627</f>
        <v>0.4940984856154309</v>
      </c>
      <c r="G105" s="20">
        <f>원천데이터!G894</f>
        <v>0.4960106343433382</v>
      </c>
      <c r="H105" s="20">
        <f>원천데이터!G1162</f>
        <v>0.49779399749441688</v>
      </c>
      <c r="I105" s="20"/>
      <c r="J105" s="20"/>
      <c r="K105" s="20"/>
      <c r="L105" s="20"/>
      <c r="M105" s="20"/>
      <c r="N105" s="20"/>
      <c r="O105" s="20"/>
      <c r="P105" s="20"/>
      <c r="Q105" s="20">
        <f>원천데이터!G3559</f>
        <v>0.48655128178166601</v>
      </c>
      <c r="R105" s="20">
        <f t="shared" si="2"/>
        <v>0.4937357693473759</v>
      </c>
      <c r="S105" s="27">
        <f t="shared" si="3"/>
        <v>6</v>
      </c>
    </row>
    <row r="106" spans="1:19">
      <c r="A106" s="15" t="s">
        <v>160</v>
      </c>
      <c r="B106" s="15" t="s">
        <v>191</v>
      </c>
      <c r="C106" s="15" t="s">
        <v>192</v>
      </c>
      <c r="D106" s="20">
        <f>원천데이터!G100</f>
        <v>0.47066704064836618</v>
      </c>
      <c r="E106" s="20">
        <f>원천데이터!G364</f>
        <v>0.47030542046549756</v>
      </c>
      <c r="F106" s="20">
        <f>원천데이터!G628</f>
        <v>0.47304629825911998</v>
      </c>
      <c r="G106" s="20">
        <f>원천데이터!G895</f>
        <v>0.47413513483284309</v>
      </c>
      <c r="H106" s="20">
        <f>원천데이터!G1163</f>
        <v>0.48041932398561926</v>
      </c>
      <c r="I106" s="20"/>
      <c r="J106" s="20"/>
      <c r="K106" s="20"/>
      <c r="L106" s="20"/>
      <c r="M106" s="20"/>
      <c r="N106" s="20"/>
      <c r="O106" s="20"/>
      <c r="P106" s="20"/>
      <c r="Q106" s="20">
        <f>원천데이터!G3560</f>
        <v>0.48576033037040767</v>
      </c>
      <c r="R106" s="20">
        <f t="shared" si="2"/>
        <v>0.47572225809364221</v>
      </c>
      <c r="S106" s="27">
        <f t="shared" si="3"/>
        <v>6</v>
      </c>
    </row>
    <row r="107" spans="1:19">
      <c r="A107" s="15" t="s">
        <v>160</v>
      </c>
      <c r="B107" s="15" t="s">
        <v>193</v>
      </c>
      <c r="C107" s="15" t="s">
        <v>194</v>
      </c>
      <c r="D107" s="20">
        <f>원천데이터!G101</f>
        <v>0.40458459660459223</v>
      </c>
      <c r="E107" s="20">
        <f>원천데이터!G365</f>
        <v>0.40185559316350034</v>
      </c>
      <c r="F107" s="20">
        <f>원천데이터!G629</f>
        <v>0.40407856469108633</v>
      </c>
      <c r="G107" s="20">
        <f>원천데이터!G896</f>
        <v>0.40683154978595815</v>
      </c>
      <c r="H107" s="20">
        <f>원천데이터!G1164</f>
        <v>0.40324393143183784</v>
      </c>
      <c r="I107" s="20"/>
      <c r="J107" s="20"/>
      <c r="K107" s="20"/>
      <c r="L107" s="20"/>
      <c r="M107" s="20"/>
      <c r="N107" s="20"/>
      <c r="O107" s="20"/>
      <c r="P107" s="20"/>
      <c r="Q107" s="20">
        <f>원천데이터!G3561</f>
        <v>0.41721505659384051</v>
      </c>
      <c r="R107" s="20">
        <f t="shared" si="2"/>
        <v>0.40630154871180252</v>
      </c>
      <c r="S107" s="27">
        <f t="shared" si="3"/>
        <v>6</v>
      </c>
    </row>
    <row r="108" spans="1:19">
      <c r="A108" s="15" t="s">
        <v>160</v>
      </c>
      <c r="B108" s="15" t="s">
        <v>195</v>
      </c>
      <c r="C108" s="15" t="s">
        <v>196</v>
      </c>
      <c r="D108" s="20">
        <f>원천데이터!G102</f>
        <v>0.40369143039136141</v>
      </c>
      <c r="E108" s="20">
        <f>원천데이터!G366</f>
        <v>0.3983376274962161</v>
      </c>
      <c r="F108" s="20">
        <f>원천데이터!G630</f>
        <v>0.3993812200278451</v>
      </c>
      <c r="G108" s="20">
        <f>원천데이터!G897</f>
        <v>0.39872523806012977</v>
      </c>
      <c r="H108" s="20">
        <f>원천데이터!G1165</f>
        <v>0.39717203001642654</v>
      </c>
      <c r="I108" s="20">
        <f>원천데이터!G1431</f>
        <v>0.39648382938716586</v>
      </c>
      <c r="J108" s="20">
        <f>원천데이터!G1697</f>
        <v>0.3968123122481812</v>
      </c>
      <c r="K108" s="20">
        <f>원천데이터!G1963</f>
        <v>0.39706138186920525</v>
      </c>
      <c r="L108" s="20">
        <f>원천데이터!G2229</f>
        <v>0.39673893443391534</v>
      </c>
      <c r="M108" s="20">
        <f>원천데이터!G2495</f>
        <v>0.38329528287605846</v>
      </c>
      <c r="N108" s="20">
        <f>원천데이터!G2761</f>
        <v>0.39132162631360351</v>
      </c>
      <c r="O108" s="20">
        <f>원천데이터!G3027</f>
        <v>0.40187097436637464</v>
      </c>
      <c r="P108" s="20">
        <f>원천데이터!G3294</f>
        <v>0.39534285623974508</v>
      </c>
      <c r="Q108" s="20">
        <f>원천데이터!G3562</f>
        <v>0.39781536445394911</v>
      </c>
      <c r="R108" s="20">
        <f t="shared" si="2"/>
        <v>0.3967178648700127</v>
      </c>
      <c r="S108" s="27">
        <f t="shared" si="3"/>
        <v>14</v>
      </c>
    </row>
    <row r="109" spans="1:19">
      <c r="A109" s="15" t="s">
        <v>160</v>
      </c>
      <c r="B109" s="15" t="s">
        <v>197</v>
      </c>
      <c r="C109" s="15" t="s">
        <v>198</v>
      </c>
      <c r="D109" s="20">
        <f>원천데이터!G103</f>
        <v>0.50744893726054807</v>
      </c>
      <c r="E109" s="20">
        <f>원천데이터!G367</f>
        <v>0.50610801018409712</v>
      </c>
      <c r="F109" s="20">
        <f>원천데이터!G631</f>
        <v>0.50831859617279307</v>
      </c>
      <c r="G109" s="20">
        <f>원천데이터!G898</f>
        <v>0.51410820444433369</v>
      </c>
      <c r="H109" s="20">
        <f>원천데이터!G1166</f>
        <v>0.51781776820379866</v>
      </c>
      <c r="I109" s="20">
        <f>원천데이터!G1432</f>
        <v>0.52662019349453959</v>
      </c>
      <c r="J109" s="20">
        <f>원천데이터!G1698</f>
        <v>0.51637419761463355</v>
      </c>
      <c r="K109" s="20">
        <f>원천데이터!G1964</f>
        <v>0.51093676980811442</v>
      </c>
      <c r="L109" s="20">
        <f>원천데이터!G2230</f>
        <v>0.51286434930293501</v>
      </c>
      <c r="M109" s="20">
        <f>원천데이터!G2496</f>
        <v>0.51431930724933705</v>
      </c>
      <c r="N109" s="20">
        <f>원천데이터!G2762</f>
        <v>0.50399383864382208</v>
      </c>
      <c r="O109" s="20">
        <f>원천데이터!G3028</f>
        <v>0.49563765618267985</v>
      </c>
      <c r="P109" s="20">
        <f>원천데이터!G3295</f>
        <v>0.50336551046246392</v>
      </c>
      <c r="Q109" s="20">
        <f>원천데이터!G3563</f>
        <v>0.49495720861936837</v>
      </c>
      <c r="R109" s="20">
        <f t="shared" si="2"/>
        <v>0.50949075340310468</v>
      </c>
      <c r="S109" s="27">
        <f t="shared" si="3"/>
        <v>14</v>
      </c>
    </row>
    <row r="110" spans="1:19">
      <c r="A110" s="15" t="s">
        <v>160</v>
      </c>
      <c r="B110" s="15" t="s">
        <v>199</v>
      </c>
      <c r="C110" s="15" t="s">
        <v>200</v>
      </c>
      <c r="D110" s="20">
        <f>원천데이터!G104</f>
        <v>0.48361438116449251</v>
      </c>
      <c r="E110" s="20">
        <f>원천데이터!G368</f>
        <v>0.4803061831153389</v>
      </c>
      <c r="F110" s="20">
        <f>원천데이터!G632</f>
        <v>0.48736547130731428</v>
      </c>
      <c r="G110" s="20">
        <f>원천데이터!G899</f>
        <v>0.48589581929256254</v>
      </c>
      <c r="H110" s="20">
        <f>원천데이터!G1167</f>
        <v>0.49126009453591213</v>
      </c>
      <c r="I110" s="20">
        <f>원천데이터!G1433</f>
        <v>0.49773534984360462</v>
      </c>
      <c r="J110" s="20">
        <f>원천데이터!G1699</f>
        <v>0.50297421385463892</v>
      </c>
      <c r="K110" s="20">
        <f>원천데이터!G1965</f>
        <v>0.50723855427311026</v>
      </c>
      <c r="L110" s="20">
        <f>원천데이터!G2231</f>
        <v>0.50972186721671053</v>
      </c>
      <c r="M110" s="20">
        <f>원천데이터!G2497</f>
        <v>0.5163074484944532</v>
      </c>
      <c r="N110" s="20">
        <f>원천데이터!G2763</f>
        <v>0.52607969593944048</v>
      </c>
      <c r="O110" s="20">
        <f>원천데이터!G3029</f>
        <v>0.52151255855558953</v>
      </c>
      <c r="P110" s="20">
        <f>원천데이터!G3296</f>
        <v>0.51983786137029497</v>
      </c>
      <c r="Q110" s="20">
        <f>원천데이터!G3564</f>
        <v>0.5192528856748897</v>
      </c>
      <c r="R110" s="20">
        <f t="shared" si="2"/>
        <v>0.50350731318845376</v>
      </c>
      <c r="S110" s="27">
        <f t="shared" si="3"/>
        <v>14</v>
      </c>
    </row>
    <row r="111" spans="1:19">
      <c r="A111" s="15" t="s">
        <v>160</v>
      </c>
      <c r="B111" s="15" t="s">
        <v>201</v>
      </c>
      <c r="C111" s="15" t="s">
        <v>202</v>
      </c>
      <c r="D111" s="20">
        <f>원천데이터!G105</f>
        <v>0.51137738361517504</v>
      </c>
      <c r="E111" s="20">
        <f>원천데이터!G369</f>
        <v>0.50374013709694121</v>
      </c>
      <c r="F111" s="20">
        <f>원천데이터!G633</f>
        <v>0.49775889419501956</v>
      </c>
      <c r="G111" s="20">
        <f>원천데이터!G900</f>
        <v>0.50358979875612075</v>
      </c>
      <c r="H111" s="20">
        <f>원천데이터!G1168</f>
        <v>0.50498475831034983</v>
      </c>
      <c r="I111" s="20">
        <f>원천데이터!G1434</f>
        <v>0.5037265730633057</v>
      </c>
      <c r="J111" s="20">
        <f>원천데이터!G1700</f>
        <v>0.50132478940168479</v>
      </c>
      <c r="K111" s="20">
        <f>원천데이터!G1966</f>
        <v>0.50071601334731097</v>
      </c>
      <c r="L111" s="20">
        <f>원천데이터!G2232</f>
        <v>0.49483193335840753</v>
      </c>
      <c r="M111" s="20">
        <f>원천데이터!G2498</f>
        <v>0.49328252794265792</v>
      </c>
      <c r="N111" s="20">
        <f>원천데이터!G2764</f>
        <v>0.4962147369033168</v>
      </c>
      <c r="O111" s="20">
        <f>원천데이터!G3030</f>
        <v>0.48803237509541814</v>
      </c>
      <c r="P111" s="20">
        <f>원천데이터!G3297</f>
        <v>0.48635252580119498</v>
      </c>
      <c r="Q111" s="20">
        <f>원천데이터!G3565</f>
        <v>0.48653462018880117</v>
      </c>
      <c r="R111" s="20">
        <f t="shared" si="2"/>
        <v>0.49803336193397901</v>
      </c>
      <c r="S111" s="27">
        <f t="shared" si="3"/>
        <v>14</v>
      </c>
    </row>
    <row r="112" spans="1:19">
      <c r="A112" s="15" t="s">
        <v>160</v>
      </c>
      <c r="B112" s="15" t="s">
        <v>203</v>
      </c>
      <c r="C112" s="15" t="s">
        <v>204</v>
      </c>
      <c r="D112" s="20">
        <f>원천데이터!G106</f>
        <v>0.44942968571735809</v>
      </c>
      <c r="E112" s="20">
        <f>원천데이터!G370</f>
        <v>0.46567273887876048</v>
      </c>
      <c r="F112" s="20">
        <f>원천데이터!G634</f>
        <v>0.46563134151377111</v>
      </c>
      <c r="G112" s="20">
        <f>원천데이터!G901</f>
        <v>0.46845089487448449</v>
      </c>
      <c r="H112" s="20">
        <f>원천데이터!G1169</f>
        <v>0.46751583349326759</v>
      </c>
      <c r="I112" s="20">
        <f>원천데이터!G1435</f>
        <v>0.47032669668193239</v>
      </c>
      <c r="J112" s="20">
        <f>원천데이터!G1701</f>
        <v>0.46991947034082449</v>
      </c>
      <c r="K112" s="20">
        <f>원천데이터!G1967</f>
        <v>0.47026788017244558</v>
      </c>
      <c r="L112" s="20">
        <f>원천데이터!G2233</f>
        <v>0.4726515947506858</v>
      </c>
      <c r="M112" s="20">
        <f>원천데이터!G2499</f>
        <v>0.4641380131848824</v>
      </c>
      <c r="N112" s="20">
        <f>원천데이터!G2765</f>
        <v>0.46797138738344191</v>
      </c>
      <c r="O112" s="20">
        <f>원천데이터!G3031</f>
        <v>0.46667016488455032</v>
      </c>
      <c r="P112" s="20">
        <f>원천데이터!G3298</f>
        <v>0.46153397341844921</v>
      </c>
      <c r="Q112" s="20">
        <f>원천데이터!G3566</f>
        <v>0.45985722378815735</v>
      </c>
      <c r="R112" s="20">
        <f t="shared" si="2"/>
        <v>0.46571692136307224</v>
      </c>
      <c r="S112" s="27">
        <f t="shared" si="3"/>
        <v>14</v>
      </c>
    </row>
    <row r="113" spans="1:19">
      <c r="A113" s="15" t="s">
        <v>160</v>
      </c>
      <c r="B113" s="15" t="s">
        <v>205</v>
      </c>
      <c r="C113" s="15" t="s">
        <v>206</v>
      </c>
      <c r="D113" s="20">
        <f>원천데이터!G107</f>
        <v>0.44960341612806615</v>
      </c>
      <c r="E113" s="20">
        <f>원천데이터!G371</f>
        <v>0.44880422031422051</v>
      </c>
      <c r="F113" s="20">
        <f>원천데이터!G635</f>
        <v>0.45355174885288063</v>
      </c>
      <c r="G113" s="20">
        <f>원천데이터!G902</f>
        <v>0.45315853285440721</v>
      </c>
      <c r="H113" s="20">
        <f>원천데이터!G1170</f>
        <v>0.45572153152187056</v>
      </c>
      <c r="I113" s="20">
        <f>원천데이터!G1436</f>
        <v>0.45771472636138893</v>
      </c>
      <c r="J113" s="20">
        <f>원천데이터!G1702</f>
        <v>0.45795322986146159</v>
      </c>
      <c r="K113" s="20">
        <f>원천데이터!G1968</f>
        <v>0.45758953859101137</v>
      </c>
      <c r="L113" s="20">
        <f>원천데이터!G2234</f>
        <v>0.45938734525706421</v>
      </c>
      <c r="M113" s="20">
        <f>원천데이터!G2500</f>
        <v>0.45624859629598785</v>
      </c>
      <c r="N113" s="20">
        <f>원천데이터!G2766</f>
        <v>0.4653116564267305</v>
      </c>
      <c r="O113" s="20">
        <f>원천데이터!G3032</f>
        <v>0.46445096477433379</v>
      </c>
      <c r="P113" s="20">
        <f>원천데이터!G3299</f>
        <v>0.46621972840262499</v>
      </c>
      <c r="Q113" s="20">
        <f>원천데이터!G3567</f>
        <v>0.46382072448152034</v>
      </c>
      <c r="R113" s="20">
        <f t="shared" si="2"/>
        <v>0.45782399715168343</v>
      </c>
      <c r="S113" s="27">
        <f t="shared" si="3"/>
        <v>14</v>
      </c>
    </row>
    <row r="114" spans="1:19">
      <c r="A114" s="15" t="s">
        <v>160</v>
      </c>
      <c r="B114" s="15" t="s">
        <v>207</v>
      </c>
      <c r="C114" s="15" t="s">
        <v>208</v>
      </c>
      <c r="D114" s="20">
        <f>원천데이터!G108</f>
        <v>0.4909969039426666</v>
      </c>
      <c r="E114" s="20">
        <f>원천데이터!G372</f>
        <v>0.48493456868197132</v>
      </c>
      <c r="F114" s="20">
        <f>원천데이터!G636</f>
        <v>0.48499171506519156</v>
      </c>
      <c r="G114" s="20">
        <f>원천데이터!G903</f>
        <v>0.48683219217863744</v>
      </c>
      <c r="H114" s="20">
        <f>원천데이터!G1171</f>
        <v>0.48521877432235794</v>
      </c>
      <c r="I114" s="20">
        <f>원천데이터!G1437</f>
        <v>0.48599240029122243</v>
      </c>
      <c r="J114" s="20">
        <f>원천데이터!G1703</f>
        <v>0.4849494143425217</v>
      </c>
      <c r="K114" s="20">
        <f>원천데이터!G1969</f>
        <v>0.48775032786304184</v>
      </c>
      <c r="L114" s="20">
        <f>원천데이터!G2235</f>
        <v>0.48813707944311474</v>
      </c>
      <c r="M114" s="20">
        <f>원천데이터!G2501</f>
        <v>0.48759564812880929</v>
      </c>
      <c r="N114" s="20">
        <f>원천데이터!G2767</f>
        <v>0.49039904201739865</v>
      </c>
      <c r="O114" s="20">
        <f>원천데이터!G3033</f>
        <v>0.49451781747828844</v>
      </c>
      <c r="P114" s="20">
        <f>원천데이터!G3300</f>
        <v>0.49137076037712746</v>
      </c>
      <c r="Q114" s="20">
        <f>원천데이터!G3568</f>
        <v>0.48517328401021992</v>
      </c>
      <c r="R114" s="20">
        <f t="shared" si="2"/>
        <v>0.48777570915304069</v>
      </c>
      <c r="S114" s="27">
        <f t="shared" si="3"/>
        <v>14</v>
      </c>
    </row>
    <row r="115" spans="1:19">
      <c r="A115" s="15" t="s">
        <v>160</v>
      </c>
      <c r="B115" s="15" t="s">
        <v>209</v>
      </c>
      <c r="C115" s="15" t="s">
        <v>210</v>
      </c>
      <c r="D115" s="20">
        <f>원천데이터!G109</f>
        <v>0.39648831283926</v>
      </c>
      <c r="E115" s="20">
        <f>원천데이터!G373</f>
        <v>0.39250588072505882</v>
      </c>
      <c r="F115" s="20">
        <f>원천데이터!G637</f>
        <v>0.39708364410708819</v>
      </c>
      <c r="G115" s="20">
        <f>원천데이터!G904</f>
        <v>0.40031804259240855</v>
      </c>
      <c r="H115" s="20">
        <f>원천데이터!G1172</f>
        <v>0.40543071829196936</v>
      </c>
      <c r="I115" s="20">
        <f>원천데이터!G1438</f>
        <v>0.41376455777510995</v>
      </c>
      <c r="J115" s="20">
        <f>원천데이터!G1704</f>
        <v>0.41964872994706959</v>
      </c>
      <c r="K115" s="20">
        <f>원천데이터!G1970</f>
        <v>0.42272834019664007</v>
      </c>
      <c r="L115" s="20">
        <f>원천데이터!G2236</f>
        <v>0.42456526978139159</v>
      </c>
      <c r="M115" s="20">
        <f>원천데이터!G2502</f>
        <v>0.41794868944665525</v>
      </c>
      <c r="N115" s="20">
        <f>원천데이터!G2768</f>
        <v>0.40997823961651264</v>
      </c>
      <c r="O115" s="20">
        <f>원천데이터!G3034</f>
        <v>0.40703765086573102</v>
      </c>
      <c r="P115" s="20">
        <f>원천데이터!G3301</f>
        <v>0.40939702715800969</v>
      </c>
      <c r="Q115" s="20">
        <f>원천데이터!G3569</f>
        <v>0.40416774466683913</v>
      </c>
      <c r="R115" s="20">
        <f t="shared" si="2"/>
        <v>0.40864734628641031</v>
      </c>
      <c r="S115" s="27">
        <f t="shared" si="3"/>
        <v>14</v>
      </c>
    </row>
    <row r="116" spans="1:19">
      <c r="A116" s="15" t="s">
        <v>160</v>
      </c>
      <c r="B116" s="15" t="s">
        <v>211</v>
      </c>
      <c r="C116" s="15" t="s">
        <v>212</v>
      </c>
      <c r="D116" s="20">
        <f>원천데이터!G110</f>
        <v>0.36351023934867233</v>
      </c>
      <c r="E116" s="20">
        <f>원천데이터!G374</f>
        <v>0.35736562832747587</v>
      </c>
      <c r="F116" s="20">
        <f>원천데이터!G638</f>
        <v>0.35787147533349156</v>
      </c>
      <c r="G116" s="20">
        <f>원천데이터!G905</f>
        <v>0.36205659804593954</v>
      </c>
      <c r="H116" s="20">
        <f>원천데이터!G1173</f>
        <v>0.36233835022979655</v>
      </c>
      <c r="I116" s="20">
        <f>원천데이터!G1439</f>
        <v>0.37090604353325135</v>
      </c>
      <c r="J116" s="20">
        <f>원천데이터!G1705</f>
        <v>0.37026877288758564</v>
      </c>
      <c r="K116" s="20">
        <f>원천데이터!G1971</f>
        <v>0.37485421926316492</v>
      </c>
      <c r="L116" s="20">
        <f>원천데이터!G2237</f>
        <v>0.37798498229540073</v>
      </c>
      <c r="M116" s="20">
        <f>원천데이터!G2503</f>
        <v>0.37324752618535068</v>
      </c>
      <c r="N116" s="20">
        <f>원천데이터!G2769</f>
        <v>0.38380635087264653</v>
      </c>
      <c r="O116" s="20">
        <f>원천데이터!G3035</f>
        <v>0.39996984895958537</v>
      </c>
      <c r="P116" s="20">
        <f>원천데이터!G3302</f>
        <v>0.39189014418263135</v>
      </c>
      <c r="Q116" s="20">
        <f>원천데이터!G3570</f>
        <v>0.38756722883228079</v>
      </c>
      <c r="R116" s="20">
        <f t="shared" si="2"/>
        <v>0.37383124344980523</v>
      </c>
      <c r="S116" s="27">
        <f t="shared" si="3"/>
        <v>14</v>
      </c>
    </row>
    <row r="117" spans="1:19">
      <c r="A117" s="15" t="s">
        <v>160</v>
      </c>
      <c r="B117" s="15" t="s">
        <v>213</v>
      </c>
      <c r="C117" s="15" t="s">
        <v>214</v>
      </c>
      <c r="D117" s="20">
        <f>원천데이터!G111</f>
        <v>0.46785752986499562</v>
      </c>
      <c r="E117" s="20">
        <f>원천데이터!G375</f>
        <v>0.46451737861600551</v>
      </c>
      <c r="F117" s="20">
        <f>원천데이터!G639</f>
        <v>0.47077568103492429</v>
      </c>
      <c r="G117" s="20">
        <f>원천데이터!G906</f>
        <v>0.47692337961058429</v>
      </c>
      <c r="H117" s="20">
        <f>원천데이터!G1174</f>
        <v>0.48219041545873009</v>
      </c>
      <c r="I117" s="20">
        <f>원천데이터!G1440</f>
        <v>0.47181555343528658</v>
      </c>
      <c r="J117" s="20">
        <f>원천데이터!G1706</f>
        <v>0.47317568728051423</v>
      </c>
      <c r="K117" s="20">
        <f>원천데이터!G1972</f>
        <v>0.47526542056074766</v>
      </c>
      <c r="L117" s="20">
        <f>원천데이터!G2238</f>
        <v>0.48310547097028445</v>
      </c>
      <c r="M117" s="20">
        <f>원천데이터!G2504</f>
        <v>0.4945936973893249</v>
      </c>
      <c r="N117" s="20">
        <f>원천데이터!G2770</f>
        <v>0.4980735268966392</v>
      </c>
      <c r="O117" s="20">
        <f>원천데이터!G3036</f>
        <v>0.48751519198904203</v>
      </c>
      <c r="P117" s="20">
        <f>원천데이터!G3303</f>
        <v>0.48889949287973206</v>
      </c>
      <c r="Q117" s="20">
        <f>원천데이터!G3571</f>
        <v>0.48906612473398647</v>
      </c>
      <c r="R117" s="20">
        <f t="shared" si="2"/>
        <v>0.48026961076577113</v>
      </c>
      <c r="S117" s="27">
        <f t="shared" si="3"/>
        <v>14</v>
      </c>
    </row>
    <row r="118" spans="1:19">
      <c r="A118" s="15" t="s">
        <v>160</v>
      </c>
      <c r="B118" s="15" t="s">
        <v>215</v>
      </c>
      <c r="C118" s="15" t="s">
        <v>216</v>
      </c>
      <c r="D118" s="20">
        <f>원천데이터!G112</f>
        <v>0.4082572121173203</v>
      </c>
      <c r="E118" s="20">
        <f>원천데이터!G376</f>
        <v>0.40748786651789765</v>
      </c>
      <c r="F118" s="20">
        <f>원천데이터!G640</f>
        <v>0.4074729343394104</v>
      </c>
      <c r="G118" s="20">
        <f>원천데이터!G907</f>
        <v>0.41340543182720801</v>
      </c>
      <c r="H118" s="20">
        <f>원천데이터!G1175</f>
        <v>0.41488842965611722</v>
      </c>
      <c r="I118" s="20">
        <f>원천데이터!G1441</f>
        <v>0.42199745361813978</v>
      </c>
      <c r="J118" s="20">
        <f>원천데이터!G1707</f>
        <v>0.42573537054360255</v>
      </c>
      <c r="K118" s="20">
        <f>원천데이터!G1973</f>
        <v>0.42630985315242831</v>
      </c>
      <c r="L118" s="20">
        <f>원천데이터!G2239</f>
        <v>0.4283257339412847</v>
      </c>
      <c r="M118" s="20">
        <f>원천데이터!G2505</f>
        <v>0.42708422697754916</v>
      </c>
      <c r="N118" s="20">
        <f>원천데이터!G2771</f>
        <v>0.44278436006493849</v>
      </c>
      <c r="O118" s="20">
        <f>원천데이터!G3037</f>
        <v>0.43482168715608244</v>
      </c>
      <c r="P118" s="20">
        <f>원천데이터!G3304</f>
        <v>0.43243644160651612</v>
      </c>
      <c r="Q118" s="20">
        <f>원천데이터!G3572</f>
        <v>0.4377743461690104</v>
      </c>
      <c r="R118" s="20">
        <f t="shared" si="2"/>
        <v>0.42348438197767896</v>
      </c>
      <c r="S118" s="27">
        <f t="shared" si="3"/>
        <v>14</v>
      </c>
    </row>
    <row r="119" spans="1:19">
      <c r="A119" s="15" t="s">
        <v>160</v>
      </c>
      <c r="B119" s="15" t="s">
        <v>217</v>
      </c>
      <c r="C119" s="15" t="s">
        <v>218</v>
      </c>
      <c r="D119" s="20">
        <f>원천데이터!G113</f>
        <v>0.42497664929702095</v>
      </c>
      <c r="E119" s="20">
        <f>원천데이터!G377</f>
        <v>0.42298482357734835</v>
      </c>
      <c r="F119" s="20">
        <f>원천데이터!G641</f>
        <v>0.42149503276937061</v>
      </c>
      <c r="G119" s="20">
        <f>원천데이터!G908</f>
        <v>0.42187984018935815</v>
      </c>
      <c r="H119" s="20">
        <f>원천데이터!G1176</f>
        <v>0.42068537882661794</v>
      </c>
      <c r="I119" s="20">
        <f>원천데이터!G1442</f>
        <v>0.42206543172328781</v>
      </c>
      <c r="J119" s="20">
        <f>원천데이터!G1708</f>
        <v>0.42054742048704935</v>
      </c>
      <c r="K119" s="20">
        <f>원천데이터!G1974</f>
        <v>0.42008607836594708</v>
      </c>
      <c r="L119" s="20">
        <f>원천데이터!G2240</f>
        <v>0.42503060813786619</v>
      </c>
      <c r="M119" s="20">
        <f>원천데이터!G2506</f>
        <v>0.4129118876472922</v>
      </c>
      <c r="N119" s="20">
        <f>원천데이터!G2772</f>
        <v>0.4195741397166497</v>
      </c>
      <c r="O119" s="20">
        <f>원천데이터!G3038</f>
        <v>0.42838895033035557</v>
      </c>
      <c r="P119" s="20">
        <f>원천데이터!G3305</f>
        <v>0.42700737474717809</v>
      </c>
      <c r="Q119" s="20">
        <f>원천데이터!G3573</f>
        <v>0.43245405745380866</v>
      </c>
      <c r="R119" s="20">
        <f t="shared" si="2"/>
        <v>0.42286340523351074</v>
      </c>
      <c r="S119" s="27">
        <f t="shared" si="3"/>
        <v>14</v>
      </c>
    </row>
    <row r="120" spans="1:19">
      <c r="A120" s="15" t="s">
        <v>160</v>
      </c>
      <c r="B120" s="15" t="s">
        <v>219</v>
      </c>
      <c r="C120" s="15" t="s">
        <v>220</v>
      </c>
      <c r="D120" s="20">
        <f>원천데이터!G114</f>
        <v>0.45847203499408512</v>
      </c>
      <c r="E120" s="20">
        <f>원천데이터!G378</f>
        <v>0.45247666011810067</v>
      </c>
      <c r="F120" s="20">
        <f>원천데이터!G642</f>
        <v>0.46204898797301264</v>
      </c>
      <c r="G120" s="20">
        <f>원천데이터!G909</f>
        <v>0.46208301445099714</v>
      </c>
      <c r="H120" s="20">
        <f>원천데이터!G1177</f>
        <v>0.46363235493645699</v>
      </c>
      <c r="I120" s="20">
        <f>원천데이터!G1443</f>
        <v>0.4748751590309126</v>
      </c>
      <c r="J120" s="20">
        <f>원천데이터!G1709</f>
        <v>0.47572470022707053</v>
      </c>
      <c r="K120" s="20">
        <f>원천데이터!G1975</f>
        <v>0.47381672237954309</v>
      </c>
      <c r="L120" s="20">
        <f>원천데이터!G2241</f>
        <v>0.47482657036966647</v>
      </c>
      <c r="M120" s="20">
        <f>원천데이터!G2507</f>
        <v>0.47356536024543655</v>
      </c>
      <c r="N120" s="20">
        <f>원천데이터!G2773</f>
        <v>0.47996258927559232</v>
      </c>
      <c r="O120" s="20">
        <f>원천데이터!G3039</f>
        <v>0.47484610486096368</v>
      </c>
      <c r="P120" s="20">
        <f>원천데이터!G3306</f>
        <v>0.47967701011112984</v>
      </c>
      <c r="Q120" s="20">
        <f>원천데이터!G3574</f>
        <v>0.48257328900125585</v>
      </c>
      <c r="R120" s="20">
        <f t="shared" si="2"/>
        <v>0.47061289699815889</v>
      </c>
      <c r="S120" s="27">
        <f t="shared" si="3"/>
        <v>14</v>
      </c>
    </row>
    <row r="121" spans="1:19">
      <c r="A121" s="15" t="s">
        <v>160</v>
      </c>
      <c r="B121" s="15" t="s">
        <v>221</v>
      </c>
      <c r="C121" s="15" t="s">
        <v>222</v>
      </c>
      <c r="D121" s="20">
        <f>원천데이터!G115</f>
        <v>0.4949474649178478</v>
      </c>
      <c r="E121" s="20">
        <f>원천데이터!G379</f>
        <v>0.48108519465398547</v>
      </c>
      <c r="F121" s="20">
        <f>원천데이터!G643</f>
        <v>0.47647480971622708</v>
      </c>
      <c r="G121" s="20">
        <f>원천데이터!G910</f>
        <v>0.48061943874058866</v>
      </c>
      <c r="H121" s="20">
        <f>원천데이터!G1178</f>
        <v>0.48212610560171537</v>
      </c>
      <c r="I121" s="20">
        <f>원천데이터!G1444</f>
        <v>0.48154575119280074</v>
      </c>
      <c r="J121" s="20">
        <f>원천데이터!G1710</f>
        <v>0.48540104196484801</v>
      </c>
      <c r="K121" s="20">
        <f>원천데이터!G1976</f>
        <v>0.48480978377945871</v>
      </c>
      <c r="L121" s="20">
        <f>원천데이터!G2242</f>
        <v>0.47696896947111939</v>
      </c>
      <c r="M121" s="20">
        <f>원천데이터!G2508</f>
        <v>0.46739772145843617</v>
      </c>
      <c r="N121" s="20">
        <f>원천데이터!G2774</f>
        <v>0.46484937085873979</v>
      </c>
      <c r="O121" s="20">
        <f>원천데이터!G3040</f>
        <v>0.46662524713507592</v>
      </c>
      <c r="P121" s="20">
        <f>원천데이터!G3307</f>
        <v>0.47307612757995393</v>
      </c>
      <c r="Q121" s="20">
        <f>원천데이터!G3575</f>
        <v>0.46791312830702697</v>
      </c>
      <c r="R121" s="20">
        <f t="shared" si="2"/>
        <v>0.47741715395555884</v>
      </c>
      <c r="S121" s="27">
        <f t="shared" si="3"/>
        <v>14</v>
      </c>
    </row>
    <row r="122" spans="1:19">
      <c r="A122" s="15" t="s">
        <v>160</v>
      </c>
      <c r="B122" s="15" t="s">
        <v>223</v>
      </c>
      <c r="C122" s="15" t="s">
        <v>224</v>
      </c>
      <c r="D122" s="20">
        <f>원천데이터!G116</f>
        <v>0.46445257108739457</v>
      </c>
      <c r="E122" s="20">
        <f>원천데이터!G380</f>
        <v>0.46606364193304262</v>
      </c>
      <c r="F122" s="20">
        <f>원천데이터!G644</f>
        <v>0.46725893885743769</v>
      </c>
      <c r="G122" s="20">
        <f>원천데이터!G911</f>
        <v>0.46586683073557561</v>
      </c>
      <c r="H122" s="20">
        <f>원천데이터!G1179</f>
        <v>0.46915574702327528</v>
      </c>
      <c r="I122" s="20">
        <f>원천데이터!G1445</f>
        <v>0.47262834251888142</v>
      </c>
      <c r="J122" s="20">
        <f>원천데이터!G1711</f>
        <v>0.47483522513579668</v>
      </c>
      <c r="K122" s="20">
        <f>원천데이터!G1977</f>
        <v>0.47453448505627371</v>
      </c>
      <c r="L122" s="20">
        <f>원천데이터!G2243</f>
        <v>0.47858154671894521</v>
      </c>
      <c r="M122" s="20">
        <f>원천데이터!G2509</f>
        <v>0.4749372892951132</v>
      </c>
      <c r="N122" s="20">
        <f>원천데이터!G2775</f>
        <v>0.48217432162574886</v>
      </c>
      <c r="O122" s="20">
        <f>원천데이터!G3041</f>
        <v>0.47800809867451327</v>
      </c>
      <c r="P122" s="20">
        <f>원천데이터!G3308</f>
        <v>0.48413280155222593</v>
      </c>
      <c r="Q122" s="20">
        <f>원천데이터!G3576</f>
        <v>0.48362216568255645</v>
      </c>
      <c r="R122" s="20">
        <f t="shared" si="2"/>
        <v>0.47401800042119857</v>
      </c>
      <c r="S122" s="27">
        <f t="shared" si="3"/>
        <v>14</v>
      </c>
    </row>
    <row r="123" spans="1:19">
      <c r="A123" s="15" t="s">
        <v>160</v>
      </c>
      <c r="B123" s="15" t="s">
        <v>225</v>
      </c>
      <c r="C123" s="15" t="s">
        <v>226</v>
      </c>
      <c r="D123" s="20">
        <f>원천데이터!G117</f>
        <v>0.43075105276535525</v>
      </c>
      <c r="E123" s="20">
        <f>원천데이터!G381</f>
        <v>0.43095113443978322</v>
      </c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>
        <f t="shared" si="2"/>
        <v>0.43085109360256924</v>
      </c>
      <c r="S123" s="27">
        <f t="shared" si="3"/>
        <v>2</v>
      </c>
    </row>
    <row r="124" spans="1:19">
      <c r="A124" s="15" t="s">
        <v>160</v>
      </c>
      <c r="B124" s="15" t="s">
        <v>227</v>
      </c>
      <c r="C124" s="15" t="s">
        <v>228</v>
      </c>
      <c r="D124" s="20"/>
      <c r="E124" s="20"/>
      <c r="F124" s="20">
        <f>원천데이터!G645</f>
        <v>0.43327337519090448</v>
      </c>
      <c r="G124" s="20">
        <f>원천데이터!G912</f>
        <v>0.44989311478374311</v>
      </c>
      <c r="H124" s="20">
        <f>원천데이터!G1180</f>
        <v>0.43716489697224559</v>
      </c>
      <c r="I124" s="20">
        <f>원천데이터!G1446</f>
        <v>0.44494155092962462</v>
      </c>
      <c r="J124" s="20">
        <f>원천데이터!G1712</f>
        <v>0.4416783982979049</v>
      </c>
      <c r="K124" s="20">
        <f>원천데이터!G1978</f>
        <v>0.4430812129661903</v>
      </c>
      <c r="L124" s="20">
        <f>원천데이터!G2244</f>
        <v>0.44569056870363827</v>
      </c>
      <c r="M124" s="20">
        <f>원천데이터!G2510</f>
        <v>0.44017199656527284</v>
      </c>
      <c r="N124" s="20">
        <f>원천데이터!G2776</f>
        <v>0.44495946590367191</v>
      </c>
      <c r="O124" s="20">
        <f>원천데이터!G3042</f>
        <v>0.44596834070862168</v>
      </c>
      <c r="P124" s="20">
        <f>원천데이터!G3309</f>
        <v>0.45292433922452552</v>
      </c>
      <c r="Q124" s="20">
        <f>원천데이터!G3577</f>
        <v>0.45488044642752029</v>
      </c>
      <c r="R124" s="20">
        <f t="shared" si="2"/>
        <v>0.44455230888948855</v>
      </c>
      <c r="S124" s="27">
        <f t="shared" si="3"/>
        <v>12</v>
      </c>
    </row>
    <row r="125" spans="1:19">
      <c r="A125" s="15" t="s">
        <v>160</v>
      </c>
      <c r="B125" s="15" t="s">
        <v>229</v>
      </c>
      <c r="C125" s="15" t="s">
        <v>230</v>
      </c>
      <c r="D125" s="20">
        <f>원천데이터!G118</f>
        <v>0.47825256320448323</v>
      </c>
      <c r="E125" s="20">
        <f>원천데이터!G382</f>
        <v>0.48539662243290865</v>
      </c>
      <c r="F125" s="20">
        <f>원천데이터!G646</f>
        <v>0.49020404972246112</v>
      </c>
      <c r="G125" s="20">
        <f>원천데이터!G913</f>
        <v>0.50307162006893913</v>
      </c>
      <c r="H125" s="20">
        <f>원천데이터!G1181</f>
        <v>0.50237496935523418</v>
      </c>
      <c r="I125" s="20">
        <f>원천데이터!G1447</f>
        <v>0.50435591009281611</v>
      </c>
      <c r="J125" s="20">
        <f>원천데이터!G1713</f>
        <v>0.50641927278168486</v>
      </c>
      <c r="K125" s="20">
        <f>원천데이터!G1979</f>
        <v>0.50747958398116144</v>
      </c>
      <c r="L125" s="20">
        <f>원천데이터!G2245</f>
        <v>0.51076979282419743</v>
      </c>
      <c r="M125" s="20">
        <f>원천데이터!G2511</f>
        <v>0.49830026972245717</v>
      </c>
      <c r="N125" s="20">
        <f>원천데이터!G2777</f>
        <v>0.49753281670093308</v>
      </c>
      <c r="O125" s="20">
        <f>원천데이터!G3043</f>
        <v>0.50560232664931881</v>
      </c>
      <c r="P125" s="20">
        <f>원천데이터!G3310</f>
        <v>0.50172290690094057</v>
      </c>
      <c r="Q125" s="20">
        <f>원천데이터!G3578</f>
        <v>0.49857770473150226</v>
      </c>
      <c r="R125" s="20">
        <f t="shared" si="2"/>
        <v>0.49929002922635984</v>
      </c>
      <c r="S125" s="27">
        <f t="shared" si="3"/>
        <v>14</v>
      </c>
    </row>
    <row r="126" spans="1:19">
      <c r="A126" s="15" t="s">
        <v>160</v>
      </c>
      <c r="B126" s="15" t="s">
        <v>231</v>
      </c>
      <c r="C126" s="15" t="s">
        <v>232</v>
      </c>
      <c r="D126" s="20">
        <f>원천데이터!G119</f>
        <v>0.41858366304020839</v>
      </c>
      <c r="E126" s="20">
        <f>원천데이터!G383</f>
        <v>0.40977311109479403</v>
      </c>
      <c r="F126" s="20">
        <f>원천데이터!G647</f>
        <v>0.41380368314513227</v>
      </c>
      <c r="G126" s="20">
        <f>원천데이터!G914</f>
        <v>0.41155975285762642</v>
      </c>
      <c r="H126" s="20">
        <f>원천데이터!G1182</f>
        <v>0.4123202463220827</v>
      </c>
      <c r="I126" s="20">
        <f>원천데이터!G1448</f>
        <v>0.41301136040041142</v>
      </c>
      <c r="J126" s="20">
        <f>원천데이터!G1714</f>
        <v>0.42062088915464052</v>
      </c>
      <c r="K126" s="20">
        <f>원천데이터!G1980</f>
        <v>0.41588706357819105</v>
      </c>
      <c r="L126" s="20">
        <f>원천데이터!G2246</f>
        <v>0.41940403957706035</v>
      </c>
      <c r="M126" s="20">
        <f>원천데이터!G2512</f>
        <v>0.41339244475585118</v>
      </c>
      <c r="N126" s="20">
        <f>원천데이터!G2778</f>
        <v>0.42341038297056172</v>
      </c>
      <c r="O126" s="20">
        <f>원천데이터!G3044</f>
        <v>0.41974208400149743</v>
      </c>
      <c r="P126" s="20">
        <f>원천데이터!G3311</f>
        <v>0.4210807265417148</v>
      </c>
      <c r="Q126" s="20">
        <f>원천데이터!G3579</f>
        <v>0.4305045921358317</v>
      </c>
      <c r="R126" s="20">
        <f t="shared" si="2"/>
        <v>0.417363859969686</v>
      </c>
      <c r="S126" s="27">
        <f t="shared" si="3"/>
        <v>14</v>
      </c>
    </row>
    <row r="127" spans="1:19">
      <c r="A127" s="15" t="s">
        <v>160</v>
      </c>
      <c r="B127" s="15" t="s">
        <v>233</v>
      </c>
      <c r="C127" s="15" t="s">
        <v>234</v>
      </c>
      <c r="D127" s="20">
        <f>원천데이터!G120</f>
        <v>0.44666138206472222</v>
      </c>
      <c r="E127" s="20">
        <f>원천데이터!G384</f>
        <v>0.44349486401825022</v>
      </c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f t="shared" si="2"/>
        <v>0.4450781230414862</v>
      </c>
      <c r="S127" s="27">
        <f t="shared" si="3"/>
        <v>2</v>
      </c>
    </row>
    <row r="128" spans="1:19">
      <c r="A128" s="15" t="s">
        <v>160</v>
      </c>
      <c r="B128" s="15" t="s">
        <v>235</v>
      </c>
      <c r="C128" s="15" t="s">
        <v>236</v>
      </c>
      <c r="D128" s="20"/>
      <c r="E128" s="20"/>
      <c r="F128" s="20">
        <f>원천데이터!G648</f>
        <v>0.48556969768345265</v>
      </c>
      <c r="G128" s="20">
        <f>원천데이터!G915</f>
        <v>0.48814694326628882</v>
      </c>
      <c r="H128" s="20">
        <f>원천데이터!G1183</f>
        <v>0.49005710772274186</v>
      </c>
      <c r="I128" s="20">
        <f>원천데이터!G1449</f>
        <v>0.48871367824238127</v>
      </c>
      <c r="J128" s="20">
        <f>원천데이터!G1715</f>
        <v>0.48840029255899298</v>
      </c>
      <c r="K128" s="20">
        <f>원천데이터!G1981</f>
        <v>0.49235007740251491</v>
      </c>
      <c r="L128" s="20">
        <f>원천데이터!G2247</f>
        <v>0.49502447006681338</v>
      </c>
      <c r="M128" s="20">
        <f>원천데이터!G2513</f>
        <v>0.48342056564661778</v>
      </c>
      <c r="N128" s="20">
        <f>원천데이터!G2779</f>
        <v>0.47957699142749277</v>
      </c>
      <c r="O128" s="20">
        <f>원천데이터!G3045</f>
        <v>0.47395390375531193</v>
      </c>
      <c r="P128" s="20">
        <f>원천데이터!G3312</f>
        <v>0.47543931989858135</v>
      </c>
      <c r="Q128" s="20">
        <f>원천데이터!G3580</f>
        <v>0.47814690868257942</v>
      </c>
      <c r="R128" s="20">
        <f t="shared" si="2"/>
        <v>0.48489999636281406</v>
      </c>
      <c r="S128" s="27">
        <f t="shared" si="3"/>
        <v>12</v>
      </c>
    </row>
    <row r="129" spans="1:19">
      <c r="A129" s="15" t="s">
        <v>160</v>
      </c>
      <c r="B129" s="15" t="s">
        <v>237</v>
      </c>
      <c r="C129" s="15" t="s">
        <v>238</v>
      </c>
      <c r="D129" s="20"/>
      <c r="E129" s="20"/>
      <c r="F129" s="20">
        <f>원천데이터!G649</f>
        <v>0.49939382844124408</v>
      </c>
      <c r="G129" s="20">
        <f>원천데이터!G916</f>
        <v>0.4980739873602949</v>
      </c>
      <c r="H129" s="20">
        <f>원천데이터!G1184</f>
        <v>0.49890654158076136</v>
      </c>
      <c r="I129" s="20">
        <f>원천데이터!G1450</f>
        <v>0.49686188089229916</v>
      </c>
      <c r="J129" s="20">
        <f>원천데이터!G1716</f>
        <v>0.49719466442789517</v>
      </c>
      <c r="K129" s="20">
        <f>원천데이터!G1982</f>
        <v>0.49680303981061558</v>
      </c>
      <c r="L129" s="20">
        <f>원천데이터!G2248</f>
        <v>0.4968246317848688</v>
      </c>
      <c r="M129" s="20">
        <f>원천데이터!G2514</f>
        <v>0.49468213214786705</v>
      </c>
      <c r="N129" s="20">
        <f>원천데이터!G2780</f>
        <v>0.49496802683719021</v>
      </c>
      <c r="O129" s="20">
        <f>원천데이터!G3046</f>
        <v>0.48875942503833025</v>
      </c>
      <c r="P129" s="20">
        <f>원천데이터!G3313</f>
        <v>0.49059084138941167</v>
      </c>
      <c r="Q129" s="20">
        <f>원천데이터!G3581</f>
        <v>0.49220388727601533</v>
      </c>
      <c r="R129" s="20">
        <f t="shared" si="2"/>
        <v>0.49543857391556606</v>
      </c>
      <c r="S129" s="27">
        <f t="shared" si="3"/>
        <v>12</v>
      </c>
    </row>
    <row r="130" spans="1:19">
      <c r="A130" s="15" t="s">
        <v>160</v>
      </c>
      <c r="B130" s="15" t="s">
        <v>239</v>
      </c>
      <c r="C130" s="15" t="s">
        <v>240</v>
      </c>
      <c r="D130" s="20"/>
      <c r="E130" s="20"/>
      <c r="F130" s="20">
        <f>원천데이터!G650</f>
        <v>0.40955009151402505</v>
      </c>
      <c r="G130" s="20">
        <f>원천데이터!G917</f>
        <v>0.42065339892967291</v>
      </c>
      <c r="H130" s="20">
        <f>원천데이터!G1185</f>
        <v>0.42494847000656139</v>
      </c>
      <c r="I130" s="20">
        <f>원천데이터!G1451</f>
        <v>0.42920314397086073</v>
      </c>
      <c r="J130" s="20">
        <f>원천데이터!G1717</f>
        <v>0.43243579379391828</v>
      </c>
      <c r="K130" s="20">
        <f>원천데이터!G1983</f>
        <v>0.44056099796421239</v>
      </c>
      <c r="L130" s="20">
        <f>원천데이터!G2249</f>
        <v>0.44159433232773171</v>
      </c>
      <c r="M130" s="20">
        <f>원천데이터!G2515</f>
        <v>0.4466928504785157</v>
      </c>
      <c r="N130" s="20">
        <f>원천데이터!G2781</f>
        <v>0.45440232336718034</v>
      </c>
      <c r="O130" s="20">
        <f>원천데이터!G3047</f>
        <v>0.44814333926367905</v>
      </c>
      <c r="P130" s="20">
        <f>원천데이터!G3314</f>
        <v>0.44999498646345132</v>
      </c>
      <c r="Q130" s="20">
        <f>원천데이터!G3582</f>
        <v>0.45338992283909518</v>
      </c>
      <c r="R130" s="20">
        <f t="shared" si="2"/>
        <v>0.43763080424324202</v>
      </c>
      <c r="S130" s="27">
        <f t="shared" si="3"/>
        <v>12</v>
      </c>
    </row>
    <row r="131" spans="1:19">
      <c r="A131" s="15" t="s">
        <v>160</v>
      </c>
      <c r="B131" s="15" t="s">
        <v>241</v>
      </c>
      <c r="C131" s="15" t="s">
        <v>242</v>
      </c>
      <c r="D131" s="20">
        <f>원천데이터!G121</f>
        <v>0.53172181288996934</v>
      </c>
      <c r="E131" s="20">
        <f>원천데이터!G385</f>
        <v>0.53830599059332029</v>
      </c>
      <c r="F131" s="20">
        <f>원천데이터!G651</f>
        <v>0.53733438924680554</v>
      </c>
      <c r="G131" s="20">
        <f>원천데이터!G918</f>
        <v>0.53341184145313447</v>
      </c>
      <c r="H131" s="20">
        <f>원천데이터!G1186</f>
        <v>0.53648857048874987</v>
      </c>
      <c r="I131" s="20">
        <f>원천데이터!G1452</f>
        <v>0.54323931277056281</v>
      </c>
      <c r="J131" s="20">
        <f>원천데이터!G1718</f>
        <v>0.54225972026723024</v>
      </c>
      <c r="K131" s="20">
        <f>원천데이터!G1984</f>
        <v>0.54211492822844187</v>
      </c>
      <c r="L131" s="20">
        <f>원천데이터!G2250</f>
        <v>0.55138165211617041</v>
      </c>
      <c r="M131" s="20">
        <f>원천데이터!G2516</f>
        <v>0.55777954018068832</v>
      </c>
      <c r="N131" s="20">
        <f>원천데이터!G2782</f>
        <v>0.5530923439138542</v>
      </c>
      <c r="O131" s="20">
        <f>원천데이터!G3048</f>
        <v>0.52435942475719899</v>
      </c>
      <c r="P131" s="20">
        <f>원천데이터!G3315</f>
        <v>0.53632556516344176</v>
      </c>
      <c r="Q131" s="20">
        <f>원천데이터!G3583</f>
        <v>0.53767429960342839</v>
      </c>
      <c r="R131" s="20">
        <f t="shared" si="2"/>
        <v>0.54039209940521393</v>
      </c>
      <c r="S131" s="27">
        <f t="shared" si="3"/>
        <v>14</v>
      </c>
    </row>
    <row r="132" spans="1:19">
      <c r="A132" s="15" t="s">
        <v>160</v>
      </c>
      <c r="B132" s="15" t="s">
        <v>243</v>
      </c>
      <c r="C132" s="15" t="s">
        <v>244</v>
      </c>
      <c r="D132" s="20">
        <f>원천데이터!G122</f>
        <v>0.36860354869294326</v>
      </c>
      <c r="E132" s="20">
        <f>원천데이터!G386</f>
        <v>0.36466698584475299</v>
      </c>
      <c r="F132" s="20">
        <f>원천데이터!G652</f>
        <v>0.36332742929113654</v>
      </c>
      <c r="G132" s="20">
        <f>원천데이터!G919</f>
        <v>0.36661700278472481</v>
      </c>
      <c r="H132" s="20">
        <f>원천데이터!G1187</f>
        <v>0.3689034266157768</v>
      </c>
      <c r="I132" s="20">
        <f>원천데이터!G1453</f>
        <v>0.371835705716139</v>
      </c>
      <c r="J132" s="20">
        <f>원천데이터!G1719</f>
        <v>0.37155912654260698</v>
      </c>
      <c r="K132" s="20">
        <f>원천데이터!G1985</f>
        <v>0.37240377994043028</v>
      </c>
      <c r="L132" s="20">
        <f>원천데이터!G2251</f>
        <v>0.37522758584749877</v>
      </c>
      <c r="M132" s="20">
        <f>원천데이터!G2517</f>
        <v>0.37020642357912625</v>
      </c>
      <c r="N132" s="20">
        <f>원천데이터!G2783</f>
        <v>0.36731953877744433</v>
      </c>
      <c r="O132" s="20">
        <f>원천데이터!G3049</f>
        <v>0.37096642270314811</v>
      </c>
      <c r="P132" s="20">
        <f>원천데이터!G3316</f>
        <v>0.37240737851126388</v>
      </c>
      <c r="Q132" s="20">
        <f>원천데이터!G3584</f>
        <v>0.37003832117070634</v>
      </c>
      <c r="R132" s="20">
        <f t="shared" si="2"/>
        <v>0.36957733400126414</v>
      </c>
      <c r="S132" s="27">
        <f t="shared" si="3"/>
        <v>14</v>
      </c>
    </row>
    <row r="133" spans="1:19">
      <c r="A133" s="15" t="s">
        <v>160</v>
      </c>
      <c r="B133" s="15" t="s">
        <v>245</v>
      </c>
      <c r="C133" s="15" t="s">
        <v>246</v>
      </c>
      <c r="D133" s="20">
        <f>원천데이터!G123</f>
        <v>0.37381219437256841</v>
      </c>
      <c r="E133" s="20">
        <f>원천데이터!G387</f>
        <v>0.36409755880322719</v>
      </c>
      <c r="F133" s="20">
        <f>원천데이터!G653</f>
        <v>0.36713314849630935</v>
      </c>
      <c r="G133" s="20">
        <f>원천데이터!G920</f>
        <v>0.36623710778221147</v>
      </c>
      <c r="H133" s="20">
        <f>원천데이터!G1188</f>
        <v>0.36849931619354981</v>
      </c>
      <c r="I133" s="20">
        <f>원천데이터!G1454</f>
        <v>0.37531756044449821</v>
      </c>
      <c r="J133" s="20">
        <f>원천데이터!G1720</f>
        <v>0.37842046643262661</v>
      </c>
      <c r="K133" s="20">
        <f>원천데이터!G1986</f>
        <v>0.37543154687159913</v>
      </c>
      <c r="L133" s="20">
        <f>원천데이터!G2252</f>
        <v>0.37402565498559232</v>
      </c>
      <c r="M133" s="20">
        <f>원천데이터!G2518</f>
        <v>0.36211089745133318</v>
      </c>
      <c r="N133" s="20">
        <f>원천데이터!G2784</f>
        <v>0.37317640173621835</v>
      </c>
      <c r="O133" s="20">
        <f>원천데이터!G3050</f>
        <v>0.38281810649903442</v>
      </c>
      <c r="P133" s="20">
        <f>원천데이터!G3317</f>
        <v>0.38455466467773014</v>
      </c>
      <c r="Q133" s="20">
        <f>원천데이터!G3585</f>
        <v>0.38226905650486165</v>
      </c>
      <c r="R133" s="20">
        <f t="shared" si="2"/>
        <v>0.37342169151795435</v>
      </c>
      <c r="S133" s="27">
        <f t="shared" si="3"/>
        <v>14</v>
      </c>
    </row>
    <row r="134" spans="1:19">
      <c r="A134" s="15" t="s">
        <v>160</v>
      </c>
      <c r="B134" s="15" t="s">
        <v>247</v>
      </c>
      <c r="C134" s="15" t="s">
        <v>248</v>
      </c>
      <c r="D134" s="20">
        <f>원천데이터!G124</f>
        <v>0.43766714468431456</v>
      </c>
      <c r="E134" s="20">
        <f>원천데이터!G388</f>
        <v>0.42936245863162031</v>
      </c>
      <c r="F134" s="20">
        <f>원천데이터!G654</f>
        <v>0.42286356282581339</v>
      </c>
      <c r="G134" s="20">
        <f>원천데이터!G921</f>
        <v>0.42246474805712247</v>
      </c>
      <c r="H134" s="20">
        <f>원천데이터!G1189</f>
        <v>0.42604966139954853</v>
      </c>
      <c r="I134" s="20">
        <f>원천데이터!G1455</f>
        <v>0.42434826035211293</v>
      </c>
      <c r="J134" s="20">
        <f>원천데이터!G1721</f>
        <v>0.42127276298705968</v>
      </c>
      <c r="K134" s="20">
        <f>원천데이터!G1987</f>
        <v>0.42105626192720669</v>
      </c>
      <c r="L134" s="20">
        <f>원천데이터!G2253</f>
        <v>0.42063582212973605</v>
      </c>
      <c r="M134" s="20">
        <f>원천데이터!G2519</f>
        <v>0.4121407497301865</v>
      </c>
      <c r="N134" s="20">
        <f>원천데이터!G2785</f>
        <v>0.41798602907336346</v>
      </c>
      <c r="O134" s="20">
        <f>원천데이터!G3051</f>
        <v>0.41401153509518529</v>
      </c>
      <c r="P134" s="20">
        <f>원천데이터!G3318</f>
        <v>0.41183321280167018</v>
      </c>
      <c r="Q134" s="20">
        <f>원천데이터!G3586</f>
        <v>0.41194831343130578</v>
      </c>
      <c r="R134" s="20">
        <f t="shared" ref="R134:R197" si="4">IFERROR(AVERAGE(D134:Q134),"")</f>
        <v>0.42097432308044613</v>
      </c>
      <c r="S134" s="27">
        <f t="shared" ref="S134:S197" si="5">COUNT(D134:Q134)</f>
        <v>14</v>
      </c>
    </row>
    <row r="135" spans="1:19">
      <c r="A135" s="15" t="s">
        <v>160</v>
      </c>
      <c r="B135" s="15" t="s">
        <v>249</v>
      </c>
      <c r="C135" s="15" t="s">
        <v>250</v>
      </c>
      <c r="D135" s="20">
        <f>원천데이터!G125</f>
        <v>0.34081854932767136</v>
      </c>
      <c r="E135" s="20">
        <f>원천데이터!G389</f>
        <v>0.33904399894173609</v>
      </c>
      <c r="F135" s="20">
        <f>원천데이터!G655</f>
        <v>0.34123558320177488</v>
      </c>
      <c r="G135" s="20">
        <f>원천데이터!G922</f>
        <v>0.34822802492470734</v>
      </c>
      <c r="H135" s="20">
        <f>원천데이터!G1190</f>
        <v>0.35367463332468702</v>
      </c>
      <c r="I135" s="20">
        <f>원천데이터!G1456</f>
        <v>0.35591023200814464</v>
      </c>
      <c r="J135" s="20">
        <f>원천데이터!G1722</f>
        <v>0.35746508666278143</v>
      </c>
      <c r="K135" s="20">
        <f>원천데이터!G1988</f>
        <v>0.36075077166413871</v>
      </c>
      <c r="L135" s="20">
        <f>원천데이터!G2254</f>
        <v>0.36284694249637478</v>
      </c>
      <c r="M135" s="20">
        <f>원천데이터!G2520</f>
        <v>0.35845502711146576</v>
      </c>
      <c r="N135" s="20">
        <f>원천데이터!G2786</f>
        <v>0.35385502718770112</v>
      </c>
      <c r="O135" s="20">
        <f>원천데이터!G3052</f>
        <v>0.36246797975509581</v>
      </c>
      <c r="P135" s="20">
        <f>원천데이터!G3319</f>
        <v>0.36549009987982345</v>
      </c>
      <c r="Q135" s="20">
        <f>원천데이터!G3587</f>
        <v>0.36076380968953331</v>
      </c>
      <c r="R135" s="20">
        <f t="shared" si="4"/>
        <v>0.35435755472683111</v>
      </c>
      <c r="S135" s="27">
        <f t="shared" si="5"/>
        <v>14</v>
      </c>
    </row>
    <row r="136" spans="1:19">
      <c r="A136" s="15" t="s">
        <v>160</v>
      </c>
      <c r="B136" s="15" t="s">
        <v>251</v>
      </c>
      <c r="C136" s="15" t="s">
        <v>252</v>
      </c>
      <c r="D136" s="20">
        <f>원천데이터!G126</f>
        <v>0.40982349879335639</v>
      </c>
      <c r="E136" s="20">
        <f>원천데이터!G390</f>
        <v>0.41288815159232695</v>
      </c>
      <c r="F136" s="20">
        <f>원천데이터!G656</f>
        <v>0.4090272637697831</v>
      </c>
      <c r="G136" s="20">
        <f>원천데이터!G923</f>
        <v>0.41416963042784533</v>
      </c>
      <c r="H136" s="20">
        <f>원천데이터!G1191</f>
        <v>0.41952918899541325</v>
      </c>
      <c r="I136" s="20">
        <f>원천데이터!G1457</f>
        <v>0.42412880758010901</v>
      </c>
      <c r="J136" s="20">
        <f>원천데이터!G1723</f>
        <v>0.42568298067575794</v>
      </c>
      <c r="K136" s="20">
        <f>원천데이터!G1989</f>
        <v>0.4270246899533508</v>
      </c>
      <c r="L136" s="20">
        <f>원천데이터!G2255</f>
        <v>0.4275473724305992</v>
      </c>
      <c r="M136" s="20">
        <f>원천데이터!G2521</f>
        <v>0.42209365168214019</v>
      </c>
      <c r="N136" s="20">
        <f>원천데이터!G2787</f>
        <v>0.43350808092015236</v>
      </c>
      <c r="O136" s="20">
        <f>원천데이터!G3053</f>
        <v>0.43167430061619522</v>
      </c>
      <c r="P136" s="20">
        <f>원천데이터!G3320</f>
        <v>0.43582685985743874</v>
      </c>
      <c r="Q136" s="20">
        <f>원천데이터!G3588</f>
        <v>0.43453367695200945</v>
      </c>
      <c r="R136" s="20">
        <f t="shared" si="4"/>
        <v>0.42338986816046276</v>
      </c>
      <c r="S136" s="27">
        <f t="shared" si="5"/>
        <v>14</v>
      </c>
    </row>
    <row r="137" spans="1:19">
      <c r="A137" s="15" t="s">
        <v>160</v>
      </c>
      <c r="B137" s="15" t="s">
        <v>253</v>
      </c>
      <c r="C137" s="15" t="s">
        <v>254</v>
      </c>
      <c r="D137" s="20">
        <f>원천데이터!G127</f>
        <v>0.46557680383453243</v>
      </c>
      <c r="E137" s="20">
        <f>원천데이터!G391</f>
        <v>0.46199885339237706</v>
      </c>
      <c r="F137" s="20">
        <f>원천데이터!G657</f>
        <v>0.46573042283620819</v>
      </c>
      <c r="G137" s="20">
        <f>원천데이터!G924</f>
        <v>0.47226882745471876</v>
      </c>
      <c r="H137" s="20">
        <f>원천데이터!G1192</f>
        <v>0.49821696012084332</v>
      </c>
      <c r="I137" s="20">
        <f>원천데이터!G1458</f>
        <v>0.53489759462149722</v>
      </c>
      <c r="J137" s="20">
        <f>원천데이터!G1724</f>
        <v>0.51865578625211362</v>
      </c>
      <c r="K137" s="20">
        <f>원천데이터!G1990</f>
        <v>0.5145948030713321</v>
      </c>
      <c r="L137" s="20">
        <f>원천데이터!G2256</f>
        <v>0.5055151667084482</v>
      </c>
      <c r="M137" s="20">
        <f>원천데이터!G2522</f>
        <v>0.49814577075566308</v>
      </c>
      <c r="N137" s="20">
        <f>원천데이터!G2788</f>
        <v>0.49863442644817491</v>
      </c>
      <c r="O137" s="20">
        <f>원천데이터!G3054</f>
        <v>0.47706503944039291</v>
      </c>
      <c r="P137" s="20">
        <f>원천데이터!G3321</f>
        <v>0.47629756726499456</v>
      </c>
      <c r="Q137" s="20">
        <f>원천데이터!G3589</f>
        <v>0.47106804795121876</v>
      </c>
      <c r="R137" s="20">
        <f t="shared" si="4"/>
        <v>0.48990471929660817</v>
      </c>
      <c r="S137" s="27">
        <f t="shared" si="5"/>
        <v>14</v>
      </c>
    </row>
    <row r="138" spans="1:19">
      <c r="A138" s="15" t="s">
        <v>160</v>
      </c>
      <c r="B138" s="15" t="s">
        <v>255</v>
      </c>
      <c r="C138" s="15" t="s">
        <v>256</v>
      </c>
      <c r="D138" s="20">
        <f>원천데이터!G128</f>
        <v>0.4513260851549572</v>
      </c>
      <c r="E138" s="20">
        <f>원천데이터!G392</f>
        <v>0.43709192970586563</v>
      </c>
      <c r="F138" s="20">
        <f>원천데이터!G658</f>
        <v>0.42797912411834199</v>
      </c>
      <c r="G138" s="20">
        <f>원천데이터!G925</f>
        <v>0.42602053720471444</v>
      </c>
      <c r="H138" s="20">
        <f>원천데이터!G1193</f>
        <v>0.43866787065998747</v>
      </c>
      <c r="I138" s="20">
        <f>원천데이터!G1459</f>
        <v>0.43510151292600013</v>
      </c>
      <c r="J138" s="20">
        <f>원천데이터!G1725</f>
        <v>0.43545271352843506</v>
      </c>
      <c r="K138" s="20">
        <f>원천데이터!G1991</f>
        <v>0.43935990423209631</v>
      </c>
      <c r="L138" s="20">
        <f>원천데이터!G2257</f>
        <v>0.43704686426224626</v>
      </c>
      <c r="M138" s="20">
        <f>원천데이터!G2523</f>
        <v>0.41976662113676616</v>
      </c>
      <c r="N138" s="20">
        <f>원천데이터!G2789</f>
        <v>0.42210777390371562</v>
      </c>
      <c r="O138" s="20">
        <f>원천데이터!G3055</f>
        <v>0.42085648264010544</v>
      </c>
      <c r="P138" s="20">
        <f>원천데이터!G3322</f>
        <v>0.42327665989613683</v>
      </c>
      <c r="Q138" s="20">
        <f>원천데이터!G3590</f>
        <v>0.41857962192185366</v>
      </c>
      <c r="R138" s="20">
        <f t="shared" si="4"/>
        <v>0.43090240723508738</v>
      </c>
      <c r="S138" s="27">
        <f t="shared" si="5"/>
        <v>14</v>
      </c>
    </row>
    <row r="139" spans="1:19">
      <c r="A139" s="15" t="s">
        <v>257</v>
      </c>
      <c r="B139" s="15" t="s">
        <v>22</v>
      </c>
      <c r="C139" s="15" t="s">
        <v>257</v>
      </c>
      <c r="D139" s="20">
        <f>원천데이터!G129</f>
        <v>0.22380656541693875</v>
      </c>
      <c r="E139" s="20">
        <f>원천데이터!G393</f>
        <v>0.22809789458076951</v>
      </c>
      <c r="F139" s="20">
        <f>원천데이터!G659</f>
        <v>0.23201919898831677</v>
      </c>
      <c r="G139" s="20">
        <f>원천데이터!G926</f>
        <v>0.23653463446974643</v>
      </c>
      <c r="H139" s="20">
        <f>원천데이터!G1194</f>
        <v>0.23866920634920635</v>
      </c>
      <c r="I139" s="20">
        <f>원천데이터!G1460</f>
        <v>0.24291334684072735</v>
      </c>
      <c r="J139" s="20">
        <f>원천데이터!G1726</f>
        <v>0.24558332492378734</v>
      </c>
      <c r="K139" s="20">
        <f>원천데이터!G1992</f>
        <v>0.24641632008742903</v>
      </c>
      <c r="L139" s="20">
        <f>원천데이터!G2258</f>
        <v>0.24990405494810183</v>
      </c>
      <c r="M139" s="20">
        <f>원천데이터!G2524</f>
        <v>0.23148608733537565</v>
      </c>
      <c r="N139" s="20">
        <f>원천데이터!G2790</f>
        <v>0.23610763433243792</v>
      </c>
      <c r="O139" s="20">
        <f>원천데이터!G3056</f>
        <v>0.24896966281082258</v>
      </c>
      <c r="P139" s="20">
        <f>원천데이터!G3323</f>
        <v>0.25466925997209539</v>
      </c>
      <c r="Q139" s="20">
        <f>원천데이터!G3591</f>
        <v>0.25518049968583401</v>
      </c>
      <c r="R139" s="20">
        <f t="shared" si="4"/>
        <v>0.24073983505297061</v>
      </c>
      <c r="S139" s="27">
        <f t="shared" si="5"/>
        <v>14</v>
      </c>
    </row>
    <row r="140" spans="1:19">
      <c r="A140" s="15" t="s">
        <v>257</v>
      </c>
      <c r="B140" s="15" t="s">
        <v>258</v>
      </c>
      <c r="C140" s="15" t="s">
        <v>259</v>
      </c>
      <c r="D140" s="20">
        <f>원천데이터!G130</f>
        <v>0.22302023091216569</v>
      </c>
      <c r="E140" s="20">
        <f>원천데이터!G394</f>
        <v>0.22887480451065931</v>
      </c>
      <c r="F140" s="20">
        <f>원천데이터!G660</f>
        <v>0.23026041430110947</v>
      </c>
      <c r="G140" s="20">
        <f>원천데이터!G927</f>
        <v>0.23124513762827401</v>
      </c>
      <c r="H140" s="20">
        <f>원천데이터!G1195</f>
        <v>0.23252632229616962</v>
      </c>
      <c r="I140" s="20">
        <f>원천데이터!G1461</f>
        <v>0.23435846087827206</v>
      </c>
      <c r="J140" s="20">
        <f>원천데이터!G1727</f>
        <v>0.23522143381453389</v>
      </c>
      <c r="K140" s="20">
        <f>원천데이터!G1993</f>
        <v>0.23680614962963564</v>
      </c>
      <c r="L140" s="20">
        <f>원천데이터!G2259</f>
        <v>0.23978827564326535</v>
      </c>
      <c r="M140" s="20">
        <f>원천데이터!G2525</f>
        <v>0.21745281434712521</v>
      </c>
      <c r="N140" s="20">
        <f>원천데이터!G2791</f>
        <v>0.21922984396127651</v>
      </c>
      <c r="O140" s="20">
        <f>원천데이터!G3057</f>
        <v>0.23551219973445436</v>
      </c>
      <c r="P140" s="20">
        <f>원천데이터!G3324</f>
        <v>0.23843508545424841</v>
      </c>
      <c r="Q140" s="20">
        <f>원천데이터!G3592</f>
        <v>0.23836824073176249</v>
      </c>
      <c r="R140" s="20">
        <f t="shared" si="4"/>
        <v>0.23150710098878227</v>
      </c>
      <c r="S140" s="27">
        <f t="shared" si="5"/>
        <v>14</v>
      </c>
    </row>
    <row r="141" spans="1:19">
      <c r="A141" s="15" t="s">
        <v>257</v>
      </c>
      <c r="B141" s="15" t="s">
        <v>260</v>
      </c>
      <c r="C141" s="15" t="s">
        <v>261</v>
      </c>
      <c r="D141" s="20">
        <f>원천데이터!G131</f>
        <v>0.57387731284495125</v>
      </c>
      <c r="E141" s="20">
        <f>원천데이터!G395</f>
        <v>0.57936697379099633</v>
      </c>
      <c r="F141" s="20">
        <f>원천데이터!G661</f>
        <v>0.58367961025934945</v>
      </c>
      <c r="G141" s="20">
        <f>원천데이터!G928</f>
        <v>0.59036462076565566</v>
      </c>
      <c r="H141" s="20">
        <f>원천데이터!G1196</f>
        <v>0.5959005100190955</v>
      </c>
      <c r="I141" s="20">
        <f>원천데이터!G1462</f>
        <v>0.60197510692488831</v>
      </c>
      <c r="J141" s="20">
        <f>원천데이터!G1728</f>
        <v>0.6050835148874365</v>
      </c>
      <c r="K141" s="20">
        <f>원천데이터!G1994</f>
        <v>0.59783071566343526</v>
      </c>
      <c r="L141" s="20">
        <f>원천데이터!G2260</f>
        <v>0.59952843486506568</v>
      </c>
      <c r="M141" s="20">
        <f>원천데이터!G2526</f>
        <v>0.59719337487351543</v>
      </c>
      <c r="N141" s="20">
        <f>원천데이터!G2792</f>
        <v>0.61459927188307917</v>
      </c>
      <c r="O141" s="20">
        <f>원천데이터!G3058</f>
        <v>0.58408196960132086</v>
      </c>
      <c r="P141" s="20">
        <f>원천데이터!G3325</f>
        <v>0.59247977385710104</v>
      </c>
      <c r="Q141" s="20">
        <f>원천데이터!G3593</f>
        <v>0.59267593096286042</v>
      </c>
      <c r="R141" s="20">
        <f t="shared" si="4"/>
        <v>0.59347408008562497</v>
      </c>
      <c r="S141" s="27">
        <f t="shared" si="5"/>
        <v>14</v>
      </c>
    </row>
    <row r="142" spans="1:19">
      <c r="A142" s="15" t="s">
        <v>257</v>
      </c>
      <c r="B142" s="15" t="s">
        <v>262</v>
      </c>
      <c r="C142" s="15" t="s">
        <v>263</v>
      </c>
      <c r="D142" s="20">
        <f>원천데이터!G132</f>
        <v>0.34504893964110928</v>
      </c>
      <c r="E142" s="20">
        <f>원천데이터!G396</f>
        <v>0.33589633825079029</v>
      </c>
      <c r="F142" s="20">
        <f>원천데이터!G662</f>
        <v>0.33937672455770168</v>
      </c>
      <c r="G142" s="20">
        <f>원천데이터!G929</f>
        <v>0.34783720298493154</v>
      </c>
      <c r="H142" s="20">
        <f>원천데이터!G1197</f>
        <v>0.34336703863352536</v>
      </c>
      <c r="I142" s="20">
        <f>원천데이터!G1463</f>
        <v>0.34849950049950051</v>
      </c>
      <c r="J142" s="20">
        <f>원천데이터!G1729</f>
        <v>0.36079749990110366</v>
      </c>
      <c r="K142" s="20">
        <f>원천데이터!G1995</f>
        <v>0.35685542052778402</v>
      </c>
      <c r="L142" s="20">
        <f>원천데이터!G2261</f>
        <v>0.36529848065085307</v>
      </c>
      <c r="M142" s="20">
        <f>원천데이터!G2527</f>
        <v>0.3597179780741131</v>
      </c>
      <c r="N142" s="20">
        <f>원천데이터!G2793</f>
        <v>0.36234157720518778</v>
      </c>
      <c r="O142" s="20">
        <f>원천데이터!G3059</f>
        <v>0.36968841821268811</v>
      </c>
      <c r="P142" s="20">
        <f>원천데이터!G3326</f>
        <v>0.37518201318323441</v>
      </c>
      <c r="Q142" s="20">
        <f>원천데이터!G3594</f>
        <v>0.37382865324954262</v>
      </c>
      <c r="R142" s="20">
        <f t="shared" si="4"/>
        <v>0.35598112754086186</v>
      </c>
      <c r="S142" s="27">
        <f t="shared" si="5"/>
        <v>14</v>
      </c>
    </row>
    <row r="143" spans="1:19">
      <c r="A143" s="15" t="s">
        <v>257</v>
      </c>
      <c r="B143" s="15" t="s">
        <v>264</v>
      </c>
      <c r="C143" s="15" t="s">
        <v>265</v>
      </c>
      <c r="D143" s="20">
        <f>원천데이터!G133</f>
        <v>0.41488961810811636</v>
      </c>
      <c r="E143" s="20">
        <f>원천데이터!G397</f>
        <v>0.41642931643132219</v>
      </c>
      <c r="F143" s="20">
        <f>원천데이터!G663</f>
        <v>0.42472330568040073</v>
      </c>
      <c r="G143" s="20">
        <f>원천데이터!G930</f>
        <v>0.43044508460245207</v>
      </c>
      <c r="H143" s="20">
        <f>원천데이터!G1198</f>
        <v>0.42701555586698431</v>
      </c>
      <c r="I143" s="20">
        <f>원천데이터!G1464</f>
        <v>0.423518956149387</v>
      </c>
      <c r="J143" s="20">
        <f>원천데이터!G1730</f>
        <v>0.42627913398308465</v>
      </c>
      <c r="K143" s="20">
        <f>원천데이터!G1996</f>
        <v>0.43023890371089013</v>
      </c>
      <c r="L143" s="20">
        <f>원천데이터!G2262</f>
        <v>0.4291714473037207</v>
      </c>
      <c r="M143" s="20">
        <f>원천데이터!G2528</f>
        <v>0.42159716544017445</v>
      </c>
      <c r="N143" s="20">
        <f>원천데이터!G2794</f>
        <v>0.41606282861308708</v>
      </c>
      <c r="O143" s="20">
        <f>원천데이터!G3060</f>
        <v>0.43017609669688445</v>
      </c>
      <c r="P143" s="20">
        <f>원천데이터!G3327</f>
        <v>0.43409879642619803</v>
      </c>
      <c r="Q143" s="20">
        <f>원천데이터!G3595</f>
        <v>0.43616414779755824</v>
      </c>
      <c r="R143" s="20">
        <f t="shared" si="4"/>
        <v>0.42577216834359005</v>
      </c>
      <c r="S143" s="27">
        <f t="shared" si="5"/>
        <v>14</v>
      </c>
    </row>
    <row r="144" spans="1:19">
      <c r="A144" s="15" t="s">
        <v>257</v>
      </c>
      <c r="B144" s="15" t="s">
        <v>266</v>
      </c>
      <c r="C144" s="15" t="s">
        <v>267</v>
      </c>
      <c r="D144" s="20">
        <f>원천데이터!G134</f>
        <v>0.31516780868451189</v>
      </c>
      <c r="E144" s="20">
        <f>원천데이터!G398</f>
        <v>0.31448971507521667</v>
      </c>
      <c r="F144" s="20">
        <f>원천데이터!G664</f>
        <v>0.31667829322171842</v>
      </c>
      <c r="G144" s="20">
        <f>원천데이터!G931</f>
        <v>0.32388405797101449</v>
      </c>
      <c r="H144" s="20">
        <f>원천데이터!G1199</f>
        <v>0.3314948286080257</v>
      </c>
      <c r="I144" s="20">
        <f>원천데이터!G1465</f>
        <v>0.34061118982163463</v>
      </c>
      <c r="J144" s="20">
        <f>원천데이터!G1731</f>
        <v>0.35064299627957646</v>
      </c>
      <c r="K144" s="20">
        <f>원천데이터!G1997</f>
        <v>0.35045278256303486</v>
      </c>
      <c r="L144" s="20">
        <f>원천데이터!G2263</f>
        <v>0.35442484725421813</v>
      </c>
      <c r="M144" s="20">
        <f>원천데이터!G2529</f>
        <v>0.34437092256005064</v>
      </c>
      <c r="N144" s="20">
        <f>원천데이터!G2795</f>
        <v>0.34703577622197956</v>
      </c>
      <c r="O144" s="20">
        <f>원천데이터!G3061</f>
        <v>0.36324980887014335</v>
      </c>
      <c r="P144" s="20">
        <f>원천데이터!G3328</f>
        <v>0.36563922758909412</v>
      </c>
      <c r="Q144" s="20">
        <f>원천데이터!G3596</f>
        <v>0.36020806241872561</v>
      </c>
      <c r="R144" s="20">
        <f t="shared" si="4"/>
        <v>0.34131073693849601</v>
      </c>
      <c r="S144" s="27">
        <f t="shared" si="5"/>
        <v>14</v>
      </c>
    </row>
    <row r="145" spans="1:19">
      <c r="A145" s="15" t="s">
        <v>257</v>
      </c>
      <c r="B145" s="15" t="s">
        <v>268</v>
      </c>
      <c r="C145" s="15" t="s">
        <v>269</v>
      </c>
      <c r="D145" s="20">
        <f>원천데이터!G135</f>
        <v>0.48488470854698168</v>
      </c>
      <c r="E145" s="20">
        <f>원천데이터!G399</f>
        <v>0.48615235440276344</v>
      </c>
      <c r="F145" s="20">
        <f>원천데이터!G665</f>
        <v>0.49436156466580522</v>
      </c>
      <c r="G145" s="20">
        <f>원천데이터!G932</f>
        <v>0.4886197296288855</v>
      </c>
      <c r="H145" s="20">
        <f>원천데이터!G1200</f>
        <v>0.49835095137420721</v>
      </c>
      <c r="I145" s="20">
        <f>원천데이터!G1466</f>
        <v>0.50424151696606789</v>
      </c>
      <c r="J145" s="20">
        <f>원천데이터!G1732</f>
        <v>0.50597257855389111</v>
      </c>
      <c r="K145" s="20">
        <f>원천데이터!G1998</f>
        <v>0.50016620498614961</v>
      </c>
      <c r="L145" s="20">
        <f>원천데이터!G2264</f>
        <v>0.50546187888633687</v>
      </c>
      <c r="M145" s="20">
        <f>원천데이터!G2530</f>
        <v>0.4959631258661204</v>
      </c>
      <c r="N145" s="20">
        <f>원천데이터!G2796</f>
        <v>0.50062840385421026</v>
      </c>
      <c r="O145" s="20">
        <f>원천데이터!G3062</f>
        <v>0.48925534359917261</v>
      </c>
      <c r="P145" s="20">
        <f>원천데이터!G3329</f>
        <v>0.49594704921856775</v>
      </c>
      <c r="Q145" s="20">
        <f>원천데이터!G3597</f>
        <v>0.50068644421894581</v>
      </c>
      <c r="R145" s="20">
        <f t="shared" si="4"/>
        <v>0.4964779896262933</v>
      </c>
      <c r="S145" s="27">
        <f t="shared" si="5"/>
        <v>14</v>
      </c>
    </row>
    <row r="146" spans="1:19">
      <c r="A146" s="15" t="s">
        <v>257</v>
      </c>
      <c r="B146" s="15" t="s">
        <v>270</v>
      </c>
      <c r="C146" s="15" t="s">
        <v>271</v>
      </c>
      <c r="D146" s="20">
        <f>원천데이터!G136</f>
        <v>0.56305846628668144</v>
      </c>
      <c r="E146" s="20">
        <f>원천데이터!G400</f>
        <v>0.56395607656922397</v>
      </c>
      <c r="F146" s="20">
        <f>원천데이터!G666</f>
        <v>0.55842147275992815</v>
      </c>
      <c r="G146" s="20">
        <f>원천데이터!G933</f>
        <v>0.55271652761223677</v>
      </c>
      <c r="H146" s="20">
        <f>원천데이터!G1201</f>
        <v>0.55588651426018321</v>
      </c>
      <c r="I146" s="20">
        <f>원천데이터!G1467</f>
        <v>0.55884105467004319</v>
      </c>
      <c r="J146" s="20">
        <f>원천데이터!G1733</f>
        <v>0.56105447634092764</v>
      </c>
      <c r="K146" s="20">
        <f>원천데이터!G1999</f>
        <v>0.56188614708038109</v>
      </c>
      <c r="L146" s="20">
        <f>원천데이터!G2265</f>
        <v>0.565806934156875</v>
      </c>
      <c r="M146" s="20">
        <f>원천데이터!G2531</f>
        <v>0.56798023471278569</v>
      </c>
      <c r="N146" s="20">
        <f>원천데이터!G2797</f>
        <v>0.56816725013559488</v>
      </c>
      <c r="O146" s="20">
        <f>원천데이터!G3063</f>
        <v>0.5492211263710941</v>
      </c>
      <c r="P146" s="20">
        <f>원천데이터!G3330</f>
        <v>0.55885160779565513</v>
      </c>
      <c r="Q146" s="20">
        <f>원천데이터!G3598</f>
        <v>0.56161806208842902</v>
      </c>
      <c r="R146" s="20">
        <f t="shared" si="4"/>
        <v>0.56053328220285992</v>
      </c>
      <c r="S146" s="27">
        <f t="shared" si="5"/>
        <v>14</v>
      </c>
    </row>
    <row r="147" spans="1:19">
      <c r="A147" s="15" t="s">
        <v>257</v>
      </c>
      <c r="B147" s="15" t="s">
        <v>272</v>
      </c>
      <c r="C147" s="15" t="s">
        <v>273</v>
      </c>
      <c r="D147" s="20">
        <f>원천데이터!G137</f>
        <v>0.4680937999644697</v>
      </c>
      <c r="E147" s="20">
        <f>원천데이터!G401</f>
        <v>0.47040712199584783</v>
      </c>
      <c r="F147" s="20">
        <f>원천데이터!G667</f>
        <v>0.4738510023636523</v>
      </c>
      <c r="G147" s="20">
        <f>원천데이터!G934</f>
        <v>0.47593851048745484</v>
      </c>
      <c r="H147" s="20">
        <f>원천데이터!G1202</f>
        <v>0.47982734013297595</v>
      </c>
      <c r="I147" s="20">
        <f>원천데이터!G1468</f>
        <v>0.48685935021038834</v>
      </c>
      <c r="J147" s="20">
        <f>원천데이터!G1734</f>
        <v>0.49459004568405868</v>
      </c>
      <c r="K147" s="20">
        <f>원천데이터!G2000</f>
        <v>0.49476905193339943</v>
      </c>
      <c r="L147" s="20">
        <f>원천데이터!G2266</f>
        <v>0.4982283294443004</v>
      </c>
      <c r="M147" s="20">
        <f>원천데이터!G2532</f>
        <v>0.49305153445280836</v>
      </c>
      <c r="N147" s="20">
        <f>원천데이터!G2798</f>
        <v>0.50152662101859047</v>
      </c>
      <c r="O147" s="20">
        <f>원천데이터!G3064</f>
        <v>0.49803827505268389</v>
      </c>
      <c r="P147" s="20">
        <f>원천데이터!G3331</f>
        <v>0.50560366347031183</v>
      </c>
      <c r="Q147" s="20">
        <f>원천데이터!G3599</f>
        <v>0.50336196578187709</v>
      </c>
      <c r="R147" s="20">
        <f t="shared" si="4"/>
        <v>0.48886761514234423</v>
      </c>
      <c r="S147" s="27">
        <f t="shared" si="5"/>
        <v>14</v>
      </c>
    </row>
    <row r="148" spans="1:19">
      <c r="A148" s="15" t="s">
        <v>257</v>
      </c>
      <c r="B148" s="15" t="s">
        <v>274</v>
      </c>
      <c r="C148" s="15" t="s">
        <v>275</v>
      </c>
      <c r="D148" s="20">
        <f>원천데이터!G138</f>
        <v>0.26734327471577424</v>
      </c>
      <c r="E148" s="20">
        <f>원천데이터!G402</f>
        <v>0.25777866965209861</v>
      </c>
      <c r="F148" s="20">
        <f>원천데이터!G668</f>
        <v>0.23408512922025562</v>
      </c>
      <c r="G148" s="20">
        <f>원천데이터!G935</f>
        <v>0.23756272591258756</v>
      </c>
      <c r="H148" s="20">
        <f>원천데이터!G1203</f>
        <v>0.24524603728699609</v>
      </c>
      <c r="I148" s="20">
        <f>원천데이터!G1469</f>
        <v>0.25322976777620254</v>
      </c>
      <c r="J148" s="20">
        <f>원천데이터!G1735</f>
        <v>0.24581673902532636</v>
      </c>
      <c r="K148" s="20">
        <f>원천데이터!G2001</f>
        <v>0.24764218067618626</v>
      </c>
      <c r="L148" s="20">
        <f>원천데이터!G2267</f>
        <v>0.25160169660750675</v>
      </c>
      <c r="M148" s="20">
        <f>원천데이터!G2533</f>
        <v>0.23574109676828711</v>
      </c>
      <c r="N148" s="20">
        <f>원천데이터!G2799</f>
        <v>0.23726138782972683</v>
      </c>
      <c r="O148" s="20">
        <f>원천데이터!G3065</f>
        <v>0.25319742282911817</v>
      </c>
      <c r="P148" s="20">
        <f>원천데이터!G3332</f>
        <v>0.25566290784150136</v>
      </c>
      <c r="Q148" s="20">
        <f>원천데이터!G3600</f>
        <v>0.25322202001204241</v>
      </c>
      <c r="R148" s="20">
        <f t="shared" si="4"/>
        <v>0.24824221829668638</v>
      </c>
      <c r="S148" s="27">
        <f t="shared" si="5"/>
        <v>14</v>
      </c>
    </row>
    <row r="149" spans="1:19">
      <c r="A149" s="15" t="s">
        <v>257</v>
      </c>
      <c r="B149" s="15" t="s">
        <v>276</v>
      </c>
      <c r="C149" s="15" t="s">
        <v>277</v>
      </c>
      <c r="D149" s="20">
        <f>원천데이터!G139</f>
        <v>0.48907681465821001</v>
      </c>
      <c r="E149" s="20">
        <f>원천데이터!G403</f>
        <v>0.47841971112999149</v>
      </c>
      <c r="F149" s="20">
        <f>원천데이터!G669</f>
        <v>0.47862579281183931</v>
      </c>
      <c r="G149" s="20">
        <f>원천데이터!G936</f>
        <v>0.48436488208384687</v>
      </c>
      <c r="H149" s="20">
        <f>원천데이터!G1204</f>
        <v>0.49383400020519136</v>
      </c>
      <c r="I149" s="20">
        <f>원천데이터!G1470</f>
        <v>0.49431562589457329</v>
      </c>
      <c r="J149" s="20">
        <f>원천데이터!G1736</f>
        <v>0.49909340939187125</v>
      </c>
      <c r="K149" s="20">
        <f>원천데이터!G2002</f>
        <v>0.49951060358890703</v>
      </c>
      <c r="L149" s="20">
        <f>원천데이터!G2268</f>
        <v>0.50694005666184294</v>
      </c>
      <c r="M149" s="20">
        <f>원천데이터!G2534</f>
        <v>0.50176393080290727</v>
      </c>
      <c r="N149" s="20">
        <f>원천데이터!G2800</f>
        <v>0.51373535720178187</v>
      </c>
      <c r="O149" s="20">
        <f>원천데이터!G3066</f>
        <v>0.50308522198075134</v>
      </c>
      <c r="P149" s="20">
        <f>원천데이터!G3333</f>
        <v>0.51216740467886668</v>
      </c>
      <c r="Q149" s="20">
        <f>원천데이터!G3601</f>
        <v>0.51744151139752237</v>
      </c>
      <c r="R149" s="20">
        <f t="shared" si="4"/>
        <v>0.49802673732057878</v>
      </c>
      <c r="S149" s="27">
        <f t="shared" si="5"/>
        <v>14</v>
      </c>
    </row>
    <row r="150" spans="1:19">
      <c r="A150" s="15" t="s">
        <v>257</v>
      </c>
      <c r="B150" s="15" t="s">
        <v>278</v>
      </c>
      <c r="C150" s="15" t="s">
        <v>279</v>
      </c>
      <c r="D150" s="20">
        <f>원천데이터!G140</f>
        <v>0.52185246018710274</v>
      </c>
      <c r="E150" s="20">
        <f>원천데이터!G404</f>
        <v>0.52121233529972799</v>
      </c>
      <c r="F150" s="20">
        <f>원천데이터!G670</f>
        <v>0.51661753351582784</v>
      </c>
      <c r="G150" s="20">
        <f>원천데이터!G937</f>
        <v>0.5168034249018908</v>
      </c>
      <c r="H150" s="20">
        <f>원천데이터!G1205</f>
        <v>0.5234958674703144</v>
      </c>
      <c r="I150" s="20">
        <f>원천데이터!G1471</f>
        <v>0.51927783492356261</v>
      </c>
      <c r="J150" s="20">
        <f>원천데이터!G1737</f>
        <v>0.51981961022924539</v>
      </c>
      <c r="K150" s="20">
        <f>원천데이터!G2003</f>
        <v>0.52018025078369901</v>
      </c>
      <c r="L150" s="20">
        <f>원천데이터!G2269</f>
        <v>0.52835405522625412</v>
      </c>
      <c r="M150" s="20">
        <f>원천데이터!G2535</f>
        <v>0.53287726204353059</v>
      </c>
      <c r="N150" s="20">
        <f>원천데이터!G2801</f>
        <v>0.5410212388356257</v>
      </c>
      <c r="O150" s="20">
        <f>원천데이터!G3067</f>
        <v>0.5275298716624871</v>
      </c>
      <c r="P150" s="20">
        <f>원천데이터!G3334</f>
        <v>0.52838697604790419</v>
      </c>
      <c r="Q150" s="20">
        <f>원천데이터!G3602</f>
        <v>0.53034078276536201</v>
      </c>
      <c r="R150" s="20">
        <f t="shared" si="4"/>
        <v>0.52484067884946672</v>
      </c>
      <c r="S150" s="27">
        <f t="shared" si="5"/>
        <v>14</v>
      </c>
    </row>
    <row r="151" spans="1:19">
      <c r="A151" s="15" t="s">
        <v>257</v>
      </c>
      <c r="B151" s="15" t="s">
        <v>280</v>
      </c>
      <c r="C151" s="15" t="s">
        <v>281</v>
      </c>
      <c r="D151" s="20">
        <f>원천데이터!G141</f>
        <v>0.45636560841907775</v>
      </c>
      <c r="E151" s="20">
        <f>원천데이터!G405</f>
        <v>0.4533240776895599</v>
      </c>
      <c r="F151" s="20">
        <f>원천데이터!G671</f>
        <v>0.46051772895366544</v>
      </c>
      <c r="G151" s="20">
        <f>원천데이터!G938</f>
        <v>0.46844484757437038</v>
      </c>
      <c r="H151" s="20">
        <f>원천데이터!G1206</f>
        <v>0.47564855433000236</v>
      </c>
      <c r="I151" s="20">
        <f>원천데이터!G1472</f>
        <v>0.47624306303031999</v>
      </c>
      <c r="J151" s="20">
        <f>원천데이터!G1738</f>
        <v>0.47436841509006455</v>
      </c>
      <c r="K151" s="20">
        <f>원천데이터!G2004</f>
        <v>0.47683460574212833</v>
      </c>
      <c r="L151" s="20">
        <f>원천데이터!G2270</f>
        <v>0.48232943191550098</v>
      </c>
      <c r="M151" s="20">
        <f>원천데이터!G2536</f>
        <v>0.46537480721364544</v>
      </c>
      <c r="N151" s="20">
        <f>원천데이터!G2802</f>
        <v>0.46386989183152033</v>
      </c>
      <c r="O151" s="20">
        <f>원천데이터!G3068</f>
        <v>0.46720740224499174</v>
      </c>
      <c r="P151" s="20">
        <f>원천데이터!G3335</f>
        <v>0.4723138423188582</v>
      </c>
      <c r="Q151" s="20">
        <f>원천데이터!G3603</f>
        <v>0.47711118306427985</v>
      </c>
      <c r="R151" s="20">
        <f t="shared" si="4"/>
        <v>0.46928238995842753</v>
      </c>
      <c r="S151" s="27">
        <f t="shared" si="5"/>
        <v>14</v>
      </c>
    </row>
    <row r="152" spans="1:19">
      <c r="A152" s="15" t="s">
        <v>257</v>
      </c>
      <c r="B152" s="15" t="s">
        <v>282</v>
      </c>
      <c r="C152" s="15" t="s">
        <v>283</v>
      </c>
      <c r="D152" s="20">
        <f>원천데이터!G142</f>
        <v>0.22767303867584937</v>
      </c>
      <c r="E152" s="20">
        <f>원천데이터!G406</f>
        <v>0.23023171238570242</v>
      </c>
      <c r="F152" s="20">
        <f>원천데이터!G672</f>
        <v>0.23160786609748016</v>
      </c>
      <c r="G152" s="20">
        <f>원천데이터!G939</f>
        <v>0.2338777246010689</v>
      </c>
      <c r="H152" s="20">
        <f>원천데이터!G1207</f>
        <v>0.23330839781992369</v>
      </c>
      <c r="I152" s="20">
        <f>원천데이터!G1473</f>
        <v>0.23778118405249077</v>
      </c>
      <c r="J152" s="20">
        <f>원천데이터!G1739</f>
        <v>0.23630323276590645</v>
      </c>
      <c r="K152" s="20">
        <f>원천데이터!G2005</f>
        <v>0.23649257639793916</v>
      </c>
      <c r="L152" s="20">
        <f>원천데이터!G2271</f>
        <v>0.2399911817910024</v>
      </c>
      <c r="M152" s="20">
        <f>원천데이터!G2537</f>
        <v>0.22243370408747837</v>
      </c>
      <c r="N152" s="20">
        <f>원천데이터!G2803</f>
        <v>0.2261202856944062</v>
      </c>
      <c r="O152" s="20">
        <f>원천데이터!G3069</f>
        <v>0.25212804085838447</v>
      </c>
      <c r="P152" s="20">
        <f>원천데이터!G3336</f>
        <v>0.24388952338425515</v>
      </c>
      <c r="Q152" s="20">
        <f>원천데이터!G3604</f>
        <v>0.24952219640874809</v>
      </c>
      <c r="R152" s="20">
        <f t="shared" si="4"/>
        <v>0.23581147607290256</v>
      </c>
      <c r="S152" s="27">
        <f t="shared" si="5"/>
        <v>14</v>
      </c>
    </row>
    <row r="153" spans="1:19">
      <c r="A153" s="15" t="s">
        <v>257</v>
      </c>
      <c r="B153" s="15" t="s">
        <v>284</v>
      </c>
      <c r="C153" s="15" t="s">
        <v>285</v>
      </c>
      <c r="D153" s="20">
        <f>원천데이터!G143</f>
        <v>0.37119321400682886</v>
      </c>
      <c r="E153" s="20">
        <f>원천데이터!G407</f>
        <v>0.38528655678209589</v>
      </c>
      <c r="F153" s="20">
        <f>원천데이터!G673</f>
        <v>0.38589745553700272</v>
      </c>
      <c r="G153" s="20">
        <f>원천데이터!G940</f>
        <v>0.3951760821716801</v>
      </c>
      <c r="H153" s="20">
        <f>원천데이터!G1208</f>
        <v>0.39744498551439317</v>
      </c>
      <c r="I153" s="20">
        <f>원천데이터!G1474</f>
        <v>0.40563108874852799</v>
      </c>
      <c r="J153" s="20">
        <f>원천데이터!G1740</f>
        <v>0.41075714597425267</v>
      </c>
      <c r="K153" s="20">
        <f>원천데이터!G2006</f>
        <v>0.41176378051849988</v>
      </c>
      <c r="L153" s="20">
        <f>원천데이터!G2272</f>
        <v>0.41612436156502092</v>
      </c>
      <c r="M153" s="20">
        <f>원천데이터!G2538</f>
        <v>0.4007339762737902</v>
      </c>
      <c r="N153" s="20">
        <f>원천데이터!G2804</f>
        <v>0.41422299962273212</v>
      </c>
      <c r="O153" s="20">
        <f>원천데이터!G3070</f>
        <v>0.41837125948153703</v>
      </c>
      <c r="P153" s="20">
        <f>원천데이터!G3337</f>
        <v>0.42815358344463794</v>
      </c>
      <c r="Q153" s="20">
        <f>원천데이터!G3605</f>
        <v>0.4295356605112407</v>
      </c>
      <c r="R153" s="20">
        <f t="shared" si="4"/>
        <v>0.40502086786801711</v>
      </c>
      <c r="S153" s="27">
        <f t="shared" si="5"/>
        <v>14</v>
      </c>
    </row>
    <row r="154" spans="1:19">
      <c r="A154" s="15" t="s">
        <v>257</v>
      </c>
      <c r="B154" s="15" t="s">
        <v>286</v>
      </c>
      <c r="C154" s="15" t="s">
        <v>287</v>
      </c>
      <c r="D154" s="20">
        <f>원천데이터!G144</f>
        <v>0.50383852600601364</v>
      </c>
      <c r="E154" s="20">
        <f>원천데이터!G408</f>
        <v>0.50473285323437844</v>
      </c>
      <c r="F154" s="20">
        <f>원천데이터!G674</f>
        <v>0.50974418568130786</v>
      </c>
      <c r="G154" s="20">
        <f>원천데이터!G941</f>
        <v>0.50984747289615107</v>
      </c>
      <c r="H154" s="20">
        <f>원천데이터!G1209</f>
        <v>0.51120666986341634</v>
      </c>
      <c r="I154" s="20">
        <f>원천데이터!G1475</f>
        <v>0.51217199828735704</v>
      </c>
      <c r="J154" s="20">
        <f>원천데이터!G1741</f>
        <v>0.5158271949034442</v>
      </c>
      <c r="K154" s="20">
        <f>원천데이터!G2007</f>
        <v>0.52003369581865522</v>
      </c>
      <c r="L154" s="20">
        <f>원천데이터!G2273</f>
        <v>0.52252056832091232</v>
      </c>
      <c r="M154" s="20">
        <f>원천데이터!G2539</f>
        <v>0.52130610391085008</v>
      </c>
      <c r="N154" s="20">
        <f>원천데이터!G2805</f>
        <v>0.52645459840787001</v>
      </c>
      <c r="O154" s="20">
        <f>원천데이터!G3071</f>
        <v>0.52093258375331264</v>
      </c>
      <c r="P154" s="20">
        <f>원천데이터!G3338</f>
        <v>0.52661690775067083</v>
      </c>
      <c r="Q154" s="20">
        <f>원천데이터!G3606</f>
        <v>0.52765540109282816</v>
      </c>
      <c r="R154" s="20">
        <f t="shared" si="4"/>
        <v>0.51663491142336915</v>
      </c>
      <c r="S154" s="27">
        <f t="shared" si="5"/>
        <v>14</v>
      </c>
    </row>
    <row r="155" spans="1:19">
      <c r="A155" s="15" t="s">
        <v>257</v>
      </c>
      <c r="B155" s="15" t="s">
        <v>288</v>
      </c>
      <c r="C155" s="15" t="s">
        <v>289</v>
      </c>
      <c r="D155" s="20">
        <f>원천데이터!G145</f>
        <v>0.39654366102211058</v>
      </c>
      <c r="E155" s="20">
        <f>원천데이터!G409</f>
        <v>0.4001895918389331</v>
      </c>
      <c r="F155" s="20">
        <f>원천데이터!G675</f>
        <v>0.40944558088529914</v>
      </c>
      <c r="G155" s="20">
        <f>원천데이터!G942</f>
        <v>0.41410691601241173</v>
      </c>
      <c r="H155" s="20">
        <f>원천데이터!G1210</f>
        <v>0.41896097429407247</v>
      </c>
      <c r="I155" s="20">
        <f>원천데이터!G1476</f>
        <v>0.42784722504987988</v>
      </c>
      <c r="J155" s="20">
        <f>원천데이터!G1742</f>
        <v>0.4361835192875369</v>
      </c>
      <c r="K155" s="20">
        <f>원천데이터!G2008</f>
        <v>0.44186971260425678</v>
      </c>
      <c r="L155" s="20">
        <f>원천데이터!G2274</f>
        <v>0.44740904518609259</v>
      </c>
      <c r="M155" s="20">
        <f>원천데이터!G2540</f>
        <v>0.44041590011782461</v>
      </c>
      <c r="N155" s="20">
        <f>원천데이터!G2806</f>
        <v>0.45095710922305249</v>
      </c>
      <c r="O155" s="20">
        <f>원천데이터!G3072</f>
        <v>0.44964859684474368</v>
      </c>
      <c r="P155" s="20">
        <f>원천데이터!G3339</f>
        <v>0.45798389884921226</v>
      </c>
      <c r="Q155" s="20">
        <f>원천데이터!G3607</f>
        <v>0.45822083628067312</v>
      </c>
      <c r="R155" s="20">
        <f t="shared" si="4"/>
        <v>0.43212732624972139</v>
      </c>
      <c r="S155" s="27">
        <f t="shared" si="5"/>
        <v>14</v>
      </c>
    </row>
    <row r="156" spans="1:19">
      <c r="A156" s="15" t="s">
        <v>257</v>
      </c>
      <c r="B156" s="15" t="s">
        <v>290</v>
      </c>
      <c r="C156" s="15" t="s">
        <v>291</v>
      </c>
      <c r="D156" s="20">
        <f>원천데이터!G146</f>
        <v>0.52254030016675934</v>
      </c>
      <c r="E156" s="20">
        <f>원천데이터!G410</f>
        <v>0.51596241551733613</v>
      </c>
      <c r="F156" s="20">
        <f>원천데이터!G676</f>
        <v>0.52421574773105117</v>
      </c>
      <c r="G156" s="20">
        <f>원천데이터!G943</f>
        <v>0.54521812294434102</v>
      </c>
      <c r="H156" s="20">
        <f>원천데이터!G1211</f>
        <v>0.54371045304986076</v>
      </c>
      <c r="I156" s="20">
        <f>원천데이터!G1477</f>
        <v>0.5401310923512459</v>
      </c>
      <c r="J156" s="20">
        <f>원천데이터!G1743</f>
        <v>0.54072976287816843</v>
      </c>
      <c r="K156" s="20">
        <f>원천데이터!G2009</f>
        <v>0.53255904998042547</v>
      </c>
      <c r="L156" s="20">
        <f>원천데이터!G2275</f>
        <v>0.53833998238433245</v>
      </c>
      <c r="M156" s="20">
        <f>원천데이터!G2541</f>
        <v>0.53374496644295299</v>
      </c>
      <c r="N156" s="20">
        <f>원천데이터!G2807</f>
        <v>0.5350340683513064</v>
      </c>
      <c r="O156" s="20">
        <f>원천데이터!G3073</f>
        <v>0.52790518864172653</v>
      </c>
      <c r="P156" s="20">
        <f>원천데이터!G3340</f>
        <v>0.5356842076666033</v>
      </c>
      <c r="Q156" s="20">
        <f>원천데이터!G3608</f>
        <v>0.53761913865144606</v>
      </c>
      <c r="R156" s="20">
        <f t="shared" si="4"/>
        <v>0.53381389262553969</v>
      </c>
      <c r="S156" s="27">
        <f t="shared" si="5"/>
        <v>14</v>
      </c>
    </row>
    <row r="157" spans="1:19">
      <c r="A157" s="15" t="s">
        <v>257</v>
      </c>
      <c r="B157" s="15" t="s">
        <v>292</v>
      </c>
      <c r="C157" s="15" t="s">
        <v>293</v>
      </c>
      <c r="D157" s="20">
        <f>원천데이터!G147</f>
        <v>0.48047739241531895</v>
      </c>
      <c r="E157" s="20">
        <f>원천데이터!G411</f>
        <v>0.48486663288340165</v>
      </c>
      <c r="F157" s="20">
        <f>원천데이터!G677</f>
        <v>0.49271450881688478</v>
      </c>
      <c r="G157" s="20">
        <f>원천데이터!G944</f>
        <v>0.49332204245962769</v>
      </c>
      <c r="H157" s="20">
        <f>원천데이터!G1212</f>
        <v>0.49759992888678184</v>
      </c>
      <c r="I157" s="20">
        <f>원천데이터!G1478</f>
        <v>0.50150802092287972</v>
      </c>
      <c r="J157" s="20">
        <f>원천데이터!G1744</f>
        <v>0.50629483449050738</v>
      </c>
      <c r="K157" s="20">
        <f>원천데이터!G2010</f>
        <v>0.50874412734029872</v>
      </c>
      <c r="L157" s="20">
        <f>원천데이터!G2276</f>
        <v>0.51446634332333396</v>
      </c>
      <c r="M157" s="20">
        <f>원천데이터!G2542</f>
        <v>0.50775666724769042</v>
      </c>
      <c r="N157" s="20">
        <f>원천데이터!G2808</f>
        <v>0.50653021025135958</v>
      </c>
      <c r="O157" s="20">
        <f>원천데이터!G3074</f>
        <v>0.50443469456631795</v>
      </c>
      <c r="P157" s="20">
        <f>원천데이터!G3341</f>
        <v>0.51088089918071633</v>
      </c>
      <c r="Q157" s="20">
        <f>원천데이터!G3609</f>
        <v>0.51546686255305252</v>
      </c>
      <c r="R157" s="20">
        <f t="shared" si="4"/>
        <v>0.50179022609558377</v>
      </c>
      <c r="S157" s="27">
        <f t="shared" si="5"/>
        <v>14</v>
      </c>
    </row>
    <row r="158" spans="1:19">
      <c r="A158" s="15" t="s">
        <v>294</v>
      </c>
      <c r="B158" s="15" t="s">
        <v>22</v>
      </c>
      <c r="C158" s="15" t="s">
        <v>294</v>
      </c>
      <c r="D158" s="20">
        <f>원천데이터!G148</f>
        <v>0.24273013312704539</v>
      </c>
      <c r="E158" s="20">
        <f>원천데이터!G412</f>
        <v>0.24211254745647454</v>
      </c>
      <c r="F158" s="20">
        <f>원천데이터!G678</f>
        <v>0.24356838943203507</v>
      </c>
      <c r="G158" s="20">
        <f>원천데이터!G945</f>
        <v>0.24695926926682976</v>
      </c>
      <c r="H158" s="20">
        <f>원천데이터!G1213</f>
        <v>0.2479744522264889</v>
      </c>
      <c r="I158" s="20">
        <f>원천데이터!G1479</f>
        <v>0.25308215339784063</v>
      </c>
      <c r="J158" s="20">
        <f>원천데이터!G1745</f>
        <v>0.25544937704124832</v>
      </c>
      <c r="K158" s="20">
        <f>원천데이터!G2011</f>
        <v>0.25739323319455737</v>
      </c>
      <c r="L158" s="20">
        <f>원천데이터!G2277</f>
        <v>0.25912368814680597</v>
      </c>
      <c r="M158" s="20">
        <f>원천데이터!G2543</f>
        <v>0.24262538623904853</v>
      </c>
      <c r="N158" s="20">
        <f>원천데이터!G2809</f>
        <v>0.24653572232965976</v>
      </c>
      <c r="O158" s="20">
        <f>원천데이터!G3075</f>
        <v>0.2583814983454692</v>
      </c>
      <c r="P158" s="20">
        <f>원천데이터!G3342</f>
        <v>0.2630399798360597</v>
      </c>
      <c r="Q158" s="20">
        <f>원천데이터!G3610</f>
        <v>0.26311168489417164</v>
      </c>
      <c r="R158" s="20">
        <f t="shared" si="4"/>
        <v>0.25157767963812394</v>
      </c>
      <c r="S158" s="27">
        <f t="shared" si="5"/>
        <v>14</v>
      </c>
    </row>
    <row r="159" spans="1:19">
      <c r="A159" s="15" t="s">
        <v>294</v>
      </c>
      <c r="B159" s="15" t="s">
        <v>295</v>
      </c>
      <c r="C159" s="15" t="s">
        <v>296</v>
      </c>
      <c r="D159" s="20">
        <f>원천데이터!G149</f>
        <v>0.53642078018117956</v>
      </c>
      <c r="E159" s="20">
        <f>원천데이터!G413</f>
        <v>0.5339904518143368</v>
      </c>
      <c r="F159" s="20">
        <f>원천데이터!G679</f>
        <v>0.54104965351764644</v>
      </c>
      <c r="G159" s="20">
        <f>원천데이터!G946</f>
        <v>0.54535673339800683</v>
      </c>
      <c r="H159" s="20">
        <f>원천데이터!G1214</f>
        <v>0.54676233994127565</v>
      </c>
      <c r="I159" s="20">
        <f>원천데이터!G1480</f>
        <v>0.55159947226838923</v>
      </c>
      <c r="J159" s="20">
        <f>원천데이터!G1746</f>
        <v>0.55035021046711774</v>
      </c>
      <c r="K159" s="20">
        <f>원천데이터!G2012</f>
        <v>0.55617777325255813</v>
      </c>
      <c r="L159" s="20">
        <f>원천데이터!G2278</f>
        <v>0.56596186938817239</v>
      </c>
      <c r="M159" s="20">
        <f>원천데이터!G2544</f>
        <v>0.5793044953350297</v>
      </c>
      <c r="N159" s="20">
        <f>원천데이터!G2810</f>
        <v>0.57443689667500897</v>
      </c>
      <c r="O159" s="20">
        <f>원천데이터!G3076</f>
        <v>0.54727577822677309</v>
      </c>
      <c r="P159" s="20">
        <f>원천데이터!G3343</f>
        <v>0.55852267742784456</v>
      </c>
      <c r="Q159" s="20">
        <f>원천데이터!G3611</f>
        <v>0.55946573957464929</v>
      </c>
      <c r="R159" s="20">
        <f t="shared" si="4"/>
        <v>0.55333391939057053</v>
      </c>
      <c r="S159" s="27">
        <f t="shared" si="5"/>
        <v>14</v>
      </c>
    </row>
    <row r="160" spans="1:19">
      <c r="A160" s="15" t="s">
        <v>294</v>
      </c>
      <c r="B160" s="15" t="s">
        <v>297</v>
      </c>
      <c r="C160" s="15" t="s">
        <v>298</v>
      </c>
      <c r="D160" s="20">
        <f>원천데이터!G150</f>
        <v>0.5145801963819906</v>
      </c>
      <c r="E160" s="20">
        <f>원천데이터!G414</f>
        <v>0.5177023121387283</v>
      </c>
      <c r="F160" s="20">
        <f>원천데이터!G680</f>
        <v>0.51978470833510615</v>
      </c>
      <c r="G160" s="20">
        <f>원천데이터!G947</f>
        <v>0.52410710502902169</v>
      </c>
      <c r="H160" s="20">
        <f>원천데이터!G1215</f>
        <v>0.52990723957778019</v>
      </c>
      <c r="I160" s="20">
        <f>원천데이터!G1481</f>
        <v>0.53160797624098433</v>
      </c>
      <c r="J160" s="20">
        <f>원천데이터!G1747</f>
        <v>0.53138817096353885</v>
      </c>
      <c r="K160" s="20">
        <f>원천데이터!G2013</f>
        <v>0.52924738012067318</v>
      </c>
      <c r="L160" s="20">
        <f>원천데이터!G2279</f>
        <v>0.53235313029127462</v>
      </c>
      <c r="M160" s="20">
        <f>원천데이터!G2545</f>
        <v>0.52888152218337037</v>
      </c>
      <c r="N160" s="20">
        <f>원천데이터!G2811</f>
        <v>0.53612689835088045</v>
      </c>
      <c r="O160" s="20">
        <f>원천데이터!G3077</f>
        <v>0.52083101630446871</v>
      </c>
      <c r="P160" s="20">
        <f>원천데이터!G3344</f>
        <v>0.52849136964806098</v>
      </c>
      <c r="Q160" s="20">
        <f>원천데이터!G3612</f>
        <v>0.52580681689502884</v>
      </c>
      <c r="R160" s="20">
        <f t="shared" si="4"/>
        <v>0.52648684589006478</v>
      </c>
      <c r="S160" s="27">
        <f t="shared" si="5"/>
        <v>14</v>
      </c>
    </row>
    <row r="161" spans="1:19">
      <c r="A161" s="15" t="s">
        <v>294</v>
      </c>
      <c r="B161" s="15" t="s">
        <v>299</v>
      </c>
      <c r="C161" s="15" t="s">
        <v>300</v>
      </c>
      <c r="D161" s="20">
        <f>원천데이터!G151</f>
        <v>0.44857556735876386</v>
      </c>
      <c r="E161" s="20">
        <f>원천데이터!G415</f>
        <v>0.44962956997906267</v>
      </c>
      <c r="F161" s="20">
        <f>원천데이터!G681</f>
        <v>0.4555000100383465</v>
      </c>
      <c r="G161" s="20">
        <f>원천데이터!G948</f>
        <v>0.46047564219637116</v>
      </c>
      <c r="H161" s="20">
        <f>원천데이터!G1216</f>
        <v>0.46854298145897849</v>
      </c>
      <c r="I161" s="20">
        <f>원천데이터!G1482</f>
        <v>0.47086650962680321</v>
      </c>
      <c r="J161" s="20">
        <f>원천데이터!G1748</f>
        <v>0.47693052061157343</v>
      </c>
      <c r="K161" s="20">
        <f>원천데이터!G2014</f>
        <v>0.47798472568578554</v>
      </c>
      <c r="L161" s="20">
        <f>원천데이터!G2280</f>
        <v>0.48257351490033551</v>
      </c>
      <c r="M161" s="20">
        <f>원천데이터!G2546</f>
        <v>0.47812712896632881</v>
      </c>
      <c r="N161" s="20">
        <f>원천데이터!G2812</f>
        <v>0.47786042486555541</v>
      </c>
      <c r="O161" s="20">
        <f>원천데이터!G3078</f>
        <v>0.47623336335434802</v>
      </c>
      <c r="P161" s="20">
        <f>원천데이터!G3345</f>
        <v>0.4826683443601088</v>
      </c>
      <c r="Q161" s="20">
        <f>원천데이터!G3613</f>
        <v>0.48637316561844862</v>
      </c>
      <c r="R161" s="20">
        <f t="shared" si="4"/>
        <v>0.47088153350148643</v>
      </c>
      <c r="S161" s="27">
        <f t="shared" si="5"/>
        <v>14</v>
      </c>
    </row>
    <row r="162" spans="1:19">
      <c r="A162" s="15" t="s">
        <v>294</v>
      </c>
      <c r="B162" s="15" t="s">
        <v>301</v>
      </c>
      <c r="C162" s="15" t="s">
        <v>302</v>
      </c>
      <c r="D162" s="20">
        <f>원천데이터!G152</f>
        <v>0.43520411711523749</v>
      </c>
      <c r="E162" s="20">
        <f>원천데이터!G416</f>
        <v>0.43462439696760857</v>
      </c>
      <c r="F162" s="20">
        <f>원천데이터!G682</f>
        <v>0.43851246266705202</v>
      </c>
      <c r="G162" s="20">
        <f>원천데이터!G949</f>
        <v>0.44316499870999282</v>
      </c>
      <c r="H162" s="20">
        <f>원천데이터!G1217</f>
        <v>0.45006258159159118</v>
      </c>
      <c r="I162" s="20">
        <f>원천데이터!G1483</f>
        <v>0.45845877992319323</v>
      </c>
      <c r="J162" s="20">
        <f>원천데이터!G1749</f>
        <v>0.46175705745154283</v>
      </c>
      <c r="K162" s="20">
        <f>원천데이터!G2015</f>
        <v>0.46464524442296851</v>
      </c>
      <c r="L162" s="20">
        <f>원천데이터!G2281</f>
        <v>0.46908514787130323</v>
      </c>
      <c r="M162" s="20">
        <f>원천데이터!G2547</f>
        <v>0.45286417851902433</v>
      </c>
      <c r="N162" s="20">
        <f>원천데이터!G2813</f>
        <v>0.45296546050215231</v>
      </c>
      <c r="O162" s="20">
        <f>원천데이터!G3079</f>
        <v>0.45273681651100589</v>
      </c>
      <c r="P162" s="20">
        <f>원천데이터!G3346</f>
        <v>0.45713869251512279</v>
      </c>
      <c r="Q162" s="20">
        <f>원천데이터!G3614</f>
        <v>0.46028455946582175</v>
      </c>
      <c r="R162" s="20">
        <f t="shared" si="4"/>
        <v>0.452250321016687</v>
      </c>
      <c r="S162" s="27">
        <f t="shared" si="5"/>
        <v>14</v>
      </c>
    </row>
    <row r="163" spans="1:19">
      <c r="A163" s="15" t="s">
        <v>294</v>
      </c>
      <c r="B163" s="15" t="s">
        <v>303</v>
      </c>
      <c r="C163" s="15" t="s">
        <v>304</v>
      </c>
      <c r="D163" s="20">
        <f>원천데이터!G153</f>
        <v>0.42200738084100003</v>
      </c>
      <c r="E163" s="20">
        <f>원천데이터!G417</f>
        <v>0.4300880406143564</v>
      </c>
      <c r="F163" s="20">
        <f>원천데이터!G683</f>
        <v>0.43533657577482276</v>
      </c>
      <c r="G163" s="20">
        <f>원천데이터!G950</f>
        <v>0.44300231541034218</v>
      </c>
      <c r="H163" s="20">
        <f>원천데이터!G1218</f>
        <v>0.44320290751623881</v>
      </c>
      <c r="I163" s="20">
        <f>원천데이터!G1484</f>
        <v>0.45012410106281425</v>
      </c>
      <c r="J163" s="20">
        <f>원천데이터!G1750</f>
        <v>0.4566202489753316</v>
      </c>
      <c r="K163" s="20">
        <f>원천데이터!G2016</f>
        <v>0.45923764825267965</v>
      </c>
      <c r="L163" s="20">
        <f>원천데이터!G2282</f>
        <v>0.46402429726020433</v>
      </c>
      <c r="M163" s="20">
        <f>원천데이터!G2548</f>
        <v>0.4567966840259326</v>
      </c>
      <c r="N163" s="20">
        <f>원천데이터!G2814</f>
        <v>0.46086454726681353</v>
      </c>
      <c r="O163" s="20">
        <f>원천데이터!G3080</f>
        <v>0.45803354260318108</v>
      </c>
      <c r="P163" s="20">
        <f>원천데이터!G3347</f>
        <v>0.46314550346683225</v>
      </c>
      <c r="Q163" s="20">
        <f>원천데이터!G3615</f>
        <v>0.46236107648502184</v>
      </c>
      <c r="R163" s="20">
        <f t="shared" si="4"/>
        <v>0.45034606211111222</v>
      </c>
      <c r="S163" s="27">
        <f t="shared" si="5"/>
        <v>14</v>
      </c>
    </row>
    <row r="164" spans="1:19">
      <c r="A164" s="15" t="s">
        <v>294</v>
      </c>
      <c r="B164" s="15" t="s">
        <v>305</v>
      </c>
      <c r="C164" s="15" t="s">
        <v>306</v>
      </c>
      <c r="D164" s="20">
        <f>원천데이터!G154</f>
        <v>0.45613333139340329</v>
      </c>
      <c r="E164" s="20">
        <f>원천데이터!G418</f>
        <v>0.44949316911389126</v>
      </c>
      <c r="F164" s="20">
        <f>원천데이터!G684</f>
        <v>0.45893513195165042</v>
      </c>
      <c r="G164" s="20">
        <f>원천데이터!G951</f>
        <v>0.46346415917143635</v>
      </c>
      <c r="H164" s="20">
        <f>원천데이터!G1219</f>
        <v>0.46661111851753101</v>
      </c>
      <c r="I164" s="20">
        <f>원천데이터!G1485</f>
        <v>0.46951211673201776</v>
      </c>
      <c r="J164" s="20">
        <f>원천데이터!G1751</f>
        <v>0.4734064305065685</v>
      </c>
      <c r="K164" s="20">
        <f>원천데이터!G2017</f>
        <v>0.47491636652610264</v>
      </c>
      <c r="L164" s="20">
        <f>원천데이터!G2283</f>
        <v>0.47788901327362865</v>
      </c>
      <c r="M164" s="20">
        <f>원천데이터!G2549</f>
        <v>0.47308334124733753</v>
      </c>
      <c r="N164" s="20">
        <f>원천데이터!G2815</f>
        <v>0.47436455286076729</v>
      </c>
      <c r="O164" s="20">
        <f>원천데이터!G3081</f>
        <v>0.46943913380908214</v>
      </c>
      <c r="P164" s="20">
        <f>원천데이터!G3348</f>
        <v>0.47624012256600318</v>
      </c>
      <c r="Q164" s="20">
        <f>원천데이터!G3616</f>
        <v>0.47890877653613395</v>
      </c>
      <c r="R164" s="20">
        <f t="shared" si="4"/>
        <v>0.46874262601468247</v>
      </c>
      <c r="S164" s="27">
        <f t="shared" si="5"/>
        <v>14</v>
      </c>
    </row>
    <row r="165" spans="1:19">
      <c r="A165" s="15" t="s">
        <v>294</v>
      </c>
      <c r="B165" s="15" t="s">
        <v>307</v>
      </c>
      <c r="C165" s="15" t="s">
        <v>308</v>
      </c>
      <c r="D165" s="20">
        <f>원천데이터!G155</f>
        <v>0.31191530407093632</v>
      </c>
      <c r="E165" s="20">
        <f>원천데이터!G419</f>
        <v>0.31219106092928872</v>
      </c>
      <c r="F165" s="20">
        <f>원천데이터!G685</f>
        <v>0.31502010901506161</v>
      </c>
      <c r="G165" s="20">
        <f>원천데이터!G952</f>
        <v>0.31634186347942783</v>
      </c>
      <c r="H165" s="20">
        <f>원천데이터!G1220</f>
        <v>0.32048602561826833</v>
      </c>
      <c r="I165" s="20">
        <f>원천데이터!G1486</f>
        <v>0.32809237263398972</v>
      </c>
      <c r="J165" s="20">
        <f>원천데이터!G1752</f>
        <v>0.33249124772440836</v>
      </c>
      <c r="K165" s="20">
        <f>원천데이터!G2018</f>
        <v>0.33736012915437286</v>
      </c>
      <c r="L165" s="20">
        <f>원천데이터!G2284</f>
        <v>0.33990411119092562</v>
      </c>
      <c r="M165" s="20">
        <f>원천데이터!G2550</f>
        <v>0.31948798790820154</v>
      </c>
      <c r="N165" s="20">
        <f>원천데이터!G2816</f>
        <v>0.32785756443045444</v>
      </c>
      <c r="O165" s="20">
        <f>원천데이터!G3082</f>
        <v>0.33847833037496006</v>
      </c>
      <c r="P165" s="20">
        <f>원천데이터!G3349</f>
        <v>0.34674472886138968</v>
      </c>
      <c r="Q165" s="20">
        <f>원천데이터!G3617</f>
        <v>0.34544213388696449</v>
      </c>
      <c r="R165" s="20">
        <f t="shared" si="4"/>
        <v>0.32798664066276068</v>
      </c>
      <c r="S165" s="27">
        <f t="shared" si="5"/>
        <v>14</v>
      </c>
    </row>
    <row r="166" spans="1:19">
      <c r="A166" s="15" t="s">
        <v>294</v>
      </c>
      <c r="B166" s="15" t="s">
        <v>309</v>
      </c>
      <c r="C166" s="15" t="s">
        <v>310</v>
      </c>
      <c r="D166" s="20">
        <f>원천데이터!G156</f>
        <v>0.46716984162033043</v>
      </c>
      <c r="E166" s="20">
        <f>원천데이터!G420</f>
        <v>0.46839288864496148</v>
      </c>
      <c r="F166" s="20">
        <f>원천데이터!G686</f>
        <v>0.46721136491548121</v>
      </c>
      <c r="G166" s="20">
        <f>원천데이터!G953</f>
        <v>0.47016044811544672</v>
      </c>
      <c r="H166" s="20">
        <f>원천데이터!G1221</f>
        <v>0.47371263953907095</v>
      </c>
      <c r="I166" s="20">
        <f>원천데이터!G1487</f>
        <v>0.47570804393614985</v>
      </c>
      <c r="J166" s="20">
        <f>원천데이터!G1753</f>
        <v>0.47802291192167795</v>
      </c>
      <c r="K166" s="20">
        <f>원천데이터!G2019</f>
        <v>0.47563912085660126</v>
      </c>
      <c r="L166" s="20">
        <f>원천데이터!G2285</f>
        <v>0.47481731885542577</v>
      </c>
      <c r="M166" s="20">
        <f>원천데이터!G2551</f>
        <v>0.46746643505953028</v>
      </c>
      <c r="N166" s="20">
        <f>원천데이터!G2817</f>
        <v>0.46461168791579249</v>
      </c>
      <c r="O166" s="20">
        <f>원천데이터!G3083</f>
        <v>0.46979113433672376</v>
      </c>
      <c r="P166" s="20">
        <f>원천데이터!G3350</f>
        <v>0.47263103751514046</v>
      </c>
      <c r="Q166" s="20">
        <f>원천데이터!G3618</f>
        <v>0.47302076872789445</v>
      </c>
      <c r="R166" s="20">
        <f t="shared" si="4"/>
        <v>0.47131111728287334</v>
      </c>
      <c r="S166" s="27">
        <f t="shared" si="5"/>
        <v>14</v>
      </c>
    </row>
    <row r="167" spans="1:19">
      <c r="A167" s="15" t="s">
        <v>294</v>
      </c>
      <c r="B167" s="15" t="s">
        <v>311</v>
      </c>
      <c r="C167" s="15" t="s">
        <v>312</v>
      </c>
      <c r="D167" s="20">
        <f>원천데이터!G157</f>
        <v>0.4307656760592824</v>
      </c>
      <c r="E167" s="20">
        <f>원천데이터!G421</f>
        <v>0.43086723145573302</v>
      </c>
      <c r="F167" s="20">
        <f>원천데이터!G687</f>
        <v>0.42788733295649672</v>
      </c>
      <c r="G167" s="20">
        <f>원천데이터!G954</f>
        <v>0.43885386937149662</v>
      </c>
      <c r="H167" s="20">
        <f>원천데이터!G1222</f>
        <v>0.44262814169800119</v>
      </c>
      <c r="I167" s="20">
        <f>원천데이터!G1488</f>
        <v>0.44898676572579493</v>
      </c>
      <c r="J167" s="20">
        <f>원천데이터!G1754</f>
        <v>0.46212896622313204</v>
      </c>
      <c r="K167" s="20">
        <f>원천데이터!G2020</f>
        <v>0.46529955438191123</v>
      </c>
      <c r="L167" s="20">
        <f>원천데이터!G2286</f>
        <v>0.46497631039278392</v>
      </c>
      <c r="M167" s="20">
        <f>원천데이터!G2552</f>
        <v>0.45714668157445099</v>
      </c>
      <c r="N167" s="20">
        <f>원천데이터!G2818</f>
        <v>0.45637154072768094</v>
      </c>
      <c r="O167" s="20">
        <f>원천데이터!G3084</f>
        <v>0.45943263006305662</v>
      </c>
      <c r="P167" s="20">
        <f>원천데이터!G3351</f>
        <v>0.46402210795116661</v>
      </c>
      <c r="Q167" s="20">
        <f>원천데이터!G3619</f>
        <v>0.46383966451848163</v>
      </c>
      <c r="R167" s="20">
        <f t="shared" si="4"/>
        <v>0.45094331950710487</v>
      </c>
      <c r="S167" s="27">
        <f t="shared" si="5"/>
        <v>14</v>
      </c>
    </row>
    <row r="168" spans="1:19">
      <c r="A168" s="15" t="s">
        <v>294</v>
      </c>
      <c r="B168" s="15" t="s">
        <v>313</v>
      </c>
      <c r="C168" s="15" t="s">
        <v>314</v>
      </c>
      <c r="D168" s="20">
        <f>원천데이터!G158</f>
        <v>0.57969857676281189</v>
      </c>
      <c r="E168" s="20">
        <f>원천데이터!G422</f>
        <v>0.56306079060214043</v>
      </c>
      <c r="F168" s="20">
        <f>원천데이터!G688</f>
        <v>0.5559290149735433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>
        <f t="shared" si="4"/>
        <v>0.56622946077949854</v>
      </c>
      <c r="S168" s="27">
        <f t="shared" si="5"/>
        <v>3</v>
      </c>
    </row>
    <row r="169" spans="1:19">
      <c r="A169" s="15" t="s">
        <v>294</v>
      </c>
      <c r="B169" s="15" t="s">
        <v>315</v>
      </c>
      <c r="C169" s="15" t="s">
        <v>316</v>
      </c>
      <c r="D169" s="20">
        <f>원천데이터!G159</f>
        <v>0.40210480349344979</v>
      </c>
      <c r="E169" s="20">
        <f>원천데이터!G423</f>
        <v>0.3946748996167318</v>
      </c>
      <c r="F169" s="20">
        <f>원천데이터!G689</f>
        <v>0.40366899324807282</v>
      </c>
      <c r="G169" s="20">
        <f>원천데이터!G955</f>
        <v>0.43475300048910792</v>
      </c>
      <c r="H169" s="20">
        <f>원천데이터!G1223</f>
        <v>0.43642578724449083</v>
      </c>
      <c r="I169" s="20">
        <f>원천데이터!G1489</f>
        <v>0.43848047999445094</v>
      </c>
      <c r="J169" s="20">
        <f>원천데이터!G1755</f>
        <v>0.44326239758432917</v>
      </c>
      <c r="K169" s="20">
        <f>원천데이터!G2021</f>
        <v>0.45139841964930127</v>
      </c>
      <c r="L169" s="20">
        <f>원천데이터!G2287</f>
        <v>0.45717045117815558</v>
      </c>
      <c r="M169" s="20">
        <f>원천데이터!G2553</f>
        <v>0.45955909960487029</v>
      </c>
      <c r="N169" s="20">
        <f>원천데이터!G2819</f>
        <v>0.45444760697457487</v>
      </c>
      <c r="O169" s="20">
        <f>원천데이터!G3085</f>
        <v>0.45418433709810963</v>
      </c>
      <c r="P169" s="20">
        <f>원천데이터!G3352</f>
        <v>0.4522373201774908</v>
      </c>
      <c r="Q169" s="20">
        <f>원천데이터!G3620</f>
        <v>0.44767719807104284</v>
      </c>
      <c r="R169" s="20">
        <f t="shared" si="4"/>
        <v>0.43786034245886996</v>
      </c>
      <c r="S169" s="27">
        <f t="shared" si="5"/>
        <v>14</v>
      </c>
    </row>
    <row r="170" spans="1:19">
      <c r="A170" s="15" t="s">
        <v>294</v>
      </c>
      <c r="B170" s="15" t="s">
        <v>317</v>
      </c>
      <c r="C170" s="15" t="s">
        <v>318</v>
      </c>
      <c r="D170" s="20"/>
      <c r="E170" s="20"/>
      <c r="F170" s="20"/>
      <c r="G170" s="20">
        <f>원천데이터!G956</f>
        <v>0.48671917037616791</v>
      </c>
      <c r="H170" s="20">
        <f>원천데이터!G1224</f>
        <v>0.48888114593145315</v>
      </c>
      <c r="I170" s="20">
        <f>원천데이터!G1490</f>
        <v>0.48946304637554094</v>
      </c>
      <c r="J170" s="20">
        <f>원천데이터!G1756</f>
        <v>0.49016110657166034</v>
      </c>
      <c r="K170" s="20">
        <f>원천데이터!G2022</f>
        <v>0.49194140959080668</v>
      </c>
      <c r="L170" s="20">
        <f>원천데이터!G2288</f>
        <v>0.49245153834953109</v>
      </c>
      <c r="M170" s="20">
        <f>원천데이터!G2554</f>
        <v>0.49564498996813405</v>
      </c>
      <c r="N170" s="20">
        <f>원천데이터!G2820</f>
        <v>0.49968528848555493</v>
      </c>
      <c r="O170" s="20">
        <f>원천데이터!G3086</f>
        <v>0.49249725013749313</v>
      </c>
      <c r="P170" s="20">
        <f>원천데이터!G3353</f>
        <v>0.49400520946809445</v>
      </c>
      <c r="Q170" s="20">
        <f>원천데이터!G3621</f>
        <v>0.49368489322154024</v>
      </c>
      <c r="R170" s="20">
        <f t="shared" si="4"/>
        <v>0.49228500440690703</v>
      </c>
      <c r="S170" s="27">
        <f t="shared" si="5"/>
        <v>11</v>
      </c>
    </row>
    <row r="171" spans="1:19">
      <c r="A171" s="15" t="s">
        <v>294</v>
      </c>
      <c r="B171" s="15" t="s">
        <v>319</v>
      </c>
      <c r="C171" s="15" t="s">
        <v>320</v>
      </c>
      <c r="D171" s="20"/>
      <c r="E171" s="20"/>
      <c r="F171" s="20"/>
      <c r="G171" s="20">
        <f>원천데이터!G957</f>
        <v>0.50778168974894544</v>
      </c>
      <c r="H171" s="20">
        <f>원천데이터!G1225</f>
        <v>0.44489539439639242</v>
      </c>
      <c r="I171" s="20">
        <f>원천데이터!G1491</f>
        <v>0.44210354458169487</v>
      </c>
      <c r="J171" s="20">
        <f>원천데이터!G1757</f>
        <v>0.4364466748254856</v>
      </c>
      <c r="K171" s="20">
        <f>원천데이터!G2023</f>
        <v>0.43870965592379479</v>
      </c>
      <c r="L171" s="20">
        <f>원천데이터!G2289</f>
        <v>0.43541942286124896</v>
      </c>
      <c r="M171" s="20">
        <f>원천데이터!G2555</f>
        <v>0.42914382191892342</v>
      </c>
      <c r="N171" s="20">
        <f>원천데이터!G2821</f>
        <v>0.43474557861598351</v>
      </c>
      <c r="O171" s="20">
        <f>원천데이터!G3087</f>
        <v>0.43970828414805713</v>
      </c>
      <c r="P171" s="20">
        <f>원천데이터!G3354</f>
        <v>0.43887643368966678</v>
      </c>
      <c r="Q171" s="20">
        <f>원천데이터!G3622</f>
        <v>0.43910052623746976</v>
      </c>
      <c r="R171" s="20">
        <f t="shared" si="4"/>
        <v>0.44426645699524203</v>
      </c>
      <c r="S171" s="27">
        <f t="shared" si="5"/>
        <v>11</v>
      </c>
    </row>
    <row r="172" spans="1:19">
      <c r="A172" s="15" t="s">
        <v>294</v>
      </c>
      <c r="B172" s="15" t="s">
        <v>321</v>
      </c>
      <c r="C172" s="15" t="s">
        <v>322</v>
      </c>
      <c r="D172" s="20">
        <f>원천데이터!G160</f>
        <v>0.38873332968206586</v>
      </c>
      <c r="E172" s="20">
        <f>원천데이터!G424</f>
        <v>0.38577072704510884</v>
      </c>
      <c r="F172" s="20">
        <f>원천데이터!G690</f>
        <v>0.37832801617994261</v>
      </c>
      <c r="G172" s="20">
        <f>원천데이터!G958</f>
        <v>0.4593760758106521</v>
      </c>
      <c r="H172" s="20">
        <f>원천데이터!G1226</f>
        <v>0.45548358967893765</v>
      </c>
      <c r="I172" s="20">
        <f>원천데이터!G1492</f>
        <v>0.45696869297371451</v>
      </c>
      <c r="J172" s="20">
        <f>원천데이터!G1758</f>
        <v>0.45593603651515702</v>
      </c>
      <c r="K172" s="20">
        <f>원천데이터!G2024</f>
        <v>0.45537849524654161</v>
      </c>
      <c r="L172" s="20">
        <f>원천데이터!G2290</f>
        <v>0.45673277881245472</v>
      </c>
      <c r="M172" s="20">
        <f>원천데이터!G2556</f>
        <v>0.4480035707453931</v>
      </c>
      <c r="N172" s="20">
        <f>원천데이터!G2822</f>
        <v>0.44933076972631181</v>
      </c>
      <c r="O172" s="20">
        <f>원천데이터!G3088</f>
        <v>0.44871196974664196</v>
      </c>
      <c r="P172" s="20">
        <f>원천데이터!G3355</f>
        <v>0.45365486058779203</v>
      </c>
      <c r="Q172" s="20">
        <f>원천데이터!G3623</f>
        <v>0.45750440169833106</v>
      </c>
      <c r="R172" s="20">
        <f t="shared" si="4"/>
        <v>0.43927952246064617</v>
      </c>
      <c r="S172" s="27">
        <f t="shared" si="5"/>
        <v>14</v>
      </c>
    </row>
    <row r="173" spans="1:19">
      <c r="A173" s="15" t="s">
        <v>294</v>
      </c>
      <c r="B173" s="15" t="s">
        <v>323</v>
      </c>
      <c r="C173" s="15" t="s">
        <v>324</v>
      </c>
      <c r="D173" s="20">
        <f>원천데이터!G161</f>
        <v>0.27730333125429801</v>
      </c>
      <c r="E173" s="20">
        <f>원천데이터!G425</f>
        <v>0.28149667893171315</v>
      </c>
      <c r="F173" s="20">
        <f>원천데이터!G691</f>
        <v>0.2810145237585871</v>
      </c>
      <c r="G173" s="20">
        <f>원천데이터!G959</f>
        <v>0.28426231301874111</v>
      </c>
      <c r="H173" s="20">
        <f>원천데이터!G1227</f>
        <v>0.2864006489252176</v>
      </c>
      <c r="I173" s="20">
        <f>원천데이터!G1493</f>
        <v>0.29427114130828713</v>
      </c>
      <c r="J173" s="20">
        <f>원천데이터!G1759</f>
        <v>0.29644083080117301</v>
      </c>
      <c r="K173" s="20">
        <f>원천데이터!G2025</f>
        <v>0.30475467694280095</v>
      </c>
      <c r="L173" s="20">
        <f>원천데이터!G2291</f>
        <v>0.30589237966691907</v>
      </c>
      <c r="M173" s="20">
        <f>원천데이터!G2557</f>
        <v>0.28279550831978173</v>
      </c>
      <c r="N173" s="20">
        <f>원천데이터!G2823</f>
        <v>0.28428327703150003</v>
      </c>
      <c r="O173" s="20">
        <f>원천데이터!G3089</f>
        <v>0.29959293948126803</v>
      </c>
      <c r="P173" s="20">
        <f>원천데이터!G3356</f>
        <v>0.30519513267004317</v>
      </c>
      <c r="Q173" s="20">
        <f>원천데이터!G3624</f>
        <v>0.30463018947644477</v>
      </c>
      <c r="R173" s="20">
        <f t="shared" si="4"/>
        <v>0.29202382654191256</v>
      </c>
      <c r="S173" s="27">
        <f t="shared" si="5"/>
        <v>14</v>
      </c>
    </row>
    <row r="174" spans="1:19">
      <c r="A174" s="15" t="s">
        <v>325</v>
      </c>
      <c r="B174" s="15" t="s">
        <v>22</v>
      </c>
      <c r="C174" s="15" t="s">
        <v>325</v>
      </c>
      <c r="D174" s="20">
        <f>원천데이터!G162</f>
        <v>0.30652068164394652</v>
      </c>
      <c r="E174" s="20">
        <f>원천데이터!G426</f>
        <v>0.28813337363150254</v>
      </c>
      <c r="F174" s="20">
        <f>원천데이터!G692</f>
        <v>0.28966221401656927</v>
      </c>
      <c r="G174" s="20">
        <f>원천데이터!G960</f>
        <v>0.29337564975513569</v>
      </c>
      <c r="H174" s="20">
        <f>원천데이터!G1228</f>
        <v>0.2944706348991234</v>
      </c>
      <c r="I174" s="20">
        <f>원천데이터!G1494</f>
        <v>0.30057355627590687</v>
      </c>
      <c r="J174" s="20">
        <f>원천데이터!G1760</f>
        <v>0.30043606746432178</v>
      </c>
      <c r="K174" s="20">
        <f>원천데이터!G2026</f>
        <v>0.3009542264935956</v>
      </c>
      <c r="L174" s="20">
        <f>원천데이터!G2292</f>
        <v>0.30093728859889601</v>
      </c>
      <c r="M174" s="20">
        <f>원천데이터!G2558</f>
        <v>0.2844233716511298</v>
      </c>
      <c r="N174" s="20">
        <f>원천데이터!G2824</f>
        <v>0.29006906467906268</v>
      </c>
      <c r="O174" s="20">
        <f>원천데이터!G3090</f>
        <v>0.30056752083115923</v>
      </c>
      <c r="P174" s="20">
        <f>원천데이터!G3357</f>
        <v>0.30258242514180811</v>
      </c>
      <c r="Q174" s="20">
        <f>원천데이터!G3625</f>
        <v>0.30033094096225182</v>
      </c>
      <c r="R174" s="20">
        <f t="shared" si="4"/>
        <v>0.29664550114602922</v>
      </c>
      <c r="S174" s="27">
        <f t="shared" si="5"/>
        <v>14</v>
      </c>
    </row>
    <row r="175" spans="1:19">
      <c r="A175" s="15" t="s">
        <v>325</v>
      </c>
      <c r="B175" s="15" t="s">
        <v>326</v>
      </c>
      <c r="C175" s="15" t="s">
        <v>327</v>
      </c>
      <c r="D175" s="20">
        <f>원천데이터!G163</f>
        <v>0.49373687076947015</v>
      </c>
      <c r="E175" s="20">
        <f>원천데이터!G427</f>
        <v>0.491197579736732</v>
      </c>
      <c r="F175" s="20">
        <f>원천데이터!G693</f>
        <v>0.48926018180053699</v>
      </c>
      <c r="G175" s="20">
        <f>원천데이터!G961</f>
        <v>0.49388005885491615</v>
      </c>
      <c r="H175" s="20">
        <f>원천데이터!G1229</f>
        <v>0.50662688442211057</v>
      </c>
      <c r="I175" s="20">
        <f>원천데이터!G1495</f>
        <v>0.49926243797773906</v>
      </c>
      <c r="J175" s="20">
        <f>원천데이터!G1761</f>
        <v>0.50039737013221586</v>
      </c>
      <c r="K175" s="20">
        <f>원천데이터!G2027</f>
        <v>0.49388127061274084</v>
      </c>
      <c r="L175" s="20">
        <f>원천데이터!G2293</f>
        <v>0.49949730912531787</v>
      </c>
      <c r="M175" s="20">
        <f>원천데이터!G2559</f>
        <v>0.49695455255349053</v>
      </c>
      <c r="N175" s="20">
        <f>원천데이터!G2825</f>
        <v>0.50120690440406246</v>
      </c>
      <c r="O175" s="20">
        <f>원천데이터!G3091</f>
        <v>0.499241776723924</v>
      </c>
      <c r="P175" s="20">
        <f>원천데이터!G3358</f>
        <v>0.50751379614629843</v>
      </c>
      <c r="Q175" s="20">
        <f>원천데이터!G3626</f>
        <v>0.49920301790553107</v>
      </c>
      <c r="R175" s="20">
        <f t="shared" si="4"/>
        <v>0.49799000079750616</v>
      </c>
      <c r="S175" s="27">
        <f t="shared" si="5"/>
        <v>14</v>
      </c>
    </row>
    <row r="176" spans="1:19">
      <c r="A176" s="15" t="s">
        <v>325</v>
      </c>
      <c r="B176" s="15" t="s">
        <v>328</v>
      </c>
      <c r="C176" s="15" t="s">
        <v>329</v>
      </c>
      <c r="D176" s="20">
        <f>원천데이터!G164</f>
        <v>0.39007813722775375</v>
      </c>
      <c r="E176" s="20">
        <f>원천데이터!G428</f>
        <v>0.38473097739573386</v>
      </c>
      <c r="F176" s="20">
        <f>원천데이터!G694</f>
        <v>0.38966953977290797</v>
      </c>
      <c r="G176" s="20">
        <f>원천데이터!G962</f>
        <v>0.39693802784312215</v>
      </c>
      <c r="H176" s="20">
        <f>원천데이터!G1230</f>
        <v>0.4072549223336277</v>
      </c>
      <c r="I176" s="20">
        <f>원천데이터!G1496</f>
        <v>0.4148829894880669</v>
      </c>
      <c r="J176" s="20">
        <f>원천데이터!G1762</f>
        <v>0.41963337907464465</v>
      </c>
      <c r="K176" s="20">
        <f>원천데이터!G2028</f>
        <v>0.42661255571348639</v>
      </c>
      <c r="L176" s="20">
        <f>원천데이터!G2294</f>
        <v>0.42855296239085333</v>
      </c>
      <c r="M176" s="20">
        <f>원천데이터!G2560</f>
        <v>0.42261860202394158</v>
      </c>
      <c r="N176" s="20">
        <f>원천데이터!G2826</f>
        <v>0.43034527974951997</v>
      </c>
      <c r="O176" s="20">
        <f>원천데이터!G3092</f>
        <v>0.4371148897587015</v>
      </c>
      <c r="P176" s="20">
        <f>원천데이터!G3359</f>
        <v>0.44382793657309999</v>
      </c>
      <c r="Q176" s="20">
        <f>원천데이터!G3627</f>
        <v>0.4446012014667256</v>
      </c>
      <c r="R176" s="20">
        <f t="shared" si="4"/>
        <v>0.41691867148658474</v>
      </c>
      <c r="S176" s="27">
        <f t="shared" si="5"/>
        <v>14</v>
      </c>
    </row>
    <row r="177" spans="1:19">
      <c r="A177" s="15" t="s">
        <v>325</v>
      </c>
      <c r="B177" s="15" t="s">
        <v>330</v>
      </c>
      <c r="C177" s="15" t="s">
        <v>331</v>
      </c>
      <c r="D177" s="20">
        <f>원천데이터!G165</f>
        <v>0.45034630707937479</v>
      </c>
      <c r="E177" s="20">
        <f>원천데이터!G429</f>
        <v>0.45601160508575816</v>
      </c>
      <c r="F177" s="20">
        <f>원천데이터!G695</f>
        <v>0.46014997191079848</v>
      </c>
      <c r="G177" s="20">
        <f>원천데이터!G963</f>
        <v>0.46610733786123321</v>
      </c>
      <c r="H177" s="20">
        <f>원천데이터!G1231</f>
        <v>0.46680392394332082</v>
      </c>
      <c r="I177" s="20">
        <f>원천데이터!G1497</f>
        <v>0.47307456367201128</v>
      </c>
      <c r="J177" s="20">
        <f>원천데이터!G1763</f>
        <v>0.47789998427045144</v>
      </c>
      <c r="K177" s="20">
        <f>원천데이터!G2029</f>
        <v>0.48777012870398084</v>
      </c>
      <c r="L177" s="20">
        <f>원천데이터!G2295</f>
        <v>0.48151110564203531</v>
      </c>
      <c r="M177" s="20">
        <f>원천데이터!G2561</f>
        <v>0.47081701973189516</v>
      </c>
      <c r="N177" s="20">
        <f>원천데이터!G2827</f>
        <v>0.47735468884354265</v>
      </c>
      <c r="O177" s="20">
        <f>원천데이터!G3093</f>
        <v>0.48069227936663805</v>
      </c>
      <c r="P177" s="20">
        <f>원천데이터!G3360</f>
        <v>0.47894495583334368</v>
      </c>
      <c r="Q177" s="20">
        <f>원천데이터!G3628</f>
        <v>0.47966182603889251</v>
      </c>
      <c r="R177" s="20">
        <f t="shared" si="4"/>
        <v>0.47193897842737681</v>
      </c>
      <c r="S177" s="27">
        <f t="shared" si="5"/>
        <v>14</v>
      </c>
    </row>
    <row r="178" spans="1:19">
      <c r="A178" s="15" t="s">
        <v>325</v>
      </c>
      <c r="B178" s="15" t="s">
        <v>332</v>
      </c>
      <c r="C178" s="15" t="s">
        <v>333</v>
      </c>
      <c r="D178" s="20">
        <f>원천데이터!G166</f>
        <v>0.39266848087081802</v>
      </c>
      <c r="E178" s="20">
        <f>원천데이터!G430</f>
        <v>0.38784337050233003</v>
      </c>
      <c r="F178" s="20">
        <f>원천데이터!G696</f>
        <v>0.38973513763590101</v>
      </c>
      <c r="G178" s="20">
        <f>원천데이터!G964</f>
        <v>0.39913363854620881</v>
      </c>
      <c r="H178" s="20">
        <f>원천데이터!G1232</f>
        <v>0.39254599379025906</v>
      </c>
      <c r="I178" s="20">
        <f>원천데이터!G1498</f>
        <v>0.40039714879305793</v>
      </c>
      <c r="J178" s="20">
        <f>원천데이터!G1764</f>
        <v>0.40071192473938472</v>
      </c>
      <c r="K178" s="20">
        <f>원천데이터!G2030</f>
        <v>0.40192382534546955</v>
      </c>
      <c r="L178" s="20">
        <f>원천데이터!G2296</f>
        <v>0.40563720485189358</v>
      </c>
      <c r="M178" s="20">
        <f>원천데이터!G2562</f>
        <v>0.39477226902529805</v>
      </c>
      <c r="N178" s="20">
        <f>원천데이터!G2828</f>
        <v>0.39386329026870365</v>
      </c>
      <c r="O178" s="20">
        <f>원천데이터!G3094</f>
        <v>0.40033461226951067</v>
      </c>
      <c r="P178" s="20">
        <f>원천데이터!G3361</f>
        <v>0.40536617259808888</v>
      </c>
      <c r="Q178" s="20">
        <f>원천데이터!G3629</f>
        <v>0.4022750330494666</v>
      </c>
      <c r="R178" s="20">
        <f t="shared" si="4"/>
        <v>0.39765772159188506</v>
      </c>
      <c r="S178" s="27">
        <f t="shared" si="5"/>
        <v>14</v>
      </c>
    </row>
    <row r="179" spans="1:19">
      <c r="A179" s="15" t="s">
        <v>325</v>
      </c>
      <c r="B179" s="15" t="s">
        <v>334</v>
      </c>
      <c r="C179" s="15" t="s">
        <v>335</v>
      </c>
      <c r="D179" s="20">
        <f>원천데이터!G167</f>
        <v>0.3855195225849512</v>
      </c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>
        <f t="shared" si="4"/>
        <v>0.3855195225849512</v>
      </c>
      <c r="S179" s="27">
        <f t="shared" si="5"/>
        <v>1</v>
      </c>
    </row>
    <row r="180" spans="1:19">
      <c r="A180" s="15" t="s">
        <v>325</v>
      </c>
      <c r="B180" s="15" t="s">
        <v>336</v>
      </c>
      <c r="C180" s="15" t="s">
        <v>337</v>
      </c>
      <c r="D180" s="20"/>
      <c r="E180" s="20">
        <f>원천데이터!G431</f>
        <v>0.37572040995940154</v>
      </c>
      <c r="F180" s="20">
        <f>원천데이터!G697</f>
        <v>0.37670984918958306</v>
      </c>
      <c r="G180" s="20">
        <f>원천데이터!G965</f>
        <v>0.37328411581497289</v>
      </c>
      <c r="H180" s="20">
        <f>원천데이터!G1233</f>
        <v>0.37055386956559766</v>
      </c>
      <c r="I180" s="20">
        <f>원천데이터!G1499</f>
        <v>0.37462685290520137</v>
      </c>
      <c r="J180" s="20">
        <f>원천데이터!G1765</f>
        <v>0.37341036045978571</v>
      </c>
      <c r="K180" s="20">
        <f>원천데이터!G2031</f>
        <v>0.37738448627863574</v>
      </c>
      <c r="L180" s="20">
        <f>원천데이터!G2297</f>
        <v>0.37417117294473928</v>
      </c>
      <c r="M180" s="20">
        <f>원천데이터!G2563</f>
        <v>0.3529396110088488</v>
      </c>
      <c r="N180" s="20">
        <f>원천데이터!G2829</f>
        <v>0.36473360488623535</v>
      </c>
      <c r="O180" s="20">
        <f>원천데이터!G3095</f>
        <v>0.37203873246584518</v>
      </c>
      <c r="P180" s="20">
        <f>원천데이터!G3362</f>
        <v>0.37816259889982673</v>
      </c>
      <c r="Q180" s="20">
        <f>원천데이터!G3630</f>
        <v>0.37634148085187508</v>
      </c>
      <c r="R180" s="20">
        <f t="shared" si="4"/>
        <v>0.3723136265561961</v>
      </c>
      <c r="S180" s="27">
        <f t="shared" si="5"/>
        <v>13</v>
      </c>
    </row>
    <row r="181" spans="1:19">
      <c r="A181" s="15" t="s">
        <v>325</v>
      </c>
      <c r="B181" s="15" t="s">
        <v>338</v>
      </c>
      <c r="C181" s="15" t="s">
        <v>339</v>
      </c>
      <c r="D181" s="20">
        <f>원천데이터!G168</f>
        <v>0.34425826598620768</v>
      </c>
      <c r="E181" s="20">
        <f>원천데이터!G432</f>
        <v>0.34999244403186458</v>
      </c>
      <c r="F181" s="20">
        <f>원천데이터!G698</f>
        <v>0.35717856428714256</v>
      </c>
      <c r="G181" s="20">
        <f>원천데이터!G966</f>
        <v>0.36598112410198619</v>
      </c>
      <c r="H181" s="20">
        <f>원천데이터!G1234</f>
        <v>0.37412850164906275</v>
      </c>
      <c r="I181" s="20">
        <f>원천데이터!G1500</f>
        <v>0.39095627095817548</v>
      </c>
      <c r="J181" s="20">
        <f>원천데이터!G1766</f>
        <v>0.39159998626326453</v>
      </c>
      <c r="K181" s="20">
        <f>원천데이터!G2032</f>
        <v>0.39545054461436902</v>
      </c>
      <c r="L181" s="20">
        <f>원천데이터!G2298</f>
        <v>0.39866049851550095</v>
      </c>
      <c r="M181" s="20">
        <f>원천데이터!G2564</f>
        <v>0.38113027925225018</v>
      </c>
      <c r="N181" s="20">
        <f>원천데이터!G2830</f>
        <v>0.38410762331838566</v>
      </c>
      <c r="O181" s="20">
        <f>원천데이터!G3096</f>
        <v>0.39181681943331126</v>
      </c>
      <c r="P181" s="20">
        <f>원천데이터!G3363</f>
        <v>0.39569160200083014</v>
      </c>
      <c r="Q181" s="20">
        <f>원천데이터!G3631</f>
        <v>0.39369534210260915</v>
      </c>
      <c r="R181" s="20">
        <f t="shared" si="4"/>
        <v>0.37961770475106854</v>
      </c>
      <c r="S181" s="27">
        <f t="shared" si="5"/>
        <v>14</v>
      </c>
    </row>
    <row r="182" spans="1:19">
      <c r="A182" s="15" t="s">
        <v>325</v>
      </c>
      <c r="B182" s="15" t="s">
        <v>340</v>
      </c>
      <c r="C182" s="15" t="s">
        <v>341</v>
      </c>
      <c r="D182" s="20">
        <f>원천데이터!G169</f>
        <v>0.4471880819366853</v>
      </c>
      <c r="E182" s="20">
        <f>원천데이터!G433</f>
        <v>0.44991759239429013</v>
      </c>
      <c r="F182" s="20">
        <f>원천데이터!G699</f>
        <v>0.45671936207233443</v>
      </c>
      <c r="G182" s="20">
        <f>원천데이터!G967</f>
        <v>0.45847474265840182</v>
      </c>
      <c r="H182" s="20">
        <f>원천데이터!G1235</f>
        <v>0.46404775515176505</v>
      </c>
      <c r="I182" s="20">
        <f>원천데이터!G1501</f>
        <v>0.46786113380473465</v>
      </c>
      <c r="J182" s="20">
        <f>원천데이터!G1767</f>
        <v>0.47133340924618539</v>
      </c>
      <c r="K182" s="20">
        <f>원천데이터!G2033</f>
        <v>0.47392210075682289</v>
      </c>
      <c r="L182" s="20">
        <f>원천데이터!G2299</f>
        <v>0.47727272727272729</v>
      </c>
      <c r="M182" s="20">
        <f>원천데이터!G2565</f>
        <v>0.47047655789965276</v>
      </c>
      <c r="N182" s="20">
        <f>원천데이터!G2831</f>
        <v>0.47159846887601581</v>
      </c>
      <c r="O182" s="20">
        <f>원천데이터!G3097</f>
        <v>0.47399946092182366</v>
      </c>
      <c r="P182" s="20">
        <f>원천데이터!G3364</f>
        <v>0.47568449497782084</v>
      </c>
      <c r="Q182" s="20">
        <f>원천데이터!G3632</f>
        <v>0.47943933036925712</v>
      </c>
      <c r="R182" s="20">
        <f t="shared" si="4"/>
        <v>0.46699537273846542</v>
      </c>
      <c r="S182" s="27">
        <f t="shared" si="5"/>
        <v>14</v>
      </c>
    </row>
    <row r="183" spans="1:19">
      <c r="A183" s="15" t="s">
        <v>325</v>
      </c>
      <c r="B183" s="15" t="s">
        <v>342</v>
      </c>
      <c r="C183" s="15" t="s">
        <v>343</v>
      </c>
      <c r="D183" s="20">
        <f>원천데이터!G170</f>
        <v>0.33262583964967085</v>
      </c>
      <c r="E183" s="20">
        <f>원천데이터!G434</f>
        <v>0.33789089003373712</v>
      </c>
      <c r="F183" s="20">
        <f>원천데이터!G700</f>
        <v>0.34073352896543529</v>
      </c>
      <c r="G183" s="20">
        <f>원천데이터!G968</f>
        <v>0.34528481309350012</v>
      </c>
      <c r="H183" s="20">
        <f>원천데이터!G1236</f>
        <v>0.35455602408593195</v>
      </c>
      <c r="I183" s="20">
        <f>원천데이터!G1502</f>
        <v>0.35228532391534118</v>
      </c>
      <c r="J183" s="20">
        <f>원천데이터!G1768</f>
        <v>0.35393016176614994</v>
      </c>
      <c r="K183" s="20">
        <f>원천데이터!G2034</f>
        <v>0.35747163749261285</v>
      </c>
      <c r="L183" s="20">
        <f>원천데이터!G2300</f>
        <v>0.35886301154986089</v>
      </c>
      <c r="M183" s="20">
        <f>원천데이터!G2566</f>
        <v>0.34344943945324208</v>
      </c>
      <c r="N183" s="20">
        <f>원천데이터!G2832</f>
        <v>0.34850833253259694</v>
      </c>
      <c r="O183" s="20">
        <f>원천데이터!G3098</f>
        <v>0.36254163464002048</v>
      </c>
      <c r="P183" s="20">
        <f>원천데이터!G3365</f>
        <v>0.36389059679882585</v>
      </c>
      <c r="Q183" s="20">
        <f>원천데이터!G3633</f>
        <v>0.36332211956346777</v>
      </c>
      <c r="R183" s="20">
        <f t="shared" si="4"/>
        <v>0.3510966681100281</v>
      </c>
      <c r="S183" s="27">
        <f t="shared" si="5"/>
        <v>14</v>
      </c>
    </row>
    <row r="184" spans="1:19">
      <c r="A184" s="15" t="s">
        <v>325</v>
      </c>
      <c r="B184" s="15" t="s">
        <v>344</v>
      </c>
      <c r="C184" s="15" t="s">
        <v>345</v>
      </c>
      <c r="D184" s="20">
        <f>원천데이터!G171</f>
        <v>0.42029971966174823</v>
      </c>
      <c r="E184" s="20">
        <f>원천데이터!G435</f>
        <v>0.42076882936162813</v>
      </c>
      <c r="F184" s="20">
        <f>원천데이터!G701</f>
        <v>0.43224543832383583</v>
      </c>
      <c r="G184" s="20">
        <f>원천데이터!G969</f>
        <v>0.43646937998361396</v>
      </c>
      <c r="H184" s="20">
        <f>원천데이터!G1237</f>
        <v>0.4402105091952554</v>
      </c>
      <c r="I184" s="20">
        <f>원천데이터!G1503</f>
        <v>0.45013286299446503</v>
      </c>
      <c r="J184" s="20">
        <f>원천데이터!G1769</f>
        <v>0.45405049447900375</v>
      </c>
      <c r="K184" s="20">
        <f>원천데이터!G2035</f>
        <v>0.45326896189099081</v>
      </c>
      <c r="L184" s="20">
        <f>원천데이터!G2301</f>
        <v>0.46144183968018165</v>
      </c>
      <c r="M184" s="20">
        <f>원천데이터!G2567</f>
        <v>0.45269159776479811</v>
      </c>
      <c r="N184" s="20">
        <f>원천데이터!G2833</f>
        <v>0.45500566006537696</v>
      </c>
      <c r="O184" s="20">
        <f>원천데이터!G3099</f>
        <v>0.45709726105351711</v>
      </c>
      <c r="P184" s="20">
        <f>원천데이터!G3366</f>
        <v>0.46465215920622394</v>
      </c>
      <c r="Q184" s="20">
        <f>원천데이터!G3634</f>
        <v>0.46793337068921603</v>
      </c>
      <c r="R184" s="20">
        <f t="shared" si="4"/>
        <v>0.44759057745356101</v>
      </c>
      <c r="S184" s="27">
        <f t="shared" si="5"/>
        <v>14</v>
      </c>
    </row>
    <row r="185" spans="1:19">
      <c r="A185" s="15" t="s">
        <v>325</v>
      </c>
      <c r="B185" s="15" t="s">
        <v>346</v>
      </c>
      <c r="C185" s="15" t="s">
        <v>347</v>
      </c>
      <c r="D185" s="20">
        <f>원천데이터!G172</f>
        <v>0.42991156534632491</v>
      </c>
      <c r="E185" s="20">
        <f>원천데이터!G436</f>
        <v>0.42851570467060984</v>
      </c>
      <c r="F185" s="20">
        <f>원천데이터!G702</f>
        <v>0.42960699692504584</v>
      </c>
      <c r="G185" s="20">
        <f>원천데이터!G970</f>
        <v>0.43020634197436342</v>
      </c>
      <c r="H185" s="20">
        <f>원천데이터!G1238</f>
        <v>0.42444368016954509</v>
      </c>
      <c r="I185" s="20">
        <f>원천데이터!G1504</f>
        <v>0.42160804133024421</v>
      </c>
      <c r="J185" s="20">
        <f>원천데이터!G1770</f>
        <v>0.42699899112709211</v>
      </c>
      <c r="K185" s="20">
        <f>원천데이터!G2036</f>
        <v>0.42231888026906406</v>
      </c>
      <c r="L185" s="20">
        <f>원천데이터!G2302</f>
        <v>0.42360004978913457</v>
      </c>
      <c r="M185" s="20">
        <f>원천데이터!G2568</f>
        <v>0.41887064994686873</v>
      </c>
      <c r="N185" s="20">
        <f>원천데이터!G2834</f>
        <v>0.42542778670259623</v>
      </c>
      <c r="O185" s="20">
        <f>원천데이터!G3100</f>
        <v>0.42445191640782848</v>
      </c>
      <c r="P185" s="20">
        <f>원천데이터!G3367</f>
        <v>0.4264193731270754</v>
      </c>
      <c r="Q185" s="20">
        <f>원천데이터!G3635</f>
        <v>0.42250009928478849</v>
      </c>
      <c r="R185" s="20">
        <f t="shared" si="4"/>
        <v>0.42534857693361294</v>
      </c>
      <c r="S185" s="27">
        <f t="shared" si="5"/>
        <v>14</v>
      </c>
    </row>
    <row r="186" spans="1:19">
      <c r="A186" s="15" t="s">
        <v>325</v>
      </c>
      <c r="B186" s="15" t="s">
        <v>348</v>
      </c>
      <c r="C186" s="15" t="s">
        <v>349</v>
      </c>
      <c r="D186" s="20">
        <f>원천데이터!G173</f>
        <v>0.92444624979092493</v>
      </c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>
        <f t="shared" si="4"/>
        <v>0.92444624979092493</v>
      </c>
      <c r="S186" s="27">
        <f t="shared" si="5"/>
        <v>1</v>
      </c>
    </row>
    <row r="187" spans="1:19">
      <c r="A187" s="15" t="s">
        <v>325</v>
      </c>
      <c r="B187" s="15" t="s">
        <v>350</v>
      </c>
      <c r="C187" s="15" t="s">
        <v>351</v>
      </c>
      <c r="D187" s="20">
        <f>원천데이터!G174</f>
        <v>0.42168297068575861</v>
      </c>
      <c r="E187" s="20">
        <f>원천데이터!G437</f>
        <v>0.42770549970431698</v>
      </c>
      <c r="F187" s="20">
        <f>원천데이터!G703</f>
        <v>0.43170335545271271</v>
      </c>
      <c r="G187" s="20">
        <f>원천데이터!G971</f>
        <v>0.44032427200129065</v>
      </c>
      <c r="H187" s="20">
        <f>원천데이터!G1239</f>
        <v>0.44066339770299362</v>
      </c>
      <c r="I187" s="20">
        <f>원천데이터!G1505</f>
        <v>0.447436394695363</v>
      </c>
      <c r="J187" s="20">
        <f>원천데이터!G1771</f>
        <v>0.45347356584147774</v>
      </c>
      <c r="K187" s="20">
        <f>원천데이터!G2037</f>
        <v>0.46030868729531527</v>
      </c>
      <c r="L187" s="20">
        <f>원천데이터!G2303</f>
        <v>0.46618363481468617</v>
      </c>
      <c r="M187" s="20">
        <f>원천데이터!G2569</f>
        <v>0.45637140197809656</v>
      </c>
      <c r="N187" s="20">
        <f>원천데이터!G2835</f>
        <v>0.45926292314233896</v>
      </c>
      <c r="O187" s="20">
        <f>원천데이터!G3101</f>
        <v>0.46677586178226382</v>
      </c>
      <c r="P187" s="20">
        <f>원천데이터!G3368</f>
        <v>0.47632719789828137</v>
      </c>
      <c r="Q187" s="20">
        <f>원천데이터!G3636</f>
        <v>0.48231568691133486</v>
      </c>
      <c r="R187" s="20">
        <f t="shared" si="4"/>
        <v>0.45218106070758785</v>
      </c>
      <c r="S187" s="27">
        <f t="shared" si="5"/>
        <v>14</v>
      </c>
    </row>
    <row r="188" spans="1:19">
      <c r="A188" s="15" t="s">
        <v>325</v>
      </c>
      <c r="B188" s="15" t="s">
        <v>352</v>
      </c>
      <c r="C188" s="15" t="s">
        <v>353</v>
      </c>
      <c r="D188" s="20">
        <f>원천데이터!G175</f>
        <v>0.26718193884862507</v>
      </c>
      <c r="E188" s="20">
        <f>원천데이터!G438</f>
        <v>0.26672833575093324</v>
      </c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>
        <f t="shared" si="4"/>
        <v>0.26695513729977915</v>
      </c>
      <c r="S188" s="27">
        <f t="shared" si="5"/>
        <v>2</v>
      </c>
    </row>
    <row r="189" spans="1:19">
      <c r="A189" s="15" t="s">
        <v>325</v>
      </c>
      <c r="B189" s="15" t="s">
        <v>354</v>
      </c>
      <c r="C189" s="15" t="s">
        <v>355</v>
      </c>
      <c r="D189" s="20"/>
      <c r="E189" s="20"/>
      <c r="F189" s="20">
        <f>원천데이터!G704</f>
        <v>0.48520987209511801</v>
      </c>
      <c r="G189" s="20">
        <f>원천데이터!G972</f>
        <v>0.48221540985183514</v>
      </c>
      <c r="H189" s="20">
        <f>원천데이터!G1240</f>
        <v>0.48217544652382927</v>
      </c>
      <c r="I189" s="20">
        <f>원천데이터!G1506</f>
        <v>0.48277950155139626</v>
      </c>
      <c r="J189" s="20">
        <f>원천데이터!G1772</f>
        <v>0.48472911133964874</v>
      </c>
      <c r="K189" s="20">
        <f>원천데이터!G2038</f>
        <v>0.48565991707718181</v>
      </c>
      <c r="L189" s="20">
        <f>원천데이터!G2304</f>
        <v>0.48855450812731777</v>
      </c>
      <c r="M189" s="20">
        <f>원천데이터!G2570</f>
        <v>0.48210237102913306</v>
      </c>
      <c r="N189" s="20">
        <f>원천데이터!G2836</f>
        <v>0.48309373290377483</v>
      </c>
      <c r="O189" s="20">
        <f>원천데이터!G3102</f>
        <v>0.48059004191955135</v>
      </c>
      <c r="P189" s="20">
        <f>원천데이터!G3369</f>
        <v>0.47786564009011273</v>
      </c>
      <c r="Q189" s="20">
        <f>원천데이터!G3637</f>
        <v>0.48021118201154667</v>
      </c>
      <c r="R189" s="20">
        <f t="shared" si="4"/>
        <v>0.48293222787670387</v>
      </c>
      <c r="S189" s="27">
        <f t="shared" si="5"/>
        <v>12</v>
      </c>
    </row>
    <row r="190" spans="1:19">
      <c r="A190" s="15" t="s">
        <v>325</v>
      </c>
      <c r="B190" s="15" t="s">
        <v>356</v>
      </c>
      <c r="C190" s="15" t="s">
        <v>357</v>
      </c>
      <c r="D190" s="20"/>
      <c r="E190" s="20"/>
      <c r="F190" s="20">
        <f>원천데이터!G705</f>
        <v>0.41911815485969123</v>
      </c>
      <c r="G190" s="20">
        <f>원천데이터!G973</f>
        <v>0.42492235789218114</v>
      </c>
      <c r="H190" s="20">
        <f>원천데이터!G1241</f>
        <v>0.42760081492102248</v>
      </c>
      <c r="I190" s="20">
        <f>원천데이터!G1507</f>
        <v>0.4371239553421995</v>
      </c>
      <c r="J190" s="20">
        <f>원천데이터!G1773</f>
        <v>0.43401326978394605</v>
      </c>
      <c r="K190" s="20">
        <f>원천데이터!G2039</f>
        <v>0.43202301409916744</v>
      </c>
      <c r="L190" s="20">
        <f>원천데이터!G2305</f>
        <v>0.42762330550438643</v>
      </c>
      <c r="M190" s="20">
        <f>원천데이터!G2571</f>
        <v>0.42214873659048707</v>
      </c>
      <c r="N190" s="20">
        <f>원천데이터!G2837</f>
        <v>0.4241607156766396</v>
      </c>
      <c r="O190" s="20">
        <f>원천데이터!G3103</f>
        <v>0.42983618535730539</v>
      </c>
      <c r="P190" s="20">
        <f>원천데이터!G3370</f>
        <v>0.42811090744182212</v>
      </c>
      <c r="Q190" s="20">
        <f>원천데이터!G3638</f>
        <v>0.42935343624107536</v>
      </c>
      <c r="R190" s="20">
        <f t="shared" si="4"/>
        <v>0.42800290447582695</v>
      </c>
      <c r="S190" s="27">
        <f t="shared" si="5"/>
        <v>12</v>
      </c>
    </row>
    <row r="191" spans="1:19">
      <c r="A191" s="15" t="s">
        <v>325</v>
      </c>
      <c r="B191" s="15" t="s">
        <v>358</v>
      </c>
      <c r="C191" s="15" t="s">
        <v>359</v>
      </c>
      <c r="D191" s="20">
        <f>원천데이터!G176</f>
        <v>0.49597975592832944</v>
      </c>
      <c r="E191" s="20">
        <f>원천데이터!G439</f>
        <v>0.4969700654627997</v>
      </c>
      <c r="F191" s="20">
        <f>원천데이터!G706</f>
        <v>0.50571201661677556</v>
      </c>
      <c r="G191" s="20">
        <f>원천데이터!G974</f>
        <v>0.51034427509963753</v>
      </c>
      <c r="H191" s="20">
        <f>원천데이터!G1242</f>
        <v>0.521800479751658</v>
      </c>
      <c r="I191" s="20">
        <f>원천데이터!G1508</f>
        <v>0.52762269160192088</v>
      </c>
      <c r="J191" s="20">
        <f>원천데이터!G1774</f>
        <v>0.53409933283914013</v>
      </c>
      <c r="K191" s="20">
        <f>원천데이터!G2040</f>
        <v>0.5365161900259986</v>
      </c>
      <c r="L191" s="20">
        <f>원천데이터!G2306</f>
        <v>0.53573211397535991</v>
      </c>
      <c r="M191" s="20">
        <f>원천데이터!G2572</f>
        <v>0.52623107063433228</v>
      </c>
      <c r="N191" s="20">
        <f>원천데이터!G2838</f>
        <v>0.52863492063492068</v>
      </c>
      <c r="O191" s="20">
        <f>원천데이터!G3104</f>
        <v>0.52040211683455584</v>
      </c>
      <c r="P191" s="20">
        <f>원천데이터!G3371</f>
        <v>0.524844911246238</v>
      </c>
      <c r="Q191" s="20">
        <f>원천데이터!G3639</f>
        <v>0.52958167951621948</v>
      </c>
      <c r="R191" s="20">
        <f t="shared" si="4"/>
        <v>0.52103368715484899</v>
      </c>
      <c r="S191" s="27">
        <f t="shared" si="5"/>
        <v>14</v>
      </c>
    </row>
    <row r="192" spans="1:19">
      <c r="A192" s="15" t="s">
        <v>325</v>
      </c>
      <c r="B192" s="15" t="s">
        <v>360</v>
      </c>
      <c r="C192" s="15" t="s">
        <v>361</v>
      </c>
      <c r="D192" s="20">
        <f>원천데이터!G177</f>
        <v>0.44974708360863491</v>
      </c>
      <c r="E192" s="20">
        <f>원천데이터!G440</f>
        <v>0.4550431715392439</v>
      </c>
      <c r="F192" s="20">
        <f>원천데이터!G707</f>
        <v>0.45753383263905378</v>
      </c>
      <c r="G192" s="20">
        <f>원천데이터!G975</f>
        <v>0.46053673837964576</v>
      </c>
      <c r="H192" s="20">
        <f>원천데이터!G1243</f>
        <v>0.46372022723719186</v>
      </c>
      <c r="I192" s="20">
        <f>원천데이터!G1509</f>
        <v>0.46303845561431434</v>
      </c>
      <c r="J192" s="20">
        <f>원천데이터!G1775</f>
        <v>0.46635711874980823</v>
      </c>
      <c r="K192" s="20">
        <f>원천데이터!G2041</f>
        <v>0.46686150848587399</v>
      </c>
      <c r="L192" s="20">
        <f>원천데이터!G2307</f>
        <v>0.46847909720441139</v>
      </c>
      <c r="M192" s="20">
        <f>원천데이터!G2573</f>
        <v>0.45766585478384963</v>
      </c>
      <c r="N192" s="20">
        <f>원천데이터!G2839</f>
        <v>0.46024745284719204</v>
      </c>
      <c r="O192" s="20">
        <f>원천데이터!G3105</f>
        <v>0.46837016433862111</v>
      </c>
      <c r="P192" s="20">
        <f>원천데이터!G3372</f>
        <v>0.46813363746142495</v>
      </c>
      <c r="Q192" s="20">
        <f>원천데이터!G3640</f>
        <v>0.46915948253395739</v>
      </c>
      <c r="R192" s="20">
        <f t="shared" si="4"/>
        <v>0.4624924161016587</v>
      </c>
      <c r="S192" s="27">
        <f t="shared" si="5"/>
        <v>14</v>
      </c>
    </row>
    <row r="193" spans="1:19">
      <c r="A193" s="15" t="s">
        <v>325</v>
      </c>
      <c r="B193" s="15" t="s">
        <v>362</v>
      </c>
      <c r="C193" s="15" t="s">
        <v>363</v>
      </c>
      <c r="D193" s="20">
        <f>원천데이터!G178</f>
        <v>0.34707655319000663</v>
      </c>
      <c r="E193" s="20">
        <f>원천데이터!G441</f>
        <v>0.35307013773062573</v>
      </c>
      <c r="F193" s="20">
        <f>원천데이터!G708</f>
        <v>0.35786659984128971</v>
      </c>
      <c r="G193" s="20">
        <f>원천데이터!G976</f>
        <v>0.36724663245670303</v>
      </c>
      <c r="H193" s="20">
        <f>원천데이터!G1244</f>
        <v>0.37353968352083078</v>
      </c>
      <c r="I193" s="20">
        <f>원천데이터!G1510</f>
        <v>0.38864855634454198</v>
      </c>
      <c r="J193" s="20">
        <f>원천데이터!G1776</f>
        <v>0.38464454177897572</v>
      </c>
      <c r="K193" s="20">
        <f>원천데이터!G2042</f>
        <v>0.38787212262062859</v>
      </c>
      <c r="L193" s="20">
        <f>원천데이터!G2308</f>
        <v>0.39145402302791743</v>
      </c>
      <c r="M193" s="20">
        <f>원천데이터!G2574</f>
        <v>0.38283175001068209</v>
      </c>
      <c r="N193" s="20">
        <f>원천데이터!G2840</f>
        <v>0.38690082818937271</v>
      </c>
      <c r="O193" s="20">
        <f>원천데이터!G3106</f>
        <v>0.3938641819587419</v>
      </c>
      <c r="P193" s="20">
        <f>원천데이터!G3373</f>
        <v>0.40149193001491928</v>
      </c>
      <c r="Q193" s="20">
        <f>원천데이터!G3641</f>
        <v>0.40336849724541907</v>
      </c>
      <c r="R193" s="20">
        <f t="shared" si="4"/>
        <v>0.37999114556647534</v>
      </c>
      <c r="S193" s="27">
        <f t="shared" si="5"/>
        <v>14</v>
      </c>
    </row>
    <row r="194" spans="1:19">
      <c r="A194" s="15" t="s">
        <v>364</v>
      </c>
      <c r="B194" s="15" t="s">
        <v>22</v>
      </c>
      <c r="C194" s="15" t="s">
        <v>364</v>
      </c>
      <c r="D194" s="20">
        <f>원천데이터!G179</f>
        <v>0.17997294756115664</v>
      </c>
      <c r="E194" s="20">
        <f>원천데이터!G442</f>
        <v>0.18286157272357179</v>
      </c>
      <c r="F194" s="20">
        <f>원천데이터!G709</f>
        <v>0.18487975869283002</v>
      </c>
      <c r="G194" s="20">
        <f>원천데이터!G977</f>
        <v>0.18808317883468501</v>
      </c>
      <c r="H194" s="20">
        <f>원천데이터!G1245</f>
        <v>0.18919157889332622</v>
      </c>
      <c r="I194" s="20">
        <f>원천데이터!G1511</f>
        <v>0.19342168513126692</v>
      </c>
      <c r="J194" s="20">
        <f>원천데이터!G1777</f>
        <v>0.19518629591693221</v>
      </c>
      <c r="K194" s="20">
        <f>원천데이터!G2043</f>
        <v>0.19605227452346474</v>
      </c>
      <c r="L194" s="20">
        <f>원천데이터!G2309</f>
        <v>0.19719986987264743</v>
      </c>
      <c r="M194" s="20">
        <f>원천데이터!G2575</f>
        <v>0.17792125306940992</v>
      </c>
      <c r="N194" s="20">
        <f>원천데이터!G2841</f>
        <v>0.17972977480570004</v>
      </c>
      <c r="O194" s="20">
        <f>원천데이터!G3107</f>
        <v>0.19398874472453928</v>
      </c>
      <c r="P194" s="20">
        <f>원천데이터!G3374</f>
        <v>0.19799841360695225</v>
      </c>
      <c r="Q194" s="20">
        <f>원천데이터!G3642</f>
        <v>0.19645144216878876</v>
      </c>
      <c r="R194" s="20">
        <f t="shared" si="4"/>
        <v>0.18949562789466223</v>
      </c>
      <c r="S194" s="27">
        <f t="shared" si="5"/>
        <v>14</v>
      </c>
    </row>
    <row r="195" spans="1:19">
      <c r="A195" s="15" t="s">
        <v>364</v>
      </c>
      <c r="B195" s="15" t="s">
        <v>365</v>
      </c>
      <c r="C195" s="15" t="s">
        <v>366</v>
      </c>
      <c r="D195" s="20">
        <f>원천데이터!G180</f>
        <v>0.44649784297794914</v>
      </c>
      <c r="E195" s="20">
        <f>원천데이터!G443</f>
        <v>0.4542866181588105</v>
      </c>
      <c r="F195" s="20">
        <f>원천데이터!G710</f>
        <v>0.4632690695725063</v>
      </c>
      <c r="G195" s="20">
        <f>원천데이터!G978</f>
        <v>0.46452279594289503</v>
      </c>
      <c r="H195" s="20">
        <f>원천데이터!G1246</f>
        <v>0.46824202963628198</v>
      </c>
      <c r="I195" s="20">
        <f>원천데이터!G1512</f>
        <v>0.47393797672735372</v>
      </c>
      <c r="J195" s="20">
        <f>원천데이터!G1778</f>
        <v>0.47642435060255656</v>
      </c>
      <c r="K195" s="20">
        <f>원천데이터!G2044</f>
        <v>0.461525121968138</v>
      </c>
      <c r="L195" s="20">
        <f>원천데이터!G2310</f>
        <v>0.46101546611171546</v>
      </c>
      <c r="M195" s="20">
        <f>원천데이터!G2576</f>
        <v>0.44934865330507318</v>
      </c>
      <c r="N195" s="20">
        <f>원천데이터!G2842</f>
        <v>0.44916388378172178</v>
      </c>
      <c r="O195" s="20">
        <f>원천데이터!G3108</f>
        <v>0.45432976018105053</v>
      </c>
      <c r="P195" s="20">
        <f>원천데이터!G3375</f>
        <v>0.4582938680115628</v>
      </c>
      <c r="Q195" s="20">
        <f>원천데이터!G3643</f>
        <v>0.45884352041581289</v>
      </c>
      <c r="R195" s="20">
        <f t="shared" si="4"/>
        <v>0.45997863981381615</v>
      </c>
      <c r="S195" s="27">
        <f t="shared" si="5"/>
        <v>14</v>
      </c>
    </row>
    <row r="196" spans="1:19">
      <c r="A196" s="15" t="s">
        <v>364</v>
      </c>
      <c r="B196" s="15" t="s">
        <v>367</v>
      </c>
      <c r="C196" s="15" t="s">
        <v>368</v>
      </c>
      <c r="D196" s="20">
        <f>원천데이터!G181</f>
        <v>0.28711008581927472</v>
      </c>
      <c r="E196" s="20">
        <f>원천데이터!G444</f>
        <v>0.28463550492279083</v>
      </c>
      <c r="F196" s="20">
        <f>원천데이터!G711</f>
        <v>0.286611420060154</v>
      </c>
      <c r="G196" s="20">
        <f>원천데이터!G979</f>
        <v>0.2900158478605388</v>
      </c>
      <c r="H196" s="20">
        <f>원천데이터!G1247</f>
        <v>0.2910622712699461</v>
      </c>
      <c r="I196" s="20">
        <f>원천데이터!G1513</f>
        <v>0.29500569264240062</v>
      </c>
      <c r="J196" s="20">
        <f>원천데이터!G1779</f>
        <v>0.2988774621969304</v>
      </c>
      <c r="K196" s="20">
        <f>원천데이터!G2045</f>
        <v>0.30161938141165034</v>
      </c>
      <c r="L196" s="20">
        <f>원천데이터!G2311</f>
        <v>0.30488027262055367</v>
      </c>
      <c r="M196" s="20">
        <f>원천데이터!G2577</f>
        <v>0.29242111401353094</v>
      </c>
      <c r="N196" s="20">
        <f>원천데이터!G2843</f>
        <v>0.29830659116861102</v>
      </c>
      <c r="O196" s="20">
        <f>원천데이터!G3109</f>
        <v>0.3098248711707316</v>
      </c>
      <c r="P196" s="20">
        <f>원천데이터!G3376</f>
        <v>0.31310846915000884</v>
      </c>
      <c r="Q196" s="20">
        <f>원천데이터!G3644</f>
        <v>0.30713668407650307</v>
      </c>
      <c r="R196" s="20">
        <f t="shared" si="4"/>
        <v>0.29718683345597319</v>
      </c>
      <c r="S196" s="27">
        <f t="shared" si="5"/>
        <v>14</v>
      </c>
    </row>
    <row r="197" spans="1:19">
      <c r="A197" s="15" t="s">
        <v>364</v>
      </c>
      <c r="B197" s="15" t="s">
        <v>369</v>
      </c>
      <c r="C197" s="15" t="s">
        <v>370</v>
      </c>
      <c r="D197" s="20">
        <f>원천데이터!G182</f>
        <v>0.46865194348942302</v>
      </c>
      <c r="E197" s="20">
        <f>원천데이터!G445</f>
        <v>0.45902726434293467</v>
      </c>
      <c r="F197" s="20">
        <f>원천데이터!G712</f>
        <v>0.45648137357728313</v>
      </c>
      <c r="G197" s="20">
        <f>원천데이터!G980</f>
        <v>0.4615629340513529</v>
      </c>
      <c r="H197" s="20">
        <f>원천데이터!G1248</f>
        <v>0.4630658009132706</v>
      </c>
      <c r="I197" s="20">
        <f>원천데이터!G1514</f>
        <v>0.4675909282733397</v>
      </c>
      <c r="J197" s="20">
        <f>원천데이터!G1780</f>
        <v>0.46291782729805014</v>
      </c>
      <c r="K197" s="20">
        <f>원천데이터!G2046</f>
        <v>0.46516269119008846</v>
      </c>
      <c r="L197" s="20">
        <f>원천데이터!G2312</f>
        <v>0.46679641758259505</v>
      </c>
      <c r="M197" s="20">
        <f>원천데이터!G2578</f>
        <v>0.46432272577913708</v>
      </c>
      <c r="N197" s="20">
        <f>원천데이터!G2844</f>
        <v>0.46678435932473838</v>
      </c>
      <c r="O197" s="20">
        <f>원천데이터!G3110</f>
        <v>0.4694127733220092</v>
      </c>
      <c r="P197" s="20">
        <f>원천데이터!G3377</f>
        <v>0.47897362218706613</v>
      </c>
      <c r="Q197" s="20">
        <f>원천데이터!G3645</f>
        <v>0.47832226049199328</v>
      </c>
      <c r="R197" s="20">
        <f t="shared" si="4"/>
        <v>0.4663623515588059</v>
      </c>
      <c r="S197" s="27">
        <f t="shared" si="5"/>
        <v>14</v>
      </c>
    </row>
    <row r="198" spans="1:19">
      <c r="A198" s="15" t="s">
        <v>364</v>
      </c>
      <c r="B198" s="15" t="s">
        <v>371</v>
      </c>
      <c r="C198" s="15" t="s">
        <v>372</v>
      </c>
      <c r="D198" s="20">
        <f>원천데이터!G183</f>
        <v>0.32420038467018092</v>
      </c>
      <c r="E198" s="20">
        <f>원천데이터!G446</f>
        <v>0.33281193704579209</v>
      </c>
      <c r="F198" s="20">
        <f>원천데이터!G713</f>
        <v>0.34142924685239989</v>
      </c>
      <c r="G198" s="20">
        <f>원천데이터!G981</f>
        <v>0.34831705236030575</v>
      </c>
      <c r="H198" s="20">
        <f>원천데이터!G1249</f>
        <v>0.35402607128240404</v>
      </c>
      <c r="I198" s="20">
        <f>원천데이터!G1515</f>
        <v>0.36362696265145378</v>
      </c>
      <c r="J198" s="20">
        <f>원천데이터!G1781</f>
        <v>0.364971231699803</v>
      </c>
      <c r="K198" s="20">
        <f>원천데이터!G2047</f>
        <v>0.37226932840589222</v>
      </c>
      <c r="L198" s="20">
        <f>원천데이터!G2313</f>
        <v>0.37980581851566358</v>
      </c>
      <c r="M198" s="20">
        <f>원천데이터!G2579</f>
        <v>0.36647973950795948</v>
      </c>
      <c r="N198" s="20">
        <f>원천데이터!G2845</f>
        <v>0.37579589193855895</v>
      </c>
      <c r="O198" s="20">
        <f>원천데이터!G3111</f>
        <v>0.38430009020923289</v>
      </c>
      <c r="P198" s="20">
        <f>원천데이터!G3378</f>
        <v>0.39252823324768438</v>
      </c>
      <c r="Q198" s="20">
        <f>원천데이터!G3646</f>
        <v>0.3936259760727846</v>
      </c>
      <c r="R198" s="20">
        <f t="shared" ref="R198:R261" si="6">IFERROR(AVERAGE(D198:Q198),"")</f>
        <v>0.36387056889000824</v>
      </c>
      <c r="S198" s="27">
        <f t="shared" ref="S198:S261" si="7">COUNT(D198:Q198)</f>
        <v>14</v>
      </c>
    </row>
    <row r="199" spans="1:19">
      <c r="A199" s="15" t="s">
        <v>364</v>
      </c>
      <c r="B199" s="15" t="s">
        <v>373</v>
      </c>
      <c r="C199" s="15" t="s">
        <v>374</v>
      </c>
      <c r="D199" s="20">
        <f>원천데이터!G184</f>
        <v>0.48084271403490653</v>
      </c>
      <c r="E199" s="20">
        <f>원천데이터!G447</f>
        <v>0.48059369586016082</v>
      </c>
      <c r="F199" s="20">
        <f>원천데이터!G714</f>
        <v>0.48251263760231966</v>
      </c>
      <c r="G199" s="20">
        <f>원천데이터!G982</f>
        <v>0.49029665942285339</v>
      </c>
      <c r="H199" s="20">
        <f>원천데이터!G1250</f>
        <v>0.49107280283207633</v>
      </c>
      <c r="I199" s="20">
        <f>원천데이터!G1516</f>
        <v>0.49602813195709372</v>
      </c>
      <c r="J199" s="20">
        <f>원천데이터!G1782</f>
        <v>0.49691751159117542</v>
      </c>
      <c r="K199" s="20">
        <f>원천데이터!G2048</f>
        <v>0.49969580206854591</v>
      </c>
      <c r="L199" s="20">
        <f>원천데이터!G2314</f>
        <v>0.50209418735315148</v>
      </c>
      <c r="M199" s="20">
        <f>원천데이터!G2580</f>
        <v>0.49788860380585848</v>
      </c>
      <c r="N199" s="20">
        <f>원천데이터!G2846</f>
        <v>0.49744563618370019</v>
      </c>
      <c r="O199" s="20">
        <f>원천데이터!G3112</f>
        <v>0.49822346054548705</v>
      </c>
      <c r="P199" s="20">
        <f>원천데이터!G3379</f>
        <v>0.50189280213038145</v>
      </c>
      <c r="Q199" s="20">
        <f>원천데이터!G3647</f>
        <v>0.5056054703029339</v>
      </c>
      <c r="R199" s="20">
        <f t="shared" si="6"/>
        <v>0.49436500826361746</v>
      </c>
      <c r="S199" s="27">
        <f t="shared" si="7"/>
        <v>14</v>
      </c>
    </row>
    <row r="200" spans="1:19">
      <c r="A200" s="15" t="s">
        <v>364</v>
      </c>
      <c r="B200" s="15" t="s">
        <v>375</v>
      </c>
      <c r="C200" s="15" t="s">
        <v>376</v>
      </c>
      <c r="D200" s="20">
        <f>원천데이터!G185</f>
        <v>0.39899603569105391</v>
      </c>
      <c r="E200" s="20">
        <f>원천데이터!G448</f>
        <v>0.40606489042732125</v>
      </c>
      <c r="F200" s="20">
        <f>원천데이터!G715</f>
        <v>0.428318291357558</v>
      </c>
      <c r="G200" s="20">
        <f>원천데이터!G983</f>
        <v>0.41226187117429863</v>
      </c>
      <c r="H200" s="20">
        <f>원천데이터!G1251</f>
        <v>0.419458106931276</v>
      </c>
      <c r="I200" s="20">
        <f>원천데이터!G1517</f>
        <v>0.42827656118323826</v>
      </c>
      <c r="J200" s="20">
        <f>원천데이터!G1783</f>
        <v>0.43221774787604972</v>
      </c>
      <c r="K200" s="20">
        <f>원천데이터!G2049</f>
        <v>0.43475327920049966</v>
      </c>
      <c r="L200" s="20">
        <f>원천데이터!G2315</f>
        <v>0.43868878996357752</v>
      </c>
      <c r="M200" s="20">
        <f>원천데이터!G2581</f>
        <v>0.42823112146316933</v>
      </c>
      <c r="N200" s="20">
        <f>원천데이터!G2847</f>
        <v>0.43190583854235937</v>
      </c>
      <c r="O200" s="20">
        <f>원천데이터!G3113</f>
        <v>0.44407186246566155</v>
      </c>
      <c r="P200" s="20">
        <f>원천데이터!G3380</f>
        <v>0.44429795649307846</v>
      </c>
      <c r="Q200" s="20">
        <f>원천데이터!G3648</f>
        <v>0.44783153132531744</v>
      </c>
      <c r="R200" s="20">
        <f t="shared" si="6"/>
        <v>0.42824099172103286</v>
      </c>
      <c r="S200" s="27">
        <f t="shared" si="7"/>
        <v>14</v>
      </c>
    </row>
    <row r="201" spans="1:19">
      <c r="A201" s="15" t="s">
        <v>364</v>
      </c>
      <c r="B201" s="15" t="s">
        <v>377</v>
      </c>
      <c r="C201" s="15" t="s">
        <v>378</v>
      </c>
      <c r="D201" s="20">
        <f>원천데이터!G186</f>
        <v>0.51044809228039045</v>
      </c>
      <c r="E201" s="20">
        <f>원천데이터!G449</f>
        <v>0.51265227612737763</v>
      </c>
      <c r="F201" s="20">
        <f>원천데이터!G716</f>
        <v>0.51455998628639998</v>
      </c>
      <c r="G201" s="20">
        <f>원천데이터!G984</f>
        <v>0.51767558599566088</v>
      </c>
      <c r="H201" s="20">
        <f>원천데이터!G1252</f>
        <v>0.51945617512712228</v>
      </c>
      <c r="I201" s="20">
        <f>원천데이터!G1518</f>
        <v>0.51964324091983671</v>
      </c>
      <c r="J201" s="20">
        <f>원천데이터!G1784</f>
        <v>0.52465821904410004</v>
      </c>
      <c r="K201" s="20">
        <f>원천데이터!G2050</f>
        <v>0.52099099295574991</v>
      </c>
      <c r="L201" s="20">
        <f>원천데이터!G2316</f>
        <v>0.52099198059168406</v>
      </c>
      <c r="M201" s="20">
        <f>원천데이터!G2582</f>
        <v>0.51533306495536246</v>
      </c>
      <c r="N201" s="20">
        <f>원천데이터!G2848</f>
        <v>0.5203003134339238</v>
      </c>
      <c r="O201" s="20">
        <f>원천데이터!G3114</f>
        <v>0.51888272342019626</v>
      </c>
      <c r="P201" s="20">
        <f>원천데이터!G3381</f>
        <v>0.5192198177676538</v>
      </c>
      <c r="Q201" s="20">
        <f>원천데이터!G3649</f>
        <v>0.52051835853131745</v>
      </c>
      <c r="R201" s="20">
        <f t="shared" si="6"/>
        <v>0.5182379162454841</v>
      </c>
      <c r="S201" s="27">
        <f t="shared" si="7"/>
        <v>14</v>
      </c>
    </row>
    <row r="202" spans="1:19">
      <c r="A202" s="15" t="s">
        <v>364</v>
      </c>
      <c r="B202" s="15" t="s">
        <v>379</v>
      </c>
      <c r="C202" s="15" t="s">
        <v>380</v>
      </c>
      <c r="D202" s="20">
        <f>원천데이터!G187</f>
        <v>0.56016335533781947</v>
      </c>
      <c r="E202" s="20">
        <f>원천데이터!G450</f>
        <v>0.55789359088010704</v>
      </c>
      <c r="F202" s="20">
        <f>원천데이터!G717</f>
        <v>0.56215359641324936</v>
      </c>
      <c r="G202" s="20">
        <f>원천데이터!G985</f>
        <v>0.56829664515552114</v>
      </c>
      <c r="H202" s="20">
        <f>원천데이터!G1253</f>
        <v>0.56806793164901981</v>
      </c>
      <c r="I202" s="20">
        <f>원천데이터!G1519</f>
        <v>0.56383845716594638</v>
      </c>
      <c r="J202" s="20">
        <f>원천데이터!G1785</f>
        <v>0.56140553229888257</v>
      </c>
      <c r="K202" s="20">
        <f>원천데이터!G2051</f>
        <v>0.56011533377622236</v>
      </c>
      <c r="L202" s="20">
        <f>원천데이터!G2317</f>
        <v>0.56356238380862189</v>
      </c>
      <c r="M202" s="20">
        <f>원천데이터!G2583</f>
        <v>0.5689882988563123</v>
      </c>
      <c r="N202" s="20">
        <f>원천데이터!G2849</f>
        <v>0.57051602752340147</v>
      </c>
      <c r="O202" s="20">
        <f>원천데이터!G3115</f>
        <v>0.55938267179754231</v>
      </c>
      <c r="P202" s="20">
        <f>원천데이터!G3382</f>
        <v>0.56377213211118216</v>
      </c>
      <c r="Q202" s="20">
        <f>원천데이터!G3650</f>
        <v>0.56194376473444463</v>
      </c>
      <c r="R202" s="20">
        <f t="shared" si="6"/>
        <v>0.56357855153630532</v>
      </c>
      <c r="S202" s="27">
        <f t="shared" si="7"/>
        <v>14</v>
      </c>
    </row>
    <row r="203" spans="1:19">
      <c r="A203" s="15" t="s">
        <v>364</v>
      </c>
      <c r="B203" s="15" t="s">
        <v>381</v>
      </c>
      <c r="C203" s="15" t="s">
        <v>382</v>
      </c>
      <c r="D203" s="20">
        <f>원천데이터!G188</f>
        <v>0.27027350659953736</v>
      </c>
      <c r="E203" s="20">
        <f>원천데이터!G451</f>
        <v>0.26916384634505441</v>
      </c>
      <c r="F203" s="20">
        <f>원천데이터!G718</f>
        <v>0.27204367895318138</v>
      </c>
      <c r="G203" s="20">
        <f>원천데이터!G986</f>
        <v>0.27255320476137523</v>
      </c>
      <c r="H203" s="20">
        <f>원천데이터!G1254</f>
        <v>0.28316607925959802</v>
      </c>
      <c r="I203" s="20">
        <f>원천데이터!G1520</f>
        <v>0.27802487729296915</v>
      </c>
      <c r="J203" s="20">
        <f>원천데이터!G1786</f>
        <v>0.28699452670082437</v>
      </c>
      <c r="K203" s="20">
        <f>원천데이터!G2052</f>
        <v>0.28742746615087039</v>
      </c>
      <c r="L203" s="20">
        <f>원천데이터!G2318</f>
        <v>0.28780804294301621</v>
      </c>
      <c r="M203" s="20">
        <f>원천데이터!G2584</f>
        <v>0.27477143491003353</v>
      </c>
      <c r="N203" s="20">
        <f>원천데이터!G2850</f>
        <v>0.27791858510560552</v>
      </c>
      <c r="O203" s="20">
        <f>원천데이터!G3116</f>
        <v>0.29380878292194046</v>
      </c>
      <c r="P203" s="20">
        <f>원천데이터!G3383</f>
        <v>0.29549646787392853</v>
      </c>
      <c r="Q203" s="20">
        <f>원천데이터!G3651</f>
        <v>0.30074071947403175</v>
      </c>
      <c r="R203" s="20">
        <f t="shared" si="6"/>
        <v>0.28215651566371186</v>
      </c>
      <c r="S203" s="27">
        <f t="shared" si="7"/>
        <v>14</v>
      </c>
    </row>
    <row r="204" spans="1:19">
      <c r="A204" s="15" t="s">
        <v>364</v>
      </c>
      <c r="B204" s="15" t="s">
        <v>383</v>
      </c>
      <c r="C204" s="15" t="s">
        <v>384</v>
      </c>
      <c r="D204" s="20">
        <f>원천데이터!G189</f>
        <v>0.53150571041001182</v>
      </c>
      <c r="E204" s="20">
        <f>원천데이터!G452</f>
        <v>0.53060366757360589</v>
      </c>
      <c r="F204" s="20">
        <f>원천데이터!G719</f>
        <v>0.53462788936890393</v>
      </c>
      <c r="G204" s="20">
        <f>원천데이터!G987</f>
        <v>0.54126128495047765</v>
      </c>
      <c r="H204" s="20">
        <f>원천데이터!G1255</f>
        <v>0.54918068319750302</v>
      </c>
      <c r="I204" s="20">
        <f>원천데이터!G1521</f>
        <v>0.55458364006408867</v>
      </c>
      <c r="J204" s="20">
        <f>원천데이터!G1787</f>
        <v>0.55602017502263223</v>
      </c>
      <c r="K204" s="20">
        <f>원천데이터!G2053</f>
        <v>0.55680055162902953</v>
      </c>
      <c r="L204" s="20">
        <f>원천데이터!G2319</f>
        <v>0.55437452547898713</v>
      </c>
      <c r="M204" s="20">
        <f>원천데이터!G2585</f>
        <v>0.54425243459996187</v>
      </c>
      <c r="N204" s="20">
        <f>원천데이터!G2851</f>
        <v>0.54396930353781558</v>
      </c>
      <c r="O204" s="20">
        <f>원천데이터!G3117</f>
        <v>0.53782397977101914</v>
      </c>
      <c r="P204" s="20">
        <f>원천데이터!G3384</f>
        <v>0.54582120185194027</v>
      </c>
      <c r="Q204" s="20">
        <f>원천데이터!G3652</f>
        <v>0.55066572548255965</v>
      </c>
      <c r="R204" s="20">
        <f t="shared" si="6"/>
        <v>0.54510648378132409</v>
      </c>
      <c r="S204" s="27">
        <f t="shared" si="7"/>
        <v>14</v>
      </c>
    </row>
    <row r="205" spans="1:19">
      <c r="A205" s="15" t="s">
        <v>364</v>
      </c>
      <c r="B205" s="15" t="s">
        <v>385</v>
      </c>
      <c r="C205" s="15" t="s">
        <v>386</v>
      </c>
      <c r="D205" s="20">
        <f>원천데이터!G190</f>
        <v>0.5207954577238274</v>
      </c>
      <c r="E205" s="20">
        <f>원천데이터!G453</f>
        <v>0.5248834886817576</v>
      </c>
      <c r="F205" s="20">
        <f>원천데이터!G720</f>
        <v>0.52878287190025275</v>
      </c>
      <c r="G205" s="20">
        <f>원천데이터!G988</f>
        <v>0.5333626954415327</v>
      </c>
      <c r="H205" s="20">
        <f>원천데이터!G1256</f>
        <v>0.5309622625951681</v>
      </c>
      <c r="I205" s="20">
        <f>원천데이터!G1522</f>
        <v>0.53702912102591505</v>
      </c>
      <c r="J205" s="20">
        <f>원천데이터!G1788</f>
        <v>0.54057752839742712</v>
      </c>
      <c r="K205" s="20">
        <f>원천데이터!G2054</f>
        <v>0.54142666047882937</v>
      </c>
      <c r="L205" s="20">
        <f>원천데이터!G2320</f>
        <v>0.54090997851982037</v>
      </c>
      <c r="M205" s="20">
        <f>원천데이터!G2586</f>
        <v>0.53345198844571529</v>
      </c>
      <c r="N205" s="20">
        <f>원천데이터!G2852</f>
        <v>0.53430451127819545</v>
      </c>
      <c r="O205" s="20">
        <f>원천데이터!G3118</f>
        <v>0.52403339316750719</v>
      </c>
      <c r="P205" s="20">
        <f>원천데이터!G3385</f>
        <v>0.53496411308041603</v>
      </c>
      <c r="Q205" s="20">
        <f>원천데이터!G3653</f>
        <v>0.53685753604978159</v>
      </c>
      <c r="R205" s="20">
        <f t="shared" si="6"/>
        <v>0.53302440048472477</v>
      </c>
      <c r="S205" s="27">
        <f t="shared" si="7"/>
        <v>14</v>
      </c>
    </row>
    <row r="206" spans="1:19">
      <c r="A206" s="15" t="s">
        <v>364</v>
      </c>
      <c r="B206" s="15" t="s">
        <v>387</v>
      </c>
      <c r="C206" s="15" t="s">
        <v>388</v>
      </c>
      <c r="D206" s="20">
        <f>원천데이터!G191</f>
        <v>0.40957032702749607</v>
      </c>
      <c r="E206" s="20">
        <f>원천데이터!G454</f>
        <v>0.41099315369514899</v>
      </c>
      <c r="F206" s="20">
        <f>원천데이터!G721</f>
        <v>0.41148846027354857</v>
      </c>
      <c r="G206" s="20">
        <f>원천데이터!G989</f>
        <v>0.41861931455872697</v>
      </c>
      <c r="H206" s="20">
        <f>원천데이터!G1257</f>
        <v>0.41987919955414349</v>
      </c>
      <c r="I206" s="20">
        <f>원천데이터!G1523</f>
        <v>0.42733897135610921</v>
      </c>
      <c r="J206" s="20">
        <f>원천데이터!G1789</f>
        <v>0.42721053551657828</v>
      </c>
      <c r="K206" s="20">
        <f>원천데이터!G2055</f>
        <v>0.43312014648350428</v>
      </c>
      <c r="L206" s="20">
        <f>원천데이터!G2321</f>
        <v>0.43171687777798773</v>
      </c>
      <c r="M206" s="20">
        <f>원천데이터!G2587</f>
        <v>0.42296295012650331</v>
      </c>
      <c r="N206" s="20">
        <f>원천데이터!G2853</f>
        <v>0.42033904721046289</v>
      </c>
      <c r="O206" s="20">
        <f>원천데이터!G3119</f>
        <v>0.42458349673625473</v>
      </c>
      <c r="P206" s="20">
        <f>원천데이터!G3386</f>
        <v>0.42208183342147337</v>
      </c>
      <c r="Q206" s="20">
        <f>원천데이터!G3654</f>
        <v>0.42259262315372553</v>
      </c>
      <c r="R206" s="20">
        <f t="shared" si="6"/>
        <v>0.42160692406369027</v>
      </c>
      <c r="S206" s="27">
        <f t="shared" si="7"/>
        <v>14</v>
      </c>
    </row>
    <row r="207" spans="1:19">
      <c r="A207" s="15" t="s">
        <v>364</v>
      </c>
      <c r="B207" s="15" t="s">
        <v>389</v>
      </c>
      <c r="C207" s="15" t="s">
        <v>390</v>
      </c>
      <c r="D207" s="20">
        <f>원천데이터!G192</f>
        <v>0.37764238622607721</v>
      </c>
      <c r="E207" s="20">
        <f>원천데이터!G455</f>
        <v>0.37409424267708929</v>
      </c>
      <c r="F207" s="20">
        <f>원천데이터!G722</f>
        <v>0.37370949261389924</v>
      </c>
      <c r="G207" s="20">
        <f>원천데이터!G990</f>
        <v>0.37435867077117374</v>
      </c>
      <c r="H207" s="20">
        <f>원천데이터!G1258</f>
        <v>0.37841898549447106</v>
      </c>
      <c r="I207" s="20">
        <f>원천데이터!G1524</f>
        <v>0.3797171334467096</v>
      </c>
      <c r="J207" s="20">
        <f>원천데이터!G1790</f>
        <v>0.38132415029365285</v>
      </c>
      <c r="K207" s="20">
        <f>원천데이터!G2056</f>
        <v>0.38493322152952469</v>
      </c>
      <c r="L207" s="20">
        <f>원천데이터!G2322</f>
        <v>0.38674593669099094</v>
      </c>
      <c r="M207" s="20">
        <f>원천데이터!G2588</f>
        <v>0.37887667447078127</v>
      </c>
      <c r="N207" s="20">
        <f>원천데이터!G2854</f>
        <v>0.38171085108713049</v>
      </c>
      <c r="O207" s="20">
        <f>원천데이터!G3120</f>
        <v>0.39328003198081152</v>
      </c>
      <c r="P207" s="20">
        <f>원천데이터!G3387</f>
        <v>0.39291619170851433</v>
      </c>
      <c r="Q207" s="20">
        <f>원천데이터!G3655</f>
        <v>0.38881466652618268</v>
      </c>
      <c r="R207" s="20">
        <f t="shared" si="6"/>
        <v>0.38189590253692923</v>
      </c>
      <c r="S207" s="27">
        <f t="shared" si="7"/>
        <v>14</v>
      </c>
    </row>
    <row r="208" spans="1:19">
      <c r="A208" s="15" t="s">
        <v>364</v>
      </c>
      <c r="B208" s="15" t="s">
        <v>391</v>
      </c>
      <c r="C208" s="15" t="s">
        <v>392</v>
      </c>
      <c r="D208" s="20">
        <f>원천데이터!G193</f>
        <v>0.3640419817567484</v>
      </c>
      <c r="E208" s="20">
        <f>원천데이터!G456</f>
        <v>0.3610178377501217</v>
      </c>
      <c r="F208" s="20">
        <f>원천데이터!G723</f>
        <v>0.36591987019470795</v>
      </c>
      <c r="G208" s="20">
        <f>원천데이터!G991</f>
        <v>0.36893854888641009</v>
      </c>
      <c r="H208" s="20">
        <f>원천데이터!G1259</f>
        <v>0.37683343128305802</v>
      </c>
      <c r="I208" s="20">
        <f>원천데이터!G1525</f>
        <v>0.37985861310951241</v>
      </c>
      <c r="J208" s="20">
        <f>원천데이터!G1791</f>
        <v>0.38359547313983372</v>
      </c>
      <c r="K208" s="20">
        <f>원천데이터!G2057</f>
        <v>0.38550282428888438</v>
      </c>
      <c r="L208" s="20">
        <f>원천데이터!G2323</f>
        <v>0.39324063222577682</v>
      </c>
      <c r="M208" s="20">
        <f>원천데이터!G2589</f>
        <v>0.38044048765903732</v>
      </c>
      <c r="N208" s="20">
        <f>원천데이터!G2855</f>
        <v>0.38242702918832466</v>
      </c>
      <c r="O208" s="20">
        <f>원천데이터!G3121</f>
        <v>0.39190920385999473</v>
      </c>
      <c r="P208" s="20">
        <f>원천데이터!G3388</f>
        <v>0.39503411105224256</v>
      </c>
      <c r="Q208" s="20">
        <f>원천데이터!G3656</f>
        <v>0.39161487369628423</v>
      </c>
      <c r="R208" s="20">
        <f t="shared" si="6"/>
        <v>0.38002677986363836</v>
      </c>
      <c r="S208" s="27">
        <f t="shared" si="7"/>
        <v>14</v>
      </c>
    </row>
    <row r="209" spans="1:19">
      <c r="A209" s="15" t="s">
        <v>364</v>
      </c>
      <c r="B209" s="15" t="s">
        <v>393</v>
      </c>
      <c r="C209" s="15" t="s">
        <v>394</v>
      </c>
      <c r="D209" s="20">
        <f>원천데이터!G194</f>
        <v>0.54047396991654117</v>
      </c>
      <c r="E209" s="20">
        <f>원천데이터!G457</f>
        <v>0.52976469716797114</v>
      </c>
      <c r="F209" s="20">
        <f>원천데이터!G724</f>
        <v>0.53202983669120019</v>
      </c>
      <c r="G209" s="20">
        <f>원천데이터!G992</f>
        <v>0.53237196164424294</v>
      </c>
      <c r="H209" s="20">
        <f>원천데이터!G1260</f>
        <v>0.53522422193497066</v>
      </c>
      <c r="I209" s="20">
        <f>원천데이터!G1526</f>
        <v>0.53465272776936257</v>
      </c>
      <c r="J209" s="20">
        <f>원천데이터!G1792</f>
        <v>0.5343067868583774</v>
      </c>
      <c r="K209" s="20">
        <f>원천데이터!G2058</f>
        <v>0.53624563155267102</v>
      </c>
      <c r="L209" s="20">
        <f>원천데이터!G2324</f>
        <v>0.54014690345625593</v>
      </c>
      <c r="M209" s="20">
        <f>원천데이터!G2590</f>
        <v>0.53650192115374495</v>
      </c>
      <c r="N209" s="20">
        <f>원천데이터!G2856</f>
        <v>0.53950190969497203</v>
      </c>
      <c r="O209" s="20">
        <f>원천데이터!G3122</f>
        <v>0.53299362404936879</v>
      </c>
      <c r="P209" s="20">
        <f>원천데이터!G3389</f>
        <v>0.53927257655043781</v>
      </c>
      <c r="Q209" s="20">
        <f>원천데이터!G3657</f>
        <v>0.54250990752972261</v>
      </c>
      <c r="R209" s="20">
        <f t="shared" si="6"/>
        <v>0.5361426197121314</v>
      </c>
      <c r="S209" s="27">
        <f t="shared" si="7"/>
        <v>14</v>
      </c>
    </row>
    <row r="210" spans="1:19">
      <c r="A210" s="15" t="s">
        <v>395</v>
      </c>
      <c r="B210" s="15" t="s">
        <v>22</v>
      </c>
      <c r="C210" s="15" t="s">
        <v>395</v>
      </c>
      <c r="D210" s="20">
        <f>원천데이터!G195</f>
        <v>0.29547311645308061</v>
      </c>
      <c r="E210" s="20">
        <f>원천데이터!G458</f>
        <v>0.29791224544942574</v>
      </c>
      <c r="F210" s="20">
        <f>원천데이터!G725</f>
        <v>0.30395399552804009</v>
      </c>
      <c r="G210" s="20">
        <f>원천데이터!G993</f>
        <v>0.30757612094394665</v>
      </c>
      <c r="H210" s="20">
        <f>원천데이터!G1261</f>
        <v>0.31148939607760384</v>
      </c>
      <c r="I210" s="20">
        <f>원천데이터!G1527</f>
        <v>0.31576796314982503</v>
      </c>
      <c r="J210" s="20">
        <f>원천데이터!G1793</f>
        <v>0.31819549537952957</v>
      </c>
      <c r="K210" s="20">
        <f>원천데이터!G2059</f>
        <v>0.31970252141444661</v>
      </c>
      <c r="L210" s="20">
        <f>원천데이터!G2325</f>
        <v>0.32163033925371665</v>
      </c>
      <c r="M210" s="20">
        <f>원천데이터!G2591</f>
        <v>0.29897231006823793</v>
      </c>
      <c r="N210" s="20">
        <f>원천데이터!G2857</f>
        <v>0.30112416988969504</v>
      </c>
      <c r="O210" s="20">
        <f>원천데이터!G3123</f>
        <v>0.3105992617684869</v>
      </c>
      <c r="P210" s="20">
        <f>원천데이터!G3390</f>
        <v>0.31581960779414919</v>
      </c>
      <c r="Q210" s="20">
        <f>원천데이터!G3658</f>
        <v>0.31397428287486689</v>
      </c>
      <c r="R210" s="20">
        <f t="shared" si="6"/>
        <v>0.3094422018603607</v>
      </c>
      <c r="S210" s="27">
        <f t="shared" si="7"/>
        <v>14</v>
      </c>
    </row>
    <row r="211" spans="1:19">
      <c r="A211" s="15" t="s">
        <v>395</v>
      </c>
      <c r="B211" s="15" t="s">
        <v>396</v>
      </c>
      <c r="C211" s="15" t="s">
        <v>397</v>
      </c>
      <c r="D211" s="20">
        <f>원천데이터!G196</f>
        <v>0.48241965973534973</v>
      </c>
      <c r="E211" s="20">
        <f>원천데이터!G459</f>
        <v>0.46672422841857553</v>
      </c>
      <c r="F211" s="20">
        <f>원천데이터!G726</f>
        <v>0.4715325017301622</v>
      </c>
      <c r="G211" s="20">
        <f>원천데이터!G994</f>
        <v>0.47240816881307551</v>
      </c>
      <c r="H211" s="20">
        <f>원천데이터!G1262</f>
        <v>0.47061676221487087</v>
      </c>
      <c r="I211" s="20">
        <f>원천데이터!G1528</f>
        <v>0.47137768058690743</v>
      </c>
      <c r="J211" s="20">
        <f>원천데이터!G1794</f>
        <v>0.46821452281413167</v>
      </c>
      <c r="K211" s="20">
        <f>원천데이터!G2060</f>
        <v>0.46781295487627367</v>
      </c>
      <c r="L211" s="20">
        <f>원천데이터!G2326</f>
        <v>0.46879919983700385</v>
      </c>
      <c r="M211" s="20">
        <f>원천데이터!G2592</f>
        <v>0.46012388695315526</v>
      </c>
      <c r="N211" s="20">
        <f>원천데이터!G2858</f>
        <v>0.45453126524241538</v>
      </c>
      <c r="O211" s="20">
        <f>원천데이터!G3124</f>
        <v>0.46306936306936308</v>
      </c>
      <c r="P211" s="20">
        <f>원천데이터!G3391</f>
        <v>0.47284707147933996</v>
      </c>
      <c r="Q211" s="20">
        <f>원천데이터!G3659</f>
        <v>0.47506361323155216</v>
      </c>
      <c r="R211" s="20">
        <f t="shared" si="6"/>
        <v>0.46896720564301259</v>
      </c>
      <c r="S211" s="27">
        <f t="shared" si="7"/>
        <v>14</v>
      </c>
    </row>
    <row r="212" spans="1:19">
      <c r="A212" s="15" t="s">
        <v>395</v>
      </c>
      <c r="B212" s="15" t="s">
        <v>398</v>
      </c>
      <c r="C212" s="15" t="s">
        <v>399</v>
      </c>
      <c r="D212" s="20">
        <f>원천데이터!G197</f>
        <v>0.42688256173428496</v>
      </c>
      <c r="E212" s="20">
        <f>원천데이터!G460</f>
        <v>0.42353032118424611</v>
      </c>
      <c r="F212" s="20">
        <f>원천데이터!G727</f>
        <v>0.42971531116811174</v>
      </c>
      <c r="G212" s="20">
        <f>원천데이터!G995</f>
        <v>0.43231741476407165</v>
      </c>
      <c r="H212" s="20">
        <f>원천데이터!G1263</f>
        <v>0.44097991180793727</v>
      </c>
      <c r="I212" s="20">
        <f>원천데이터!G1529</f>
        <v>0.44334232661482303</v>
      </c>
      <c r="J212" s="20">
        <f>원천데이터!G1795</f>
        <v>0.44991500909551785</v>
      </c>
      <c r="K212" s="20">
        <f>원천데이터!G2061</f>
        <v>0.45420321198285873</v>
      </c>
      <c r="L212" s="20">
        <f>원천데이터!G2327</f>
        <v>0.46054211094410424</v>
      </c>
      <c r="M212" s="20">
        <f>원천데이터!G2593</f>
        <v>0.44975617976344695</v>
      </c>
      <c r="N212" s="20">
        <f>원천데이터!G2859</f>
        <v>0.44724318914948208</v>
      </c>
      <c r="O212" s="20">
        <f>원천데이터!G3125</f>
        <v>0.45252263640941837</v>
      </c>
      <c r="P212" s="20">
        <f>원천데이터!G3392</f>
        <v>0.45787162868492576</v>
      </c>
      <c r="Q212" s="20">
        <f>원천데이터!G3660</f>
        <v>0.45971971546873341</v>
      </c>
      <c r="R212" s="20">
        <f t="shared" si="6"/>
        <v>0.44489582348371165</v>
      </c>
      <c r="S212" s="27">
        <f t="shared" si="7"/>
        <v>14</v>
      </c>
    </row>
    <row r="213" spans="1:19">
      <c r="A213" s="15" t="s">
        <v>395</v>
      </c>
      <c r="B213" s="15" t="s">
        <v>400</v>
      </c>
      <c r="C213" s="15" t="s">
        <v>401</v>
      </c>
      <c r="D213" s="20">
        <f>원천데이터!G198</f>
        <v>0.51350233654522148</v>
      </c>
      <c r="E213" s="20">
        <f>원천데이터!G461</f>
        <v>0.50707764469386041</v>
      </c>
      <c r="F213" s="20">
        <f>원천데이터!G728</f>
        <v>0.51092640043330628</v>
      </c>
      <c r="G213" s="20">
        <f>원천데이터!G996</f>
        <v>0.51352032247228752</v>
      </c>
      <c r="H213" s="20">
        <f>원천데이터!G1264</f>
        <v>0.52056853046146145</v>
      </c>
      <c r="I213" s="20">
        <f>원천데이터!G1530</f>
        <v>0.52473498233215543</v>
      </c>
      <c r="J213" s="20">
        <f>원천데이터!G1796</f>
        <v>0.5267102839357175</v>
      </c>
      <c r="K213" s="20">
        <f>원천데이터!G2062</f>
        <v>0.53042118342688205</v>
      </c>
      <c r="L213" s="20">
        <f>원천데이터!G2328</f>
        <v>0.53129724163617642</v>
      </c>
      <c r="M213" s="20">
        <f>원천데이터!G2594</f>
        <v>0.52410564561207373</v>
      </c>
      <c r="N213" s="20">
        <f>원천데이터!G2860</f>
        <v>0.520831393724979</v>
      </c>
      <c r="O213" s="20">
        <f>원천데이터!G3126</f>
        <v>0.51549747925756784</v>
      </c>
      <c r="P213" s="20">
        <f>원천데이터!G3393</f>
        <v>0.52510966916468649</v>
      </c>
      <c r="Q213" s="20">
        <f>원천데이터!G3661</f>
        <v>0.52974801679888006</v>
      </c>
      <c r="R213" s="20">
        <f t="shared" si="6"/>
        <v>0.52100365217823252</v>
      </c>
      <c r="S213" s="27">
        <f t="shared" si="7"/>
        <v>14</v>
      </c>
    </row>
    <row r="214" spans="1:19">
      <c r="A214" s="15" t="s">
        <v>395</v>
      </c>
      <c r="B214" s="15" t="s">
        <v>402</v>
      </c>
      <c r="C214" s="15" t="s">
        <v>403</v>
      </c>
      <c r="D214" s="20">
        <f>원천데이터!G199</f>
        <v>0.42202341871702465</v>
      </c>
      <c r="E214" s="20">
        <f>원천데이터!G462</f>
        <v>0.42234139948600935</v>
      </c>
      <c r="F214" s="20">
        <f>원천데이터!G729</f>
        <v>0.41893658446133875</v>
      </c>
      <c r="G214" s="20">
        <f>원천데이터!G997</f>
        <v>0.42024234242920966</v>
      </c>
      <c r="H214" s="20">
        <f>원천데이터!G1265</f>
        <v>0.42263216853973185</v>
      </c>
      <c r="I214" s="20">
        <f>원천데이터!G1531</f>
        <v>0.42862801295973224</v>
      </c>
      <c r="J214" s="20">
        <f>원천데이터!G1797</f>
        <v>0.4289110518381074</v>
      </c>
      <c r="K214" s="20">
        <f>원천데이터!G2063</f>
        <v>0.43427889526896113</v>
      </c>
      <c r="L214" s="20">
        <f>원천데이터!G2329</f>
        <v>0.4400147461554666</v>
      </c>
      <c r="M214" s="20">
        <f>원천데이터!G2595</f>
        <v>0.4229289297619771</v>
      </c>
      <c r="N214" s="20">
        <f>원천데이터!G2861</f>
        <v>0.42411142463963525</v>
      </c>
      <c r="O214" s="20">
        <f>원천데이터!G3127</f>
        <v>0.42646495677952612</v>
      </c>
      <c r="P214" s="20">
        <f>원천데이터!G3394</f>
        <v>0.43141171952866458</v>
      </c>
      <c r="Q214" s="20">
        <f>원천데이터!G3662</f>
        <v>0.43596973541989753</v>
      </c>
      <c r="R214" s="20">
        <f t="shared" si="6"/>
        <v>0.42706395614180587</v>
      </c>
      <c r="S214" s="27">
        <f t="shared" si="7"/>
        <v>14</v>
      </c>
    </row>
    <row r="215" spans="1:19">
      <c r="A215" s="15" t="s">
        <v>395</v>
      </c>
      <c r="B215" s="15" t="s">
        <v>404</v>
      </c>
      <c r="C215" s="15" t="s">
        <v>405</v>
      </c>
      <c r="D215" s="20">
        <f>원천데이터!G200</f>
        <v>0.47958150523118459</v>
      </c>
      <c r="E215" s="20">
        <f>원천데이터!G463</f>
        <v>0.47978521033494664</v>
      </c>
      <c r="F215" s="20">
        <f>원천데이터!G730</f>
        <v>0.484420490363562</v>
      </c>
      <c r="G215" s="20">
        <f>원천데이터!G998</f>
        <v>0.48682454969979988</v>
      </c>
      <c r="H215" s="20">
        <f>원천데이터!G1266</f>
        <v>0.4915719696969697</v>
      </c>
      <c r="I215" s="20">
        <f>원천데이터!G1532</f>
        <v>0.4989103690685413</v>
      </c>
      <c r="J215" s="20">
        <f>원천데이터!G1798</f>
        <v>0.50517208952416781</v>
      </c>
      <c r="K215" s="20">
        <f>원천데이터!G2064</f>
        <v>0.50921848878005138</v>
      </c>
      <c r="L215" s="20">
        <f>원천데이터!G2330</f>
        <v>0.51032298617155014</v>
      </c>
      <c r="M215" s="20">
        <f>원천데이터!G2596</f>
        <v>0.49634868757021755</v>
      </c>
      <c r="N215" s="20">
        <f>원천데이터!G2862</f>
        <v>0.49846445206531198</v>
      </c>
      <c r="O215" s="20">
        <f>원천데이터!G3128</f>
        <v>0.48968544987403029</v>
      </c>
      <c r="P215" s="20">
        <f>원천데이터!G3395</f>
        <v>0.50015297537096526</v>
      </c>
      <c r="Q215" s="20">
        <f>원천데이터!G3663</f>
        <v>0.50260833634626312</v>
      </c>
      <c r="R215" s="20">
        <f t="shared" si="6"/>
        <v>0.49521911143554009</v>
      </c>
      <c r="S215" s="27">
        <f t="shared" si="7"/>
        <v>14</v>
      </c>
    </row>
    <row r="216" spans="1:19">
      <c r="A216" s="15" t="s">
        <v>395</v>
      </c>
      <c r="B216" s="15" t="s">
        <v>406</v>
      </c>
      <c r="C216" s="15" t="s">
        <v>407</v>
      </c>
      <c r="D216" s="20">
        <f>원천데이터!G201</f>
        <v>0.44581260965441755</v>
      </c>
      <c r="E216" s="20">
        <f>원천데이터!G464</f>
        <v>0.45356923787749642</v>
      </c>
      <c r="F216" s="20">
        <f>원천데이터!G731</f>
        <v>0.45844008534873204</v>
      </c>
      <c r="G216" s="20">
        <f>원천데이터!G999</f>
        <v>0.4777804064624942</v>
      </c>
      <c r="H216" s="20">
        <f>원천데이터!G1267</f>
        <v>0.4980712895697279</v>
      </c>
      <c r="I216" s="20">
        <f>원천데이터!G1533</f>
        <v>0.4899713281598892</v>
      </c>
      <c r="J216" s="20">
        <f>원천데이터!G1799</f>
        <v>0.4818134699228635</v>
      </c>
      <c r="K216" s="20">
        <f>원천데이터!G2065</f>
        <v>0.47972438522789196</v>
      </c>
      <c r="L216" s="20">
        <f>원천데이터!G2331</f>
        <v>0.47562237366118132</v>
      </c>
      <c r="M216" s="20">
        <f>원천데이터!G2597</f>
        <v>0.46026698665066745</v>
      </c>
      <c r="N216" s="20">
        <f>원천데이터!G2863</f>
        <v>0.4503414337290883</v>
      </c>
      <c r="O216" s="20">
        <f>원천데이터!G3129</f>
        <v>0.44503375388879302</v>
      </c>
      <c r="P216" s="20">
        <f>원천데이터!G3396</f>
        <v>0.45297413935463982</v>
      </c>
      <c r="Q216" s="20">
        <f>원천데이터!G3664</f>
        <v>0.44882826905669232</v>
      </c>
      <c r="R216" s="20">
        <f t="shared" si="6"/>
        <v>0.46558926918318388</v>
      </c>
      <c r="S216" s="27">
        <f t="shared" si="7"/>
        <v>14</v>
      </c>
    </row>
    <row r="217" spans="1:19">
      <c r="A217" s="15" t="s">
        <v>395</v>
      </c>
      <c r="B217" s="15" t="s">
        <v>408</v>
      </c>
      <c r="C217" s="15" t="s">
        <v>409</v>
      </c>
      <c r="D217" s="20">
        <f>원천데이터!G202</f>
        <v>0.52250395506465985</v>
      </c>
      <c r="E217" s="20">
        <f>원천데이터!G465</f>
        <v>0.52277970853654976</v>
      </c>
      <c r="F217" s="20">
        <f>원천데이터!G732</f>
        <v>0.52585207512172505</v>
      </c>
      <c r="G217" s="20">
        <f>원천데이터!G1000</f>
        <v>0.52591062711227943</v>
      </c>
      <c r="H217" s="20">
        <f>원천데이터!G1268</f>
        <v>0.53101999420457835</v>
      </c>
      <c r="I217" s="20">
        <f>원천데이터!G1534</f>
        <v>0.53727370304114486</v>
      </c>
      <c r="J217" s="20">
        <f>원천데이터!G1800</f>
        <v>0.54263002692422757</v>
      </c>
      <c r="K217" s="20">
        <f>원천데이터!G2066</f>
        <v>0.54470825064603168</v>
      </c>
      <c r="L217" s="20">
        <f>원천데이터!G2332</f>
        <v>0.54789739759866718</v>
      </c>
      <c r="M217" s="20">
        <f>원천데이터!G2598</f>
        <v>0.54624753127057279</v>
      </c>
      <c r="N217" s="20">
        <f>원천데이터!G2864</f>
        <v>0.54599001175088135</v>
      </c>
      <c r="O217" s="20">
        <f>원천데이터!G3130</f>
        <v>0.52706552706552712</v>
      </c>
      <c r="P217" s="20">
        <f>원천데이터!G3397</f>
        <v>0.53759659695143569</v>
      </c>
      <c r="Q217" s="20">
        <f>원천데이터!G3665</f>
        <v>0.53810273369243433</v>
      </c>
      <c r="R217" s="20">
        <f t="shared" si="6"/>
        <v>0.53539843849862245</v>
      </c>
      <c r="S217" s="27">
        <f t="shared" si="7"/>
        <v>14</v>
      </c>
    </row>
    <row r="218" spans="1:19">
      <c r="A218" s="15" t="s">
        <v>395</v>
      </c>
      <c r="B218" s="15" t="s">
        <v>410</v>
      </c>
      <c r="C218" s="15" t="s">
        <v>411</v>
      </c>
      <c r="D218" s="20">
        <f>원천데이터!G203</f>
        <v>0.27922168727650476</v>
      </c>
      <c r="E218" s="20">
        <f>원천데이터!G466</f>
        <v>0.28282834927442801</v>
      </c>
      <c r="F218" s="20">
        <f>원천데이터!G733</f>
        <v>0.30295887271117133</v>
      </c>
      <c r="G218" s="20">
        <f>원천데이터!G1001</f>
        <v>0.30601863920750783</v>
      </c>
      <c r="H218" s="20">
        <f>원천데이터!G1269</f>
        <v>0.31002930990272226</v>
      </c>
      <c r="I218" s="20">
        <f>원천데이터!G1535</f>
        <v>0.32176574598331409</v>
      </c>
      <c r="J218" s="20">
        <f>원천데이터!G1801</f>
        <v>0.32435682742478811</v>
      </c>
      <c r="K218" s="20">
        <f>원천데이터!G2067</f>
        <v>0.33026977032979116</v>
      </c>
      <c r="L218" s="20">
        <f>원천데이터!G2333</f>
        <v>0.33500853220260102</v>
      </c>
      <c r="M218" s="20">
        <f>원천데이터!G2599</f>
        <v>0.31926946058205802</v>
      </c>
      <c r="N218" s="20">
        <f>원천데이터!G2865</f>
        <v>0.31792210515280178</v>
      </c>
      <c r="O218" s="20">
        <f>원천데이터!G3131</f>
        <v>0.33364686732842352</v>
      </c>
      <c r="P218" s="20">
        <f>원천데이터!G3398</f>
        <v>0.33983288788099675</v>
      </c>
      <c r="Q218" s="20">
        <f>원천데이터!G3666</f>
        <v>0.33636025978804573</v>
      </c>
      <c r="R218" s="20">
        <f t="shared" si="6"/>
        <v>0.31710637964608246</v>
      </c>
      <c r="S218" s="27">
        <f t="shared" si="7"/>
        <v>14</v>
      </c>
    </row>
    <row r="219" spans="1:19">
      <c r="A219" s="15" t="s">
        <v>395</v>
      </c>
      <c r="B219" s="15" t="s">
        <v>412</v>
      </c>
      <c r="C219" s="15" t="s">
        <v>413</v>
      </c>
      <c r="D219" s="20">
        <f>원천데이터!G204</f>
        <v>0.55043219732423054</v>
      </c>
      <c r="E219" s="20">
        <f>원천데이터!G467</f>
        <v>0.54107396870554769</v>
      </c>
      <c r="F219" s="20">
        <f>원천데이터!G734</f>
        <v>0.53199364535420501</v>
      </c>
      <c r="G219" s="20">
        <f>원천데이터!G1002</f>
        <v>0.52544037511088582</v>
      </c>
      <c r="H219" s="20">
        <f>원천데이터!G1270</f>
        <v>0.52189420074291548</v>
      </c>
      <c r="I219" s="20">
        <f>원천데이터!G1536</f>
        <v>0.51612128164189053</v>
      </c>
      <c r="J219" s="20">
        <f>원천데이터!G1802</f>
        <v>0.51728112369565549</v>
      </c>
      <c r="K219" s="20">
        <f>원천데이터!G2068</f>
        <v>0.51091166307196367</v>
      </c>
      <c r="L219" s="20">
        <f>원천데이터!G2334</f>
        <v>0.50872975117874986</v>
      </c>
      <c r="M219" s="20">
        <f>원천데이터!G2600</f>
        <v>0.51016204548218413</v>
      </c>
      <c r="N219" s="20">
        <f>원천데이터!G2866</f>
        <v>0.50945664936130486</v>
      </c>
      <c r="O219" s="20">
        <f>원천데이터!G3132</f>
        <v>0.49543375933698991</v>
      </c>
      <c r="P219" s="20">
        <f>원천데이터!G3399</f>
        <v>0.50058971056734225</v>
      </c>
      <c r="Q219" s="20">
        <f>원천데이터!G3667</f>
        <v>0.50541003411972441</v>
      </c>
      <c r="R219" s="20">
        <f t="shared" si="6"/>
        <v>0.5174950289781135</v>
      </c>
      <c r="S219" s="27">
        <f t="shared" si="7"/>
        <v>14</v>
      </c>
    </row>
    <row r="220" spans="1:19">
      <c r="A220" s="15" t="s">
        <v>395</v>
      </c>
      <c r="B220" s="15" t="s">
        <v>414</v>
      </c>
      <c r="C220" s="15" t="s">
        <v>415</v>
      </c>
      <c r="D220" s="20">
        <f>원천데이터!G205</f>
        <v>0.47852285443746234</v>
      </c>
      <c r="E220" s="20">
        <f>원천데이터!G468</f>
        <v>0.48635907723169508</v>
      </c>
      <c r="F220" s="20">
        <f>원천데이터!G735</f>
        <v>0.48670394306876769</v>
      </c>
      <c r="G220" s="20">
        <f>원천데이터!G1003</f>
        <v>0.48926195017544882</v>
      </c>
      <c r="H220" s="20">
        <f>원천데이터!G1271</f>
        <v>0.49410042453520714</v>
      </c>
      <c r="I220" s="20">
        <f>원천데이터!G1537</f>
        <v>0.49908684612986087</v>
      </c>
      <c r="J220" s="20">
        <f>원천데이터!G1803</f>
        <v>0.50316984655232133</v>
      </c>
      <c r="K220" s="20">
        <f>원천데이터!G2069</f>
        <v>0.50474168868255886</v>
      </c>
      <c r="L220" s="20">
        <f>원천데이터!G2335</f>
        <v>0.50500885760421399</v>
      </c>
      <c r="M220" s="20">
        <f>원천데이터!G2601</f>
        <v>0.49436062207058745</v>
      </c>
      <c r="N220" s="20">
        <f>원천데이터!G2867</f>
        <v>0.49309664694280081</v>
      </c>
      <c r="O220" s="20">
        <f>원천데이터!G3133</f>
        <v>0.49040508235910535</v>
      </c>
      <c r="P220" s="20">
        <f>원천데이터!G3400</f>
        <v>0.50029910269192424</v>
      </c>
      <c r="Q220" s="20">
        <f>원천데이터!G3668</f>
        <v>0.50506100470315585</v>
      </c>
      <c r="R220" s="20">
        <f t="shared" si="6"/>
        <v>0.49501271051322215</v>
      </c>
      <c r="S220" s="27">
        <f t="shared" si="7"/>
        <v>14</v>
      </c>
    </row>
    <row r="221" spans="1:19">
      <c r="A221" s="15" t="s">
        <v>395</v>
      </c>
      <c r="B221" s="15" t="s">
        <v>416</v>
      </c>
      <c r="C221" s="15" t="s">
        <v>417</v>
      </c>
      <c r="D221" s="20">
        <f>원천데이터!G206</f>
        <v>0.28539046834556381</v>
      </c>
      <c r="E221" s="20">
        <f>원천데이터!G469</f>
        <v>0.28958341946877564</v>
      </c>
      <c r="F221" s="20">
        <f>원천데이터!G736</f>
        <v>0.29473188759500735</v>
      </c>
      <c r="G221" s="20">
        <f>원천데이터!G1004</f>
        <v>0.29698053523091628</v>
      </c>
      <c r="H221" s="20">
        <f>원천데이터!G1272</f>
        <v>0.30064791022746268</v>
      </c>
      <c r="I221" s="20">
        <f>원천데이터!G1538</f>
        <v>0.30277369472775972</v>
      </c>
      <c r="J221" s="20">
        <f>원천데이터!G1804</f>
        <v>0.30585321725922904</v>
      </c>
      <c r="K221" s="20">
        <f>원천데이터!G2070</f>
        <v>0.30147269944721505</v>
      </c>
      <c r="L221" s="20">
        <f>원천데이터!G2336</f>
        <v>0.30102462609915576</v>
      </c>
      <c r="M221" s="20">
        <f>원천데이터!G2602</f>
        <v>0.28412187196350874</v>
      </c>
      <c r="N221" s="20">
        <f>원천데이터!G2868</f>
        <v>0.28350487517441908</v>
      </c>
      <c r="O221" s="20">
        <f>원천데이터!G3134</f>
        <v>0.295621064448362</v>
      </c>
      <c r="P221" s="20">
        <f>원천데이터!G3401</f>
        <v>0.30034094290230035</v>
      </c>
      <c r="Q221" s="20">
        <f>원천데이터!G3669</f>
        <v>0.29816636913411104</v>
      </c>
      <c r="R221" s="20">
        <f t="shared" si="6"/>
        <v>0.29572954157312764</v>
      </c>
      <c r="S221" s="27">
        <f t="shared" si="7"/>
        <v>14</v>
      </c>
    </row>
    <row r="222" spans="1:19">
      <c r="A222" s="15" t="s">
        <v>395</v>
      </c>
      <c r="B222" s="15" t="s">
        <v>418</v>
      </c>
      <c r="C222" s="15" t="s">
        <v>419</v>
      </c>
      <c r="D222" s="20">
        <f>원천데이터!G207</f>
        <v>0.56977457330481218</v>
      </c>
      <c r="E222" s="20">
        <f>원천데이터!G470</f>
        <v>0.56660612701319368</v>
      </c>
      <c r="F222" s="20">
        <f>원천데이터!G737</f>
        <v>0.57026504072357465</v>
      </c>
      <c r="G222" s="20">
        <f>원천데이터!G1005</f>
        <v>0.57234039327460995</v>
      </c>
      <c r="H222" s="20">
        <f>원천데이터!G1273</f>
        <v>0.57611844713488458</v>
      </c>
      <c r="I222" s="20">
        <f>원천데이터!G1539</f>
        <v>0.58049984572662761</v>
      </c>
      <c r="J222" s="20">
        <f>원천데이터!G1805</f>
        <v>0.58479714946552475</v>
      </c>
      <c r="K222" s="20">
        <f>원천데이터!G2071</f>
        <v>0.58413210591249887</v>
      </c>
      <c r="L222" s="20">
        <f>원천데이터!G2337</f>
        <v>0.58833073727933538</v>
      </c>
      <c r="M222" s="20">
        <f>원천데이터!G2603</f>
        <v>0.5887393949781472</v>
      </c>
      <c r="N222" s="20">
        <f>원천데이터!G2869</f>
        <v>0.59019956189523437</v>
      </c>
      <c r="O222" s="20">
        <f>원천데이터!G3135</f>
        <v>0.58413890666576851</v>
      </c>
      <c r="P222" s="20">
        <f>원천데이터!G3402</f>
        <v>0.59607416966650817</v>
      </c>
      <c r="Q222" s="20">
        <f>원천데이터!G3670</f>
        <v>0.60614367215473963</v>
      </c>
      <c r="R222" s="20">
        <f t="shared" si="6"/>
        <v>0.58272572322824712</v>
      </c>
      <c r="S222" s="27">
        <f t="shared" si="7"/>
        <v>14</v>
      </c>
    </row>
    <row r="223" spans="1:19">
      <c r="A223" s="15" t="s">
        <v>395</v>
      </c>
      <c r="B223" s="15" t="s">
        <v>420</v>
      </c>
      <c r="C223" s="15" t="s">
        <v>421</v>
      </c>
      <c r="D223" s="20">
        <f>원천데이터!G208</f>
        <v>0.28205648411141188</v>
      </c>
      <c r="E223" s="20">
        <f>원천데이터!G471</f>
        <v>0.2755823726011945</v>
      </c>
      <c r="F223" s="20">
        <f>원천데이터!G738</f>
        <v>0.28732091690544415</v>
      </c>
      <c r="G223" s="20">
        <f>원천데이터!G1006</f>
        <v>0.29110096898427973</v>
      </c>
      <c r="H223" s="20">
        <f>원천데이터!G1274</f>
        <v>0.29430082384563272</v>
      </c>
      <c r="I223" s="20">
        <f>원천데이터!G1540</f>
        <v>0.30026336752775928</v>
      </c>
      <c r="J223" s="20">
        <f>원천데이터!G1806</f>
        <v>0.30183922612718211</v>
      </c>
      <c r="K223" s="20">
        <f>원천데이터!G2072</f>
        <v>0.30518032715565996</v>
      </c>
      <c r="L223" s="20">
        <f>원천데이터!G2338</f>
        <v>0.30989376624223908</v>
      </c>
      <c r="M223" s="20">
        <f>원천데이터!G2604</f>
        <v>0.28414706067598439</v>
      </c>
      <c r="N223" s="20">
        <f>원천데이터!G2870</f>
        <v>0.29262767768578601</v>
      </c>
      <c r="O223" s="20">
        <f>원천데이터!G3136</f>
        <v>0.30502906929314572</v>
      </c>
      <c r="P223" s="20">
        <f>원천데이터!G3403</f>
        <v>0.30775654161195864</v>
      </c>
      <c r="Q223" s="20">
        <f>원천데이터!G3671</f>
        <v>0.30678718361506124</v>
      </c>
      <c r="R223" s="20">
        <f t="shared" si="6"/>
        <v>0.29599184188448147</v>
      </c>
      <c r="S223" s="27">
        <f t="shared" si="7"/>
        <v>14</v>
      </c>
    </row>
    <row r="224" spans="1:19">
      <c r="A224" s="15" t="s">
        <v>395</v>
      </c>
      <c r="B224" s="15" t="s">
        <v>422</v>
      </c>
      <c r="C224" s="15" t="s">
        <v>423</v>
      </c>
      <c r="D224" s="20">
        <f>원천데이터!G209</f>
        <v>0.40110206221153971</v>
      </c>
      <c r="E224" s="20">
        <f>원천데이터!G472</f>
        <v>0.40874668686103749</v>
      </c>
      <c r="F224" s="20">
        <f>원천데이터!G739</f>
        <v>0.41973550607989302</v>
      </c>
      <c r="G224" s="20">
        <f>원천데이터!G1007</f>
        <v>0.41873243677238059</v>
      </c>
      <c r="H224" s="20">
        <f>원천데이터!G1275</f>
        <v>0.42080476226358227</v>
      </c>
      <c r="I224" s="20">
        <f>원천데이터!G1541</f>
        <v>0.42375353662370324</v>
      </c>
      <c r="J224" s="20">
        <f>원천데이터!G1807</f>
        <v>0.43018182735228105</v>
      </c>
      <c r="K224" s="20">
        <f>원천데이터!G2073</f>
        <v>0.43188946880516083</v>
      </c>
      <c r="L224" s="20">
        <f>원천데이터!G2339</f>
        <v>0.43902872672779458</v>
      </c>
      <c r="M224" s="20">
        <f>원천데이터!G2605</f>
        <v>0.42367228371236065</v>
      </c>
      <c r="N224" s="20">
        <f>원천데이터!G2871</f>
        <v>0.4251552669513789</v>
      </c>
      <c r="O224" s="20">
        <f>원천데이터!G3137</f>
        <v>0.43594552929085301</v>
      </c>
      <c r="P224" s="20">
        <f>원천데이터!G3404</f>
        <v>0.44299905698156594</v>
      </c>
      <c r="Q224" s="20">
        <f>원천데이터!G3672</f>
        <v>0.44764777464205269</v>
      </c>
      <c r="R224" s="20">
        <f t="shared" si="6"/>
        <v>0.42638535180539883</v>
      </c>
      <c r="S224" s="27">
        <f t="shared" si="7"/>
        <v>14</v>
      </c>
    </row>
    <row r="225" spans="1:19">
      <c r="A225" s="15" t="s">
        <v>395</v>
      </c>
      <c r="B225" s="15" t="s">
        <v>424</v>
      </c>
      <c r="C225" s="15" t="s">
        <v>425</v>
      </c>
      <c r="D225" s="20">
        <f>원천데이터!G210</f>
        <v>0.52303073231068498</v>
      </c>
      <c r="E225" s="20">
        <f>원천데이터!G473</f>
        <v>0.52554522684161431</v>
      </c>
      <c r="F225" s="20">
        <f>원천데이터!G740</f>
        <v>0.52683550560348991</v>
      </c>
      <c r="G225" s="20">
        <f>원천데이터!G1008</f>
        <v>0.53396463838590658</v>
      </c>
      <c r="H225" s="20">
        <f>원천데이터!G1276</f>
        <v>0.53866380466863428</v>
      </c>
      <c r="I225" s="20">
        <f>원천데이터!G1542</f>
        <v>0.54314105155648229</v>
      </c>
      <c r="J225" s="20">
        <f>원천데이터!G1808</f>
        <v>0.54821985634512693</v>
      </c>
      <c r="K225" s="20">
        <f>원천데이터!G2074</f>
        <v>0.54828251553700835</v>
      </c>
      <c r="L225" s="20">
        <f>원천데이터!G2340</f>
        <v>0.55132986718028076</v>
      </c>
      <c r="M225" s="20">
        <f>원천데이터!G2606</f>
        <v>0.54644208188244003</v>
      </c>
      <c r="N225" s="20">
        <f>원천데이터!G2872</f>
        <v>0.54724964739069115</v>
      </c>
      <c r="O225" s="20">
        <f>원천데이터!G3138</f>
        <v>0.53053392904538621</v>
      </c>
      <c r="P225" s="20">
        <f>원천데이터!G3405</f>
        <v>0.53424911622223192</v>
      </c>
      <c r="Q225" s="20">
        <f>원천데이터!G3673</f>
        <v>0.53071374460656762</v>
      </c>
      <c r="R225" s="20">
        <f t="shared" si="6"/>
        <v>0.53772869411261037</v>
      </c>
      <c r="S225" s="27">
        <f t="shared" si="7"/>
        <v>14</v>
      </c>
    </row>
    <row r="226" spans="1:19">
      <c r="A226" s="15" t="s">
        <v>395</v>
      </c>
      <c r="B226" s="15" t="s">
        <v>426</v>
      </c>
      <c r="C226" s="15" t="s">
        <v>427</v>
      </c>
      <c r="D226" s="20">
        <f>원천데이터!G211</f>
        <v>0.47115108944954126</v>
      </c>
      <c r="E226" s="20">
        <f>원천데이터!G474</f>
        <v>0.47804550118529526</v>
      </c>
      <c r="F226" s="20">
        <f>원천데이터!G741</f>
        <v>0.48234308240681728</v>
      </c>
      <c r="G226" s="20">
        <f>원천데이터!G1009</f>
        <v>0.48881762771011894</v>
      </c>
      <c r="H226" s="20">
        <f>원천데이터!G1277</f>
        <v>0.4923634572072072</v>
      </c>
      <c r="I226" s="20">
        <f>원천데이터!G1543</f>
        <v>0.49475427940364441</v>
      </c>
      <c r="J226" s="20">
        <f>원천데이터!G1809</f>
        <v>0.50237468259193074</v>
      </c>
      <c r="K226" s="20">
        <f>원천데이터!G2075</f>
        <v>0.50036702026899038</v>
      </c>
      <c r="L226" s="20">
        <f>원천데이터!G2341</f>
        <v>0.50242129303026317</v>
      </c>
      <c r="M226" s="20">
        <f>원천데이터!G2607</f>
        <v>0.49209261686325906</v>
      </c>
      <c r="N226" s="20">
        <f>원천데이터!G2873</f>
        <v>0.49051194024220018</v>
      </c>
      <c r="O226" s="20">
        <f>원천데이터!G3139</f>
        <v>0.48854186032100144</v>
      </c>
      <c r="P226" s="20">
        <f>원천데이터!G3406</f>
        <v>0.49485332286694605</v>
      </c>
      <c r="Q226" s="20">
        <f>원천데이터!G3674</f>
        <v>0.49536017004069571</v>
      </c>
      <c r="R226" s="20">
        <f t="shared" si="6"/>
        <v>0.4909998531134222</v>
      </c>
      <c r="S226" s="27">
        <f t="shared" si="7"/>
        <v>14</v>
      </c>
    </row>
    <row r="227" spans="1:19">
      <c r="A227" s="15" t="s">
        <v>395</v>
      </c>
      <c r="B227" s="15" t="s">
        <v>428</v>
      </c>
      <c r="C227" s="15" t="s">
        <v>429</v>
      </c>
      <c r="D227" s="20">
        <f>원천데이터!G212</f>
        <v>0.5230629097044901</v>
      </c>
      <c r="E227" s="20">
        <f>원천데이터!G475</f>
        <v>0.52877772506227017</v>
      </c>
      <c r="F227" s="20">
        <f>원천데이터!G742</f>
        <v>0.54075400786892946</v>
      </c>
      <c r="G227" s="20">
        <f>원천데이터!G1010</f>
        <v>0.53781192828393709</v>
      </c>
      <c r="H227" s="20">
        <f>원천데이터!G1278</f>
        <v>0.5446522501461134</v>
      </c>
      <c r="I227" s="20">
        <f>원천데이터!G1544</f>
        <v>0.54976337612342074</v>
      </c>
      <c r="J227" s="20">
        <f>원천데이터!G1810</f>
        <v>0.55470148927807139</v>
      </c>
      <c r="K227" s="20">
        <f>원천데이터!G2076</f>
        <v>0.55576275878145076</v>
      </c>
      <c r="L227" s="20">
        <f>원천데이터!G2342</f>
        <v>0.55997090909090907</v>
      </c>
      <c r="M227" s="20">
        <f>원천데이터!G2608</f>
        <v>0.55167554509415262</v>
      </c>
      <c r="N227" s="20">
        <f>원천데이터!G2874</f>
        <v>0.54951298701298701</v>
      </c>
      <c r="O227" s="20">
        <f>원천데이터!G3140</f>
        <v>0.54769428926597674</v>
      </c>
      <c r="P227" s="20">
        <f>원천데이터!G3407</f>
        <v>0.55444048775223909</v>
      </c>
      <c r="Q227" s="20">
        <f>원천데이터!G3675</f>
        <v>0.55727505538185984</v>
      </c>
      <c r="R227" s="20">
        <f t="shared" si="6"/>
        <v>0.5468468370604862</v>
      </c>
      <c r="S227" s="27">
        <f t="shared" si="7"/>
        <v>14</v>
      </c>
    </row>
    <row r="228" spans="1:19">
      <c r="A228" s="15" t="s">
        <v>395</v>
      </c>
      <c r="B228" s="15" t="s">
        <v>430</v>
      </c>
      <c r="C228" s="15" t="s">
        <v>431</v>
      </c>
      <c r="D228" s="20">
        <f>원천데이터!G213</f>
        <v>0.43257692371352435</v>
      </c>
      <c r="E228" s="20">
        <f>원천데이터!G476</f>
        <v>0.44508708084221471</v>
      </c>
      <c r="F228" s="20">
        <f>원천데이터!G743</f>
        <v>0.45639483743023013</v>
      </c>
      <c r="G228" s="20">
        <f>원천데이터!G1011</f>
        <v>0.47305821434175427</v>
      </c>
      <c r="H228" s="20">
        <f>원천데이터!G1279</f>
        <v>0.48819041806530361</v>
      </c>
      <c r="I228" s="20">
        <f>원천데이터!G1545</f>
        <v>0.463865491134345</v>
      </c>
      <c r="J228" s="20">
        <f>원천데이터!G1811</f>
        <v>0.46557632140906158</v>
      </c>
      <c r="K228" s="20">
        <f>원천데이터!G2077</f>
        <v>0.46714962943179544</v>
      </c>
      <c r="L228" s="20">
        <f>원천데이터!G2343</f>
        <v>0.47178823094128924</v>
      </c>
      <c r="M228" s="20">
        <f>원천데이터!G2609</f>
        <v>0.45992376562361492</v>
      </c>
      <c r="N228" s="20">
        <f>원천데이터!G2875</f>
        <v>0.45841371725294339</v>
      </c>
      <c r="O228" s="20">
        <f>원천데이터!G3141</f>
        <v>0.45791400626116485</v>
      </c>
      <c r="P228" s="20">
        <f>원천데이터!G3408</f>
        <v>0.46835645962843553</v>
      </c>
      <c r="Q228" s="20">
        <f>원천데이터!G3676</f>
        <v>0.46720395640626433</v>
      </c>
      <c r="R228" s="20">
        <f t="shared" si="6"/>
        <v>0.46253564660585295</v>
      </c>
      <c r="S228" s="27">
        <f t="shared" si="7"/>
        <v>14</v>
      </c>
    </row>
    <row r="229" spans="1:19">
      <c r="A229" s="15" t="s">
        <v>395</v>
      </c>
      <c r="B229" s="15" t="s">
        <v>432</v>
      </c>
      <c r="C229" s="15" t="s">
        <v>433</v>
      </c>
      <c r="D229" s="20">
        <f>원천데이터!G214</f>
        <v>0.48769557658875795</v>
      </c>
      <c r="E229" s="20">
        <f>원천데이터!G477</f>
        <v>0.48735234690705626</v>
      </c>
      <c r="F229" s="20">
        <f>원천데이터!G744</f>
        <v>0.49632116161517592</v>
      </c>
      <c r="G229" s="20">
        <f>원천데이터!G1012</f>
        <v>0.49429322246626922</v>
      </c>
      <c r="H229" s="20">
        <f>원천데이터!G1280</f>
        <v>0.50503002417530996</v>
      </c>
      <c r="I229" s="20">
        <f>원천데이터!G1546</f>
        <v>0.50658607178719806</v>
      </c>
      <c r="J229" s="20">
        <f>원천데이터!G1812</f>
        <v>0.50668441230805905</v>
      </c>
      <c r="K229" s="20">
        <f>원천데이터!G2078</f>
        <v>0.50941739824421384</v>
      </c>
      <c r="L229" s="20">
        <f>원천데이터!G2344</f>
        <v>0.5091673573348966</v>
      </c>
      <c r="M229" s="20">
        <f>원천데이터!G2610</f>
        <v>0.50894578625479425</v>
      </c>
      <c r="N229" s="20">
        <f>원천데이터!G2876</f>
        <v>0.50624960611726155</v>
      </c>
      <c r="O229" s="20">
        <f>원천데이터!G3142</f>
        <v>0.50435774211941031</v>
      </c>
      <c r="P229" s="20">
        <f>원천데이터!G3409</f>
        <v>0.50573944984764374</v>
      </c>
      <c r="Q229" s="20">
        <f>원천데이터!G3677</f>
        <v>0.50661585688578381</v>
      </c>
      <c r="R229" s="20">
        <f t="shared" si="6"/>
        <v>0.50246114376084505</v>
      </c>
      <c r="S229" s="27">
        <f t="shared" si="7"/>
        <v>14</v>
      </c>
    </row>
    <row r="230" spans="1:19">
      <c r="A230" s="15" t="s">
        <v>395</v>
      </c>
      <c r="B230" s="15" t="s">
        <v>434</v>
      </c>
      <c r="C230" s="15" t="s">
        <v>435</v>
      </c>
      <c r="D230" s="20">
        <f>원천데이터!G215</f>
        <v>0.51470107807905918</v>
      </c>
      <c r="E230" s="20">
        <f>원천데이터!G478</f>
        <v>0.51898296447291792</v>
      </c>
      <c r="F230" s="20">
        <f>원천데이터!G745</f>
        <v>0.52135754037040416</v>
      </c>
      <c r="G230" s="20">
        <f>원천데이터!G1013</f>
        <v>0.52527298506638187</v>
      </c>
      <c r="H230" s="20">
        <f>원천데이터!G1281</f>
        <v>0.53535873985609927</v>
      </c>
      <c r="I230" s="20">
        <f>원천데이터!G1547</f>
        <v>0.54070589110383815</v>
      </c>
      <c r="J230" s="20">
        <f>원천데이터!G1813</f>
        <v>0.54431563201196709</v>
      </c>
      <c r="K230" s="20">
        <f>원천데이터!G2079</f>
        <v>0.54917534392338674</v>
      </c>
      <c r="L230" s="20">
        <f>원천데이터!G2345</f>
        <v>0.5458602646968298</v>
      </c>
      <c r="M230" s="20">
        <f>원천데이터!G2611</f>
        <v>0.54439214413244608</v>
      </c>
      <c r="N230" s="20">
        <f>원천데이터!G2877</f>
        <v>0.54437298374668663</v>
      </c>
      <c r="O230" s="20">
        <f>원천데이터!G3143</f>
        <v>0.53706886215578908</v>
      </c>
      <c r="P230" s="20">
        <f>원천데이터!G3410</f>
        <v>0.54510928851359541</v>
      </c>
      <c r="Q230" s="20">
        <f>원천데이터!G3678</f>
        <v>0.54904545173713371</v>
      </c>
      <c r="R230" s="20">
        <f t="shared" si="6"/>
        <v>0.5368370835618953</v>
      </c>
      <c r="S230" s="27">
        <f t="shared" si="7"/>
        <v>14</v>
      </c>
    </row>
    <row r="231" spans="1:19">
      <c r="A231" s="15" t="s">
        <v>395</v>
      </c>
      <c r="B231" s="15" t="s">
        <v>436</v>
      </c>
      <c r="C231" s="15" t="s">
        <v>437</v>
      </c>
      <c r="D231" s="20">
        <f>원천데이터!G216</f>
        <v>0.41062334580633386</v>
      </c>
      <c r="E231" s="20">
        <f>원천데이터!G479</f>
        <v>0.41658929124110183</v>
      </c>
      <c r="F231" s="20">
        <f>원천데이터!G746</f>
        <v>0.42214968269020353</v>
      </c>
      <c r="G231" s="20">
        <f>원천데이터!G1014</f>
        <v>0.42985926277026287</v>
      </c>
      <c r="H231" s="20">
        <f>원천데이터!G1282</f>
        <v>0.43187733704817066</v>
      </c>
      <c r="I231" s="20">
        <f>원천데이터!G1548</f>
        <v>0.43493818529693135</v>
      </c>
      <c r="J231" s="20">
        <f>원천데이터!G1814</f>
        <v>0.43356951808924971</v>
      </c>
      <c r="K231" s="20">
        <f>원천데이터!G2080</f>
        <v>0.43416593090484462</v>
      </c>
      <c r="L231" s="20">
        <f>원천데이터!G2346</f>
        <v>0.43455274730585219</v>
      </c>
      <c r="M231" s="20">
        <f>원천데이터!G2612</f>
        <v>0.41802448679002119</v>
      </c>
      <c r="N231" s="20">
        <f>원천데이터!G2878</f>
        <v>0.41908084175327426</v>
      </c>
      <c r="O231" s="20">
        <f>원천데이터!G3144</f>
        <v>0.42368062906396492</v>
      </c>
      <c r="P231" s="20">
        <f>원천데이터!G3411</f>
        <v>0.4301329876810337</v>
      </c>
      <c r="Q231" s="20">
        <f>원천데이터!G3679</f>
        <v>0.43629227678478966</v>
      </c>
      <c r="R231" s="20">
        <f t="shared" si="6"/>
        <v>0.42682403737328817</v>
      </c>
      <c r="S231" s="27">
        <f t="shared" si="7"/>
        <v>14</v>
      </c>
    </row>
    <row r="232" spans="1:19">
      <c r="A232" s="15" t="s">
        <v>395</v>
      </c>
      <c r="B232" s="15" t="s">
        <v>438</v>
      </c>
      <c r="C232" s="15" t="s">
        <v>439</v>
      </c>
      <c r="D232" s="20">
        <f>원천데이터!G217</f>
        <v>0.43888537705053937</v>
      </c>
      <c r="E232" s="20">
        <f>원천데이터!G480</f>
        <v>0.44610939112487102</v>
      </c>
      <c r="F232" s="20">
        <f>원천데이터!G747</f>
        <v>0.44572849163173389</v>
      </c>
      <c r="G232" s="20">
        <f>원천데이터!G1015</f>
        <v>0.44814923619271446</v>
      </c>
      <c r="H232" s="20">
        <f>원천데이터!G1283</f>
        <v>0.45038846666807797</v>
      </c>
      <c r="I232" s="20">
        <f>원천데이터!G1549</f>
        <v>0.45705218469557174</v>
      </c>
      <c r="J232" s="20">
        <f>원천데이터!G1815</f>
        <v>0.45870226822052318</v>
      </c>
      <c r="K232" s="20">
        <f>원천데이터!G2081</f>
        <v>0.45848795052249947</v>
      </c>
      <c r="L232" s="20">
        <f>원천데이터!G2347</f>
        <v>0.46397756686798963</v>
      </c>
      <c r="M232" s="20">
        <f>원천데이터!G2613</f>
        <v>0.45905793445233051</v>
      </c>
      <c r="N232" s="20">
        <f>원천데이터!G2879</f>
        <v>0.46243029868050572</v>
      </c>
      <c r="O232" s="20">
        <f>원천데이터!G3145</f>
        <v>0.45846363731766188</v>
      </c>
      <c r="P232" s="20">
        <f>원천데이터!G3412</f>
        <v>0.46365938892629283</v>
      </c>
      <c r="Q232" s="20">
        <f>원천데이터!G3680</f>
        <v>0.46462435387566237</v>
      </c>
      <c r="R232" s="20">
        <f t="shared" si="6"/>
        <v>0.45540832473049814</v>
      </c>
      <c r="S232" s="27">
        <f t="shared" si="7"/>
        <v>14</v>
      </c>
    </row>
    <row r="233" spans="1:19">
      <c r="A233" s="15" t="s">
        <v>440</v>
      </c>
      <c r="B233" s="15" t="s">
        <v>22</v>
      </c>
      <c r="C233" s="15" t="s">
        <v>440</v>
      </c>
      <c r="D233" s="20">
        <f>원천데이터!G218</f>
        <v>0.28336055719184522</v>
      </c>
      <c r="E233" s="20">
        <f>원천데이터!G481</f>
        <v>0.28366329670943891</v>
      </c>
      <c r="F233" s="20">
        <f>원천데이터!G748</f>
        <v>0.288378908076173</v>
      </c>
      <c r="G233" s="20">
        <f>원천데이터!G1016</f>
        <v>0.29284095777229224</v>
      </c>
      <c r="H233" s="20">
        <f>원천데이터!G1284</f>
        <v>0.29537440149646654</v>
      </c>
      <c r="I233" s="20">
        <f>원천데이터!G1550</f>
        <v>0.30017843814315315</v>
      </c>
      <c r="J233" s="20">
        <f>원천데이터!G1816</f>
        <v>0.30425651930190839</v>
      </c>
      <c r="K233" s="20">
        <f>원천데이터!G2082</f>
        <v>0.3073573458505896</v>
      </c>
      <c r="L233" s="20">
        <f>원천데이터!G2348</f>
        <v>0.31185136848830181</v>
      </c>
      <c r="M233" s="20">
        <f>원천데이터!G2614</f>
        <v>0.29696003796273984</v>
      </c>
      <c r="N233" s="20">
        <f>원천데이터!G2880</f>
        <v>0.30287527894688199</v>
      </c>
      <c r="O233" s="20">
        <f>원천데이터!G3146</f>
        <v>0.31140150895750651</v>
      </c>
      <c r="P233" s="20">
        <f>원천데이터!G3413</f>
        <v>0.3166744800851648</v>
      </c>
      <c r="Q233" s="20">
        <f>원천데이터!G3681</f>
        <v>0.31551782347765744</v>
      </c>
      <c r="R233" s="20">
        <f t="shared" si="6"/>
        <v>0.30076363731857997</v>
      </c>
      <c r="S233" s="27">
        <f t="shared" si="7"/>
        <v>14</v>
      </c>
    </row>
    <row r="234" spans="1:19">
      <c r="A234" s="15" t="s">
        <v>440</v>
      </c>
      <c r="B234" s="15" t="s">
        <v>441</v>
      </c>
      <c r="C234" s="15" t="s">
        <v>442</v>
      </c>
      <c r="D234" s="20">
        <f>원천데이터!G219</f>
        <v>0.41667795213000852</v>
      </c>
      <c r="E234" s="20">
        <f>원천데이터!G482</f>
        <v>0.41828871330857365</v>
      </c>
      <c r="F234" s="20">
        <f>원천데이터!G749</f>
        <v>0.41990045816361693</v>
      </c>
      <c r="G234" s="20">
        <f>원천데이터!G1017</f>
        <v>0.42538989514344255</v>
      </c>
      <c r="H234" s="20">
        <f>원천데이터!G1285</f>
        <v>0.42655176511256104</v>
      </c>
      <c r="I234" s="20">
        <f>원천데이터!G1551</f>
        <v>0.42944922974550181</v>
      </c>
      <c r="J234" s="20">
        <f>원천데이터!G1817</f>
        <v>0.43301767643683281</v>
      </c>
      <c r="K234" s="20">
        <f>원천데이터!G2083</f>
        <v>0.43489732676704684</v>
      </c>
      <c r="L234" s="20">
        <f>원천데이터!G2349</f>
        <v>0.43598113984056253</v>
      </c>
      <c r="M234" s="20">
        <f>원천데이터!G2615</f>
        <v>0.43127250027112746</v>
      </c>
      <c r="N234" s="20">
        <f>원천데이터!G2881</f>
        <v>0.43252314668220332</v>
      </c>
      <c r="O234" s="20">
        <f>원천데이터!G3147</f>
        <v>0.43318336432062143</v>
      </c>
      <c r="P234" s="20">
        <f>원천데이터!G3414</f>
        <v>0.43454874505195001</v>
      </c>
      <c r="Q234" s="20">
        <f>원천데이터!G3682</f>
        <v>0.43225326208584985</v>
      </c>
      <c r="R234" s="20">
        <f t="shared" si="6"/>
        <v>0.42885251250427847</v>
      </c>
      <c r="S234" s="27">
        <f t="shared" si="7"/>
        <v>14</v>
      </c>
    </row>
    <row r="235" spans="1:19">
      <c r="A235" s="15" t="s">
        <v>440</v>
      </c>
      <c r="B235" s="15" t="s">
        <v>443</v>
      </c>
      <c r="C235" s="15" t="s">
        <v>444</v>
      </c>
      <c r="D235" s="20">
        <f>원천데이터!G220</f>
        <v>0.33349627679195321</v>
      </c>
      <c r="E235" s="20">
        <f>원천데이터!G483</f>
        <v>0.33285644591168806</v>
      </c>
      <c r="F235" s="20">
        <f>원천데이터!G750</f>
        <v>0.3384731652383271</v>
      </c>
      <c r="G235" s="20">
        <f>원천데이터!G1018</f>
        <v>0.34099472158203853</v>
      </c>
      <c r="H235" s="20">
        <f>원천데이터!G1286</f>
        <v>0.34985531101494677</v>
      </c>
      <c r="I235" s="20">
        <f>원천데이터!G1552</f>
        <v>0.35122766022404361</v>
      </c>
      <c r="J235" s="20">
        <f>원천데이터!G1818</f>
        <v>0.35821694899380713</v>
      </c>
      <c r="K235" s="20">
        <f>원천데이터!G2084</f>
        <v>0.36455637439795741</v>
      </c>
      <c r="L235" s="20">
        <f>원천데이터!G2350</f>
        <v>0.36774217798994363</v>
      </c>
      <c r="M235" s="20">
        <f>원천데이터!G2616</f>
        <v>0.3581139208297488</v>
      </c>
      <c r="N235" s="20">
        <f>원천데이터!G2882</f>
        <v>0.36211157248171844</v>
      </c>
      <c r="O235" s="20">
        <f>원천데이터!G3148</f>
        <v>0.36789753064447328</v>
      </c>
      <c r="P235" s="20">
        <f>원천데이터!G3415</f>
        <v>0.37660990602699074</v>
      </c>
      <c r="Q235" s="20">
        <f>원천데이터!G3683</f>
        <v>0.37397134407212795</v>
      </c>
      <c r="R235" s="20">
        <f t="shared" si="6"/>
        <v>0.35543738258569746</v>
      </c>
      <c r="S235" s="27">
        <f t="shared" si="7"/>
        <v>14</v>
      </c>
    </row>
    <row r="236" spans="1:19">
      <c r="A236" s="15" t="s">
        <v>440</v>
      </c>
      <c r="B236" s="15" t="s">
        <v>445</v>
      </c>
      <c r="C236" s="15" t="s">
        <v>446</v>
      </c>
      <c r="D236" s="20">
        <f>원천데이터!G221</f>
        <v>0.54903857543333201</v>
      </c>
      <c r="E236" s="20">
        <f>원천데이터!G484</f>
        <v>0.54630999585725282</v>
      </c>
      <c r="F236" s="20">
        <f>원천데이터!G751</f>
        <v>0.54929522241173123</v>
      </c>
      <c r="G236" s="20">
        <f>원천데이터!G1019</f>
        <v>0.55146592938194805</v>
      </c>
      <c r="H236" s="20">
        <f>원천데이터!G1287</f>
        <v>0.55007605007605009</v>
      </c>
      <c r="I236" s="20">
        <f>원천데이터!G1553</f>
        <v>0.54044602419308607</v>
      </c>
      <c r="J236" s="20">
        <f>원천데이터!G1819</f>
        <v>0.5396074036863866</v>
      </c>
      <c r="K236" s="20">
        <f>원천데이터!G2085</f>
        <v>0.54039329024194971</v>
      </c>
      <c r="L236" s="20">
        <f>원천데이터!G2351</f>
        <v>0.54922361784195428</v>
      </c>
      <c r="M236" s="20">
        <f>원천데이터!G2617</f>
        <v>0.54348791473704239</v>
      </c>
      <c r="N236" s="20">
        <f>원천데이터!G2883</f>
        <v>0.56033686381506864</v>
      </c>
      <c r="O236" s="20">
        <f>원천데이터!G3149</f>
        <v>0.54906345526537148</v>
      </c>
      <c r="P236" s="20">
        <f>원천데이터!G3416</f>
        <v>0.54714244270380041</v>
      </c>
      <c r="Q236" s="20">
        <f>원천데이터!G3684</f>
        <v>0.55306003172747764</v>
      </c>
      <c r="R236" s="20">
        <f t="shared" si="6"/>
        <v>0.54778191552660371</v>
      </c>
      <c r="S236" s="27">
        <f t="shared" si="7"/>
        <v>14</v>
      </c>
    </row>
    <row r="237" spans="1:19">
      <c r="A237" s="15" t="s">
        <v>440</v>
      </c>
      <c r="B237" s="15" t="s">
        <v>447</v>
      </c>
      <c r="C237" s="15" t="s">
        <v>448</v>
      </c>
      <c r="D237" s="20">
        <f>원천데이터!G222</f>
        <v>0.28325130505563528</v>
      </c>
      <c r="E237" s="20">
        <f>원천데이터!G485</f>
        <v>0.27948476675225076</v>
      </c>
      <c r="F237" s="20">
        <f>원천데이터!G752</f>
        <v>0.28280568926684324</v>
      </c>
      <c r="G237" s="20">
        <f>원천데이터!G1020</f>
        <v>0.28944613009484649</v>
      </c>
      <c r="H237" s="20">
        <f>원천데이터!G1288</f>
        <v>0.2888916572436131</v>
      </c>
      <c r="I237" s="20">
        <f>원천데이터!G1554</f>
        <v>0.29435496836550373</v>
      </c>
      <c r="J237" s="20">
        <f>원천데이터!G1820</f>
        <v>0.29728513743031004</v>
      </c>
      <c r="K237" s="20">
        <f>원천데이터!G2086</f>
        <v>0.29664806554562251</v>
      </c>
      <c r="L237" s="20">
        <f>원천데이터!G2352</f>
        <v>0.29900619678723867</v>
      </c>
      <c r="M237" s="20">
        <f>원천데이터!G2618</f>
        <v>0.27993560911317633</v>
      </c>
      <c r="N237" s="20">
        <f>원천데이터!G2884</f>
        <v>0.28757542725892477</v>
      </c>
      <c r="O237" s="20">
        <f>원천데이터!G3150</f>
        <v>0.30046250076404313</v>
      </c>
      <c r="P237" s="20">
        <f>원천데이터!G3417</f>
        <v>0.30489960770961905</v>
      </c>
      <c r="Q237" s="20">
        <f>원천데이터!G3685</f>
        <v>0.30458203224497882</v>
      </c>
      <c r="R237" s="20">
        <f t="shared" si="6"/>
        <v>0.29204493525947184</v>
      </c>
      <c r="S237" s="27">
        <f t="shared" si="7"/>
        <v>14</v>
      </c>
    </row>
    <row r="238" spans="1:19">
      <c r="A238" s="15" t="s">
        <v>440</v>
      </c>
      <c r="B238" s="15" t="s">
        <v>105</v>
      </c>
      <c r="C238" s="15" t="s">
        <v>449</v>
      </c>
      <c r="D238" s="20">
        <f>원천데이터!G223</f>
        <v>0.52834290173345966</v>
      </c>
      <c r="E238" s="20">
        <f>원천데이터!G486</f>
        <v>0.533100755876734</v>
      </c>
      <c r="F238" s="20">
        <f>원천데이터!G753</f>
        <v>0.54329539831766449</v>
      </c>
      <c r="G238" s="20">
        <f>원천데이터!G1021</f>
        <v>0.53925849583683649</v>
      </c>
      <c r="H238" s="20">
        <f>원천데이터!G1289</f>
        <v>0.54213376658543189</v>
      </c>
      <c r="I238" s="20">
        <f>원천데이터!G1555</f>
        <v>0.55256749886275458</v>
      </c>
      <c r="J238" s="20">
        <f>원천데이터!G1821</f>
        <v>0.55269061325981783</v>
      </c>
      <c r="K238" s="20">
        <f>원천데이터!G2087</f>
        <v>0.55600173648795315</v>
      </c>
      <c r="L238" s="20">
        <f>원천데이터!G2353</f>
        <v>0.56159291551644031</v>
      </c>
      <c r="M238" s="20">
        <f>원천데이터!G2619</f>
        <v>0.56312665667857553</v>
      </c>
      <c r="N238" s="20">
        <f>원천데이터!G2885</f>
        <v>0.56696389922950396</v>
      </c>
      <c r="O238" s="20">
        <f>원천데이터!G3151</f>
        <v>0.56453951147460268</v>
      </c>
      <c r="P238" s="20"/>
      <c r="Q238" s="20"/>
      <c r="R238" s="20">
        <f t="shared" si="6"/>
        <v>0.55030117915498111</v>
      </c>
      <c r="S238" s="27">
        <f t="shared" si="7"/>
        <v>12</v>
      </c>
    </row>
    <row r="239" spans="1:19">
      <c r="A239" s="15" t="s">
        <v>440</v>
      </c>
      <c r="B239" s="15" t="s">
        <v>450</v>
      </c>
      <c r="C239" s="15" t="s">
        <v>451</v>
      </c>
      <c r="D239" s="20">
        <f>원천데이터!G224</f>
        <v>0.36297784410515438</v>
      </c>
      <c r="E239" s="20">
        <f>원천데이터!G487</f>
        <v>0.36469558151113352</v>
      </c>
      <c r="F239" s="20">
        <f>원천데이터!G754</f>
        <v>0.36918845667823591</v>
      </c>
      <c r="G239" s="20">
        <f>원천데이터!G1022</f>
        <v>0.37441826397575018</v>
      </c>
      <c r="H239" s="20">
        <f>원천데이터!G1290</f>
        <v>0.3873305763651323</v>
      </c>
      <c r="I239" s="20">
        <f>원천데이터!G1556</f>
        <v>0.39014419580710175</v>
      </c>
      <c r="J239" s="20">
        <f>원천데이터!G1822</f>
        <v>0.39022562949963308</v>
      </c>
      <c r="K239" s="20">
        <f>원천데이터!G2088</f>
        <v>0.38852548518686392</v>
      </c>
      <c r="L239" s="20">
        <f>원천데이터!G2354</f>
        <v>0.39942173489623017</v>
      </c>
      <c r="M239" s="20">
        <f>원천데이터!G2620</f>
        <v>0.38050795512085922</v>
      </c>
      <c r="N239" s="20">
        <f>원천데이터!G2886</f>
        <v>0.38804275356279688</v>
      </c>
      <c r="O239" s="20">
        <f>원천데이터!G3152</f>
        <v>0.39583302490611477</v>
      </c>
      <c r="P239" s="20">
        <f>원천데이터!G3418</f>
        <v>0.39803128087093004</v>
      </c>
      <c r="Q239" s="20">
        <f>원천데이터!G3686</f>
        <v>0.39861196162482138</v>
      </c>
      <c r="R239" s="20">
        <f t="shared" si="6"/>
        <v>0.38485391029362548</v>
      </c>
      <c r="S239" s="27">
        <f t="shared" si="7"/>
        <v>14</v>
      </c>
    </row>
    <row r="240" spans="1:19">
      <c r="A240" s="15" t="s">
        <v>440</v>
      </c>
      <c r="B240" s="15" t="s">
        <v>452</v>
      </c>
      <c r="C240" s="15" t="s">
        <v>453</v>
      </c>
      <c r="D240" s="20">
        <f>원천데이터!G225</f>
        <v>0.3706271729095873</v>
      </c>
      <c r="E240" s="20">
        <f>원천데이터!G488</f>
        <v>0.37029507491716596</v>
      </c>
      <c r="F240" s="20">
        <f>원천데이터!G755</f>
        <v>0.38282885786238768</v>
      </c>
      <c r="G240" s="20">
        <f>원천데이터!G1023</f>
        <v>0.38288972294645157</v>
      </c>
      <c r="H240" s="20">
        <f>원천데이터!G1291</f>
        <v>0.38549042811062545</v>
      </c>
      <c r="I240" s="20">
        <f>원천데이터!G1557</f>
        <v>0.392593717665151</v>
      </c>
      <c r="J240" s="20">
        <f>원천데이터!G1823</f>
        <v>0.38940290843562592</v>
      </c>
      <c r="K240" s="20">
        <f>원천데이터!G2089</f>
        <v>0.39496567505720825</v>
      </c>
      <c r="L240" s="20">
        <f>원천데이터!G2355</f>
        <v>0.40705569627567872</v>
      </c>
      <c r="M240" s="20">
        <f>원천데이터!G2621</f>
        <v>0.39301727380867657</v>
      </c>
      <c r="N240" s="20">
        <f>원천데이터!G2887</f>
        <v>0.39846324921609683</v>
      </c>
      <c r="O240" s="20">
        <f>원천데이터!G3153</f>
        <v>0.4060035979484039</v>
      </c>
      <c r="P240" s="20">
        <f>원천데이터!G3419</f>
        <v>0.41021592892584674</v>
      </c>
      <c r="Q240" s="20">
        <f>원천데이터!G3687</f>
        <v>0.4116857757973264</v>
      </c>
      <c r="R240" s="20">
        <f t="shared" si="6"/>
        <v>0.39253821999115945</v>
      </c>
      <c r="S240" s="27">
        <f t="shared" si="7"/>
        <v>14</v>
      </c>
    </row>
    <row r="241" spans="1:19">
      <c r="A241" s="15" t="s">
        <v>440</v>
      </c>
      <c r="B241" s="15" t="s">
        <v>454</v>
      </c>
      <c r="C241" s="15" t="s">
        <v>455</v>
      </c>
      <c r="D241" s="20">
        <f>원천데이터!G226</f>
        <v>0.53179543753201208</v>
      </c>
      <c r="E241" s="20">
        <f>원천데이터!G489</f>
        <v>0.52881929417319118</v>
      </c>
      <c r="F241" s="20">
        <f>원천데이터!G756</f>
        <v>0.54034699004925912</v>
      </c>
      <c r="G241" s="20">
        <f>원천데이터!G1024</f>
        <v>0.54014412220935026</v>
      </c>
      <c r="H241" s="20">
        <f>원천데이터!G1292</f>
        <v>0.54361432419584854</v>
      </c>
      <c r="I241" s="20">
        <f>원천데이터!G1558</f>
        <v>0.54333843197238896</v>
      </c>
      <c r="J241" s="20">
        <f>원천데이터!G1824</f>
        <v>0.54958026759187251</v>
      </c>
      <c r="K241" s="20">
        <f>원천데이터!G2090</f>
        <v>0.54760248792798527</v>
      </c>
      <c r="L241" s="20">
        <f>원천데이터!G2356</f>
        <v>0.55525386358532547</v>
      </c>
      <c r="M241" s="20">
        <f>원천데이터!G2622</f>
        <v>0.55927885557515189</v>
      </c>
      <c r="N241" s="20">
        <f>원천데이터!G2888</f>
        <v>0.55436359639481203</v>
      </c>
      <c r="O241" s="20">
        <f>원천데이터!G3154</f>
        <v>0.54154283773456735</v>
      </c>
      <c r="P241" s="20">
        <f>원천데이터!G3420</f>
        <v>0.54981773997569872</v>
      </c>
      <c r="Q241" s="20">
        <f>원천데이터!G3688</f>
        <v>0.54818475996276428</v>
      </c>
      <c r="R241" s="20">
        <f t="shared" si="6"/>
        <v>0.54526307206287339</v>
      </c>
      <c r="S241" s="27">
        <f t="shared" si="7"/>
        <v>14</v>
      </c>
    </row>
    <row r="242" spans="1:19">
      <c r="A242" s="15" t="s">
        <v>440</v>
      </c>
      <c r="B242" s="15" t="s">
        <v>456</v>
      </c>
      <c r="C242" s="15" t="s">
        <v>457</v>
      </c>
      <c r="D242" s="20">
        <f>원천데이터!G227</f>
        <v>0.37994597622102955</v>
      </c>
      <c r="E242" s="20">
        <f>원천데이터!G490</f>
        <v>0.38066979940090007</v>
      </c>
      <c r="F242" s="20">
        <f>원천데이터!G757</f>
        <v>0.3889854089862565</v>
      </c>
      <c r="G242" s="20">
        <f>원천데이터!G1025</f>
        <v>0.39707239325559934</v>
      </c>
      <c r="H242" s="20">
        <f>원천데이터!G1293</f>
        <v>0.39610266360166185</v>
      </c>
      <c r="I242" s="20">
        <f>원천데이터!G1559</f>
        <v>0.40142083519428318</v>
      </c>
      <c r="J242" s="20">
        <f>원천데이터!G1825</f>
        <v>0.40727008157154648</v>
      </c>
      <c r="K242" s="20">
        <f>원천데이터!G2091</f>
        <v>0.41355747463737735</v>
      </c>
      <c r="L242" s="20">
        <f>원천데이터!G2357</f>
        <v>0.4236048275958072</v>
      </c>
      <c r="M242" s="20">
        <f>원천데이터!G2623</f>
        <v>0.40091396960449771</v>
      </c>
      <c r="N242" s="20">
        <f>원천데이터!G2889</f>
        <v>0.40535050371791798</v>
      </c>
      <c r="O242" s="20">
        <f>원천데이터!G3155</f>
        <v>0.41206829535148209</v>
      </c>
      <c r="P242" s="20">
        <f>원천데이터!G3421</f>
        <v>0.42092747589516749</v>
      </c>
      <c r="Q242" s="20">
        <f>원천데이터!G3689</f>
        <v>0.42287647905105846</v>
      </c>
      <c r="R242" s="20">
        <f t="shared" si="6"/>
        <v>0.40362615600604185</v>
      </c>
      <c r="S242" s="27">
        <f t="shared" si="7"/>
        <v>14</v>
      </c>
    </row>
    <row r="243" spans="1:19">
      <c r="A243" s="15" t="s">
        <v>440</v>
      </c>
      <c r="B243" s="15" t="s">
        <v>458</v>
      </c>
      <c r="C243" s="15" t="s">
        <v>459</v>
      </c>
      <c r="D243" s="20">
        <f>원천데이터!G228</f>
        <v>0.5206011252142001</v>
      </c>
      <c r="E243" s="20">
        <f>원천데이터!G491</f>
        <v>0.5222820726803733</v>
      </c>
      <c r="F243" s="20">
        <f>원천데이터!G758</f>
        <v>0.52507241129616222</v>
      </c>
      <c r="G243" s="20">
        <f>원천데이터!G1026</f>
        <v>0.52947049969449045</v>
      </c>
      <c r="H243" s="20">
        <f>원천데이터!G1294</f>
        <v>0.53228802853533475</v>
      </c>
      <c r="I243" s="20">
        <f>원천데이터!G1560</f>
        <v>0.54022367575775276</v>
      </c>
      <c r="J243" s="20">
        <f>원천데이터!G1826</f>
        <v>0.5459714669940946</v>
      </c>
      <c r="K243" s="20">
        <f>원천데이터!G2092</f>
        <v>0.54595925742429985</v>
      </c>
      <c r="L243" s="20">
        <f>원천데이터!G2358</f>
        <v>0.5496367679762787</v>
      </c>
      <c r="M243" s="20">
        <f>원천데이터!G2624</f>
        <v>0.54882457909845606</v>
      </c>
      <c r="N243" s="20">
        <f>원천데이터!G2890</f>
        <v>0.55033619290517044</v>
      </c>
      <c r="O243" s="20">
        <f>원천데이터!G3156</f>
        <v>0.54600020697505947</v>
      </c>
      <c r="P243" s="20">
        <f>원천데이터!G3422</f>
        <v>0.55090911807329723</v>
      </c>
      <c r="Q243" s="20">
        <f>원천데이터!G3690</f>
        <v>0.55484522714593731</v>
      </c>
      <c r="R243" s="20">
        <f t="shared" si="6"/>
        <v>0.54017290212649338</v>
      </c>
      <c r="S243" s="27">
        <f t="shared" si="7"/>
        <v>14</v>
      </c>
    </row>
    <row r="244" spans="1:19">
      <c r="A244" s="15" t="s">
        <v>440</v>
      </c>
      <c r="B244" s="15" t="s">
        <v>460</v>
      </c>
      <c r="C244" s="15" t="s">
        <v>461</v>
      </c>
      <c r="D244" s="20">
        <f>원천데이터!G229</f>
        <v>0.2611792819044354</v>
      </c>
      <c r="E244" s="20">
        <f>원천데이터!G492</f>
        <v>0.26401317595388418</v>
      </c>
      <c r="F244" s="20">
        <f>원천데이터!G759</f>
        <v>0.26715176198872526</v>
      </c>
      <c r="G244" s="20">
        <f>원천데이터!G1027</f>
        <v>0.27669985886397713</v>
      </c>
      <c r="H244" s="20">
        <f>원천데이터!G1295</f>
        <v>0.27685568264784621</v>
      </c>
      <c r="I244" s="20">
        <f>원천데이터!G1561</f>
        <v>0.2796849767466672</v>
      </c>
      <c r="J244" s="20">
        <f>원천데이터!G1827</f>
        <v>0.28232849455514936</v>
      </c>
      <c r="K244" s="20">
        <f>원천데이터!G2093</f>
        <v>0.28812181533398101</v>
      </c>
      <c r="L244" s="20">
        <f>원천데이터!G2359</f>
        <v>0.29724029349731157</v>
      </c>
      <c r="M244" s="20">
        <f>원천데이터!G2625</f>
        <v>0.28497460401458907</v>
      </c>
      <c r="N244" s="20">
        <f>원천데이터!G2891</f>
        <v>0.28500414250207123</v>
      </c>
      <c r="O244" s="20">
        <f>원천데이터!G3157</f>
        <v>0.29815030397102577</v>
      </c>
      <c r="P244" s="20">
        <f>원천데이터!G3423</f>
        <v>0.30634218584265616</v>
      </c>
      <c r="Q244" s="20">
        <f>원천데이터!G3691</f>
        <v>0.30919257637993586</v>
      </c>
      <c r="R244" s="20">
        <f t="shared" si="6"/>
        <v>0.28406708244301826</v>
      </c>
      <c r="S244" s="27">
        <f t="shared" si="7"/>
        <v>14</v>
      </c>
    </row>
    <row r="245" spans="1:19">
      <c r="A245" s="15" t="s">
        <v>440</v>
      </c>
      <c r="B245" s="15" t="s">
        <v>462</v>
      </c>
      <c r="C245" s="15" t="s">
        <v>463</v>
      </c>
      <c r="D245" s="20">
        <f>원천데이터!G230</f>
        <v>0.49246262984545225</v>
      </c>
      <c r="E245" s="20">
        <f>원천데이터!G493</f>
        <v>0.46659229974244987</v>
      </c>
      <c r="F245" s="20">
        <f>원천데이터!G760</f>
        <v>0.46503450106157113</v>
      </c>
      <c r="G245" s="20">
        <f>원천데이터!G1028</f>
        <v>0.46818713450292399</v>
      </c>
      <c r="H245" s="20">
        <f>원천데이터!G1296</f>
        <v>0.47247121227381073</v>
      </c>
      <c r="I245" s="20">
        <f>원천데이터!G1562</f>
        <v>0.47803411563439469</v>
      </c>
      <c r="J245" s="20">
        <f>원천데이터!G1828</f>
        <v>0.47648000000000001</v>
      </c>
      <c r="K245" s="20">
        <f>원천데이터!G2094</f>
        <v>0.47507405840033856</v>
      </c>
      <c r="L245" s="20">
        <f>원천데이터!G2360</f>
        <v>0.47902854591048055</v>
      </c>
      <c r="M245" s="20">
        <f>원천데이터!G2626</f>
        <v>0.46232040954879905</v>
      </c>
      <c r="N245" s="20">
        <f>원천데이터!G2892</f>
        <v>0.45797687754003746</v>
      </c>
      <c r="O245" s="20">
        <f>원천데이터!G3158</f>
        <v>0.45702726344948241</v>
      </c>
      <c r="P245" s="20">
        <f>원천데이터!G3424</f>
        <v>0.46525685342994988</v>
      </c>
      <c r="Q245" s="20">
        <f>원천데이터!G3692</f>
        <v>0.46656041891968808</v>
      </c>
      <c r="R245" s="20">
        <f t="shared" si="6"/>
        <v>0.47017902287566987</v>
      </c>
      <c r="S245" s="27">
        <f t="shared" si="7"/>
        <v>14</v>
      </c>
    </row>
    <row r="246" spans="1:19">
      <c r="A246" s="15" t="s">
        <v>440</v>
      </c>
      <c r="B246" s="15" t="s">
        <v>464</v>
      </c>
      <c r="C246" s="15" t="s">
        <v>465</v>
      </c>
      <c r="D246" s="20">
        <f>원천데이터!G231</f>
        <v>0.53140378376407971</v>
      </c>
      <c r="E246" s="20">
        <f>원천데이터!G494</f>
        <v>0.52821058034241297</v>
      </c>
      <c r="F246" s="20">
        <f>원천데이터!G761</f>
        <v>0.53061819241557684</v>
      </c>
      <c r="G246" s="20">
        <f>원천데이터!G1029</f>
        <v>0.5334009563831329</v>
      </c>
      <c r="H246" s="20">
        <f>원천데이터!G1297</f>
        <v>0.53658806190125274</v>
      </c>
      <c r="I246" s="20">
        <f>원천데이터!G1563</f>
        <v>0.54330128559325153</v>
      </c>
      <c r="J246" s="20">
        <f>원천데이터!G1829</f>
        <v>0.54374599826748526</v>
      </c>
      <c r="K246" s="20">
        <f>원천데이터!G2095</f>
        <v>0.54463683382055317</v>
      </c>
      <c r="L246" s="20">
        <f>원천데이터!G2361</f>
        <v>0.55071028678066802</v>
      </c>
      <c r="M246" s="20">
        <f>원천데이터!G2627</f>
        <v>0.54722300535663937</v>
      </c>
      <c r="N246" s="20">
        <f>원천데이터!G2893</f>
        <v>0.55764405873401057</v>
      </c>
      <c r="O246" s="20">
        <f>원천데이터!G3159</f>
        <v>0.54512175712239375</v>
      </c>
      <c r="P246" s="20">
        <f>원천데이터!G3425</f>
        <v>0.55153647857931998</v>
      </c>
      <c r="Q246" s="20">
        <f>원천데이터!G3693</f>
        <v>0.54425472242844175</v>
      </c>
      <c r="R246" s="20">
        <f t="shared" si="6"/>
        <v>0.54202828582065854</v>
      </c>
      <c r="S246" s="27">
        <f t="shared" si="7"/>
        <v>14</v>
      </c>
    </row>
    <row r="247" spans="1:19">
      <c r="A247" s="15" t="s">
        <v>440</v>
      </c>
      <c r="B247" s="15" t="s">
        <v>466</v>
      </c>
      <c r="C247" s="15" t="s">
        <v>467</v>
      </c>
      <c r="D247" s="20">
        <f>원천데이터!G232</f>
        <v>0.36636141475719991</v>
      </c>
      <c r="E247" s="20">
        <f>원천데이터!G495</f>
        <v>0.37446445547004203</v>
      </c>
      <c r="F247" s="20">
        <f>원천데이터!G762</f>
        <v>0.37876601060146142</v>
      </c>
      <c r="G247" s="20">
        <f>원천데이터!G1030</f>
        <v>0.38593472076850466</v>
      </c>
      <c r="H247" s="20">
        <f>원천데이터!G1298</f>
        <v>0.37818358133653085</v>
      </c>
      <c r="I247" s="20">
        <f>원천데이터!G1564</f>
        <v>0.38357404222857217</v>
      </c>
      <c r="J247" s="20">
        <f>원천데이터!G1830</f>
        <v>0.38705922673512544</v>
      </c>
      <c r="K247" s="20">
        <f>원천데이터!G2096</f>
        <v>0.38359576257820305</v>
      </c>
      <c r="L247" s="20">
        <f>원천데이터!G2362</f>
        <v>0.38239743051529629</v>
      </c>
      <c r="M247" s="20">
        <f>원천데이터!G2628</f>
        <v>0.36044657097288674</v>
      </c>
      <c r="N247" s="20">
        <f>원천데이터!G2894</f>
        <v>0.36562358469202899</v>
      </c>
      <c r="O247" s="20">
        <f>원천데이터!G3160</f>
        <v>0.37182577345633072</v>
      </c>
      <c r="P247" s="20">
        <f>원천데이터!G3426</f>
        <v>0.37882589404743183</v>
      </c>
      <c r="Q247" s="20">
        <f>원천데이터!G3694</f>
        <v>0.38037397448533394</v>
      </c>
      <c r="R247" s="20">
        <f t="shared" si="6"/>
        <v>0.37695946018892484</v>
      </c>
      <c r="S247" s="27">
        <f t="shared" si="7"/>
        <v>14</v>
      </c>
    </row>
    <row r="248" spans="1:19">
      <c r="A248" s="15" t="s">
        <v>440</v>
      </c>
      <c r="B248" s="15" t="s">
        <v>468</v>
      </c>
      <c r="C248" s="15" t="s">
        <v>469</v>
      </c>
      <c r="D248" s="20">
        <f>원천데이터!G233</f>
        <v>0.40781511111111113</v>
      </c>
      <c r="E248" s="20">
        <f>원천데이터!G496</f>
        <v>0.40549078168973635</v>
      </c>
      <c r="F248" s="20">
        <f>원천데이터!G763</f>
        <v>0.41192573538921379</v>
      </c>
      <c r="G248" s="20">
        <f>원천데이터!G1031</f>
        <v>0.41867808175634152</v>
      </c>
      <c r="H248" s="20">
        <f>원천데이터!G1299</f>
        <v>0.4216141328044784</v>
      </c>
      <c r="I248" s="20">
        <f>원천데이터!G1565</f>
        <v>0.42812712873194664</v>
      </c>
      <c r="J248" s="20">
        <f>원천데이터!G1831</f>
        <v>0.43265074414532723</v>
      </c>
      <c r="K248" s="20">
        <f>원천데이터!G2097</f>
        <v>0.43601363599469711</v>
      </c>
      <c r="L248" s="20">
        <f>원천데이터!G2363</f>
        <v>0.44235399555900373</v>
      </c>
      <c r="M248" s="20">
        <f>원천데이터!G2629</f>
        <v>0.43432800424095308</v>
      </c>
      <c r="N248" s="20">
        <f>원천데이터!G2895</f>
        <v>0.43650052805505402</v>
      </c>
      <c r="O248" s="20">
        <f>원천데이터!G3161</f>
        <v>0.44358123741307282</v>
      </c>
      <c r="P248" s="20">
        <f>원천데이터!G3427</f>
        <v>0.44569358109231128</v>
      </c>
      <c r="Q248" s="20">
        <f>원천데이터!G3695</f>
        <v>0.44690046674208606</v>
      </c>
      <c r="R248" s="20">
        <f t="shared" si="6"/>
        <v>0.42940522605180959</v>
      </c>
      <c r="S248" s="27">
        <f t="shared" si="7"/>
        <v>14</v>
      </c>
    </row>
    <row r="249" spans="1:19">
      <c r="A249" s="15" t="s">
        <v>440</v>
      </c>
      <c r="B249" s="15" t="s">
        <v>470</v>
      </c>
      <c r="C249" s="15" t="s">
        <v>471</v>
      </c>
      <c r="D249" s="20">
        <f>원천데이터!G234</f>
        <v>0.49508391375490524</v>
      </c>
      <c r="E249" s="20">
        <f>원천데이터!G497</f>
        <v>0.48783192296469213</v>
      </c>
      <c r="F249" s="20">
        <f>원천데이터!G764</f>
        <v>0.49205552274069697</v>
      </c>
      <c r="G249" s="20">
        <f>원천데이터!G1032</f>
        <v>0.49013903305507228</v>
      </c>
      <c r="H249" s="20">
        <f>원천데이터!G1300</f>
        <v>0.49234475216504597</v>
      </c>
      <c r="I249" s="20">
        <f>원천데이터!G1566</f>
        <v>0.50716426901507439</v>
      </c>
      <c r="J249" s="20">
        <f>원천데이터!G1832</f>
        <v>0.52822409424012051</v>
      </c>
      <c r="K249" s="20">
        <f>원천데이터!G2098</f>
        <v>0.51363825059217116</v>
      </c>
      <c r="L249" s="20">
        <f>원천데이터!G2364</f>
        <v>0.50258060740827437</v>
      </c>
      <c r="M249" s="20">
        <f>원천데이터!G2630</f>
        <v>0.48932849364791287</v>
      </c>
      <c r="N249" s="20">
        <f>원천데이터!G2896</f>
        <v>0.48759165590684561</v>
      </c>
      <c r="O249" s="20">
        <f>원천데이터!G3162</f>
        <v>0.484992439800501</v>
      </c>
      <c r="P249" s="20">
        <f>원천데이터!G3428</f>
        <v>0.49486192847442284</v>
      </c>
      <c r="Q249" s="20">
        <f>원천데이터!G3696</f>
        <v>0.49795679423310912</v>
      </c>
      <c r="R249" s="20">
        <f t="shared" si="6"/>
        <v>0.49741383414277462</v>
      </c>
      <c r="S249" s="27">
        <f t="shared" si="7"/>
        <v>14</v>
      </c>
    </row>
    <row r="250" spans="1:19">
      <c r="A250" s="15" t="s">
        <v>440</v>
      </c>
      <c r="B250" s="15" t="s">
        <v>472</v>
      </c>
      <c r="C250" s="15" t="s">
        <v>473</v>
      </c>
      <c r="D250" s="20">
        <f>원천데이터!G235</f>
        <v>0.52705477183919469</v>
      </c>
      <c r="E250" s="20">
        <f>원천데이터!G498</f>
        <v>0.52846743793058626</v>
      </c>
      <c r="F250" s="20">
        <f>원천데이터!G765</f>
        <v>0.52683117900509202</v>
      </c>
      <c r="G250" s="20">
        <f>원천데이터!G1033</f>
        <v>0.5296043838545843</v>
      </c>
      <c r="H250" s="20">
        <f>원천데이터!G1301</f>
        <v>0.53299560959135428</v>
      </c>
      <c r="I250" s="20">
        <f>원천데이터!G1567</f>
        <v>0.53660020277120646</v>
      </c>
      <c r="J250" s="20">
        <f>원천데이터!G1833</f>
        <v>0.53860716700473288</v>
      </c>
      <c r="K250" s="20">
        <f>원천데이터!G2099</f>
        <v>0.54055882551924772</v>
      </c>
      <c r="L250" s="20">
        <f>원천데이터!G2365</f>
        <v>0.54220158426659382</v>
      </c>
      <c r="M250" s="20">
        <f>원천데이터!G2631</f>
        <v>0.54257260149004105</v>
      </c>
      <c r="N250" s="20">
        <f>원천데이터!G2897</f>
        <v>0.54071488199134854</v>
      </c>
      <c r="O250" s="20">
        <f>원천데이터!G3163</f>
        <v>0.59433739677546205</v>
      </c>
      <c r="P250" s="20">
        <f>원천데이터!G3429</f>
        <v>0.55486719361959691</v>
      </c>
      <c r="Q250" s="20">
        <f>원천데이터!G3697</f>
        <v>0.56101072636959182</v>
      </c>
      <c r="R250" s="20">
        <f t="shared" si="6"/>
        <v>0.5426017115734737</v>
      </c>
      <c r="S250" s="27">
        <f t="shared" si="7"/>
        <v>14</v>
      </c>
    </row>
    <row r="251" spans="1:19">
      <c r="A251" s="15" t="s">
        <v>440</v>
      </c>
      <c r="B251" s="15" t="s">
        <v>474</v>
      </c>
      <c r="C251" s="15" t="s">
        <v>475</v>
      </c>
      <c r="D251" s="20">
        <f>원천데이터!G236</f>
        <v>0.41890338719491582</v>
      </c>
      <c r="E251" s="20">
        <f>원천데이터!G499</f>
        <v>0.42772366810367768</v>
      </c>
      <c r="F251" s="20">
        <f>원천데이터!G766</f>
        <v>0.42904185256001698</v>
      </c>
      <c r="G251" s="20">
        <f>원천데이터!G1034</f>
        <v>0.42787846833190535</v>
      </c>
      <c r="H251" s="20">
        <f>원천데이터!G1302</f>
        <v>0.42991025335557143</v>
      </c>
      <c r="I251" s="20">
        <f>원천데이터!G1568</f>
        <v>0.43742088710835042</v>
      </c>
      <c r="J251" s="20">
        <f>원천데이터!G1834</f>
        <v>0.43738640132669981</v>
      </c>
      <c r="K251" s="20">
        <f>원천데이터!G2100</f>
        <v>0.43703315599978504</v>
      </c>
      <c r="L251" s="20">
        <f>원천데이터!G2366</f>
        <v>0.44550539731556349</v>
      </c>
      <c r="M251" s="20">
        <f>원천데이터!G2632</f>
        <v>0.43465921245917538</v>
      </c>
      <c r="N251" s="20">
        <f>원천데이터!G2898</f>
        <v>0.44001643967630844</v>
      </c>
      <c r="O251" s="20">
        <f>원천데이터!G3164</f>
        <v>0.44447041355037398</v>
      </c>
      <c r="P251" s="20">
        <f>원천데이터!G3430</f>
        <v>0.44868777782365166</v>
      </c>
      <c r="Q251" s="20">
        <f>원천데이터!G3698</f>
        <v>0.45188646349117789</v>
      </c>
      <c r="R251" s="20">
        <f t="shared" si="6"/>
        <v>0.43646598416408378</v>
      </c>
      <c r="S251" s="27">
        <f t="shared" si="7"/>
        <v>14</v>
      </c>
    </row>
    <row r="252" spans="1:19">
      <c r="A252" s="15" t="s">
        <v>440</v>
      </c>
      <c r="B252" s="15" t="s">
        <v>476</v>
      </c>
      <c r="C252" s="15" t="s">
        <v>477</v>
      </c>
      <c r="D252" s="20">
        <f>원천데이터!G237</f>
        <v>0.47304386260802811</v>
      </c>
      <c r="E252" s="20">
        <f>원천데이터!G500</f>
        <v>0.47565994061119032</v>
      </c>
      <c r="F252" s="20">
        <f>원천데이터!G767</f>
        <v>0.47253632980110472</v>
      </c>
      <c r="G252" s="20">
        <f>원천데이터!G1035</f>
        <v>0.47756604333630159</v>
      </c>
      <c r="H252" s="20">
        <f>원천데이터!G1303</f>
        <v>0.48185094146003865</v>
      </c>
      <c r="I252" s="20">
        <f>원천데이터!G1569</f>
        <v>0.49014787101371815</v>
      </c>
      <c r="J252" s="20">
        <f>원천데이터!G1835</f>
        <v>0.49285705746631758</v>
      </c>
      <c r="K252" s="20">
        <f>원천데이터!G2101</f>
        <v>0.49435079017049471</v>
      </c>
      <c r="L252" s="20">
        <f>원천데이터!G2367</f>
        <v>0.50186755988240395</v>
      </c>
      <c r="M252" s="20">
        <f>원천데이터!G2633</f>
        <v>0.49471013573512623</v>
      </c>
      <c r="N252" s="20">
        <f>원천데이터!G2899</f>
        <v>0.50334663487894749</v>
      </c>
      <c r="O252" s="20">
        <f>원천데이터!G3165</f>
        <v>0.50011790842859094</v>
      </c>
      <c r="P252" s="20">
        <f>원천데이터!G3431</f>
        <v>0.51952410390986736</v>
      </c>
      <c r="Q252" s="20">
        <f>원천데이터!G3699</f>
        <v>0.51276860192458007</v>
      </c>
      <c r="R252" s="20">
        <f t="shared" si="6"/>
        <v>0.49216769865905075</v>
      </c>
      <c r="S252" s="27">
        <f t="shared" si="7"/>
        <v>14</v>
      </c>
    </row>
    <row r="253" spans="1:19">
      <c r="A253" s="15" t="s">
        <v>440</v>
      </c>
      <c r="B253" s="15" t="s">
        <v>478</v>
      </c>
      <c r="C253" s="15" t="s">
        <v>479</v>
      </c>
      <c r="D253" s="20">
        <f>원천데이터!G238</f>
        <v>0.48574624431014929</v>
      </c>
      <c r="E253" s="20">
        <f>원천데이터!G501</f>
        <v>0.4889930539440912</v>
      </c>
      <c r="F253" s="20">
        <f>원천데이터!G768</f>
        <v>0.50976738594698567</v>
      </c>
      <c r="G253" s="20">
        <f>원천데이터!G1036</f>
        <v>0.51506371404074147</v>
      </c>
      <c r="H253" s="20">
        <f>원천데이터!G1304</f>
        <v>0.50133357718744764</v>
      </c>
      <c r="I253" s="20">
        <f>원천데이터!G1570</f>
        <v>0.50642386998629374</v>
      </c>
      <c r="J253" s="20">
        <f>원천데이터!G1836</f>
        <v>0.51156448234815499</v>
      </c>
      <c r="K253" s="20">
        <f>원천데이터!G2102</f>
        <v>0.51397489791920925</v>
      </c>
      <c r="L253" s="20">
        <f>원천데이터!G2368</f>
        <v>0.51717257225783042</v>
      </c>
      <c r="M253" s="20">
        <f>원천데이터!G2634</f>
        <v>0.51876679841897233</v>
      </c>
      <c r="N253" s="20">
        <f>원천데이터!G2900</f>
        <v>0.5145361164774066</v>
      </c>
      <c r="O253" s="20">
        <f>원천데이터!G3166</f>
        <v>0.51335654447873746</v>
      </c>
      <c r="P253" s="20">
        <f>원천데이터!G3432</f>
        <v>0.51736796643632776</v>
      </c>
      <c r="Q253" s="20">
        <f>원천데이터!G3700</f>
        <v>0.52006657455093586</v>
      </c>
      <c r="R253" s="20">
        <f t="shared" si="6"/>
        <v>0.50958098559309173</v>
      </c>
      <c r="S253" s="27">
        <f t="shared" si="7"/>
        <v>14</v>
      </c>
    </row>
    <row r="254" spans="1:19">
      <c r="A254" s="15" t="s">
        <v>440</v>
      </c>
      <c r="B254" s="15" t="s">
        <v>480</v>
      </c>
      <c r="C254" s="15" t="s">
        <v>481</v>
      </c>
      <c r="D254" s="20">
        <f>원천데이터!G239</f>
        <v>0.51776522912398182</v>
      </c>
      <c r="E254" s="20">
        <f>원천데이터!G502</f>
        <v>0.51821943073625443</v>
      </c>
      <c r="F254" s="20">
        <f>원천데이터!G769</f>
        <v>0.51954932099686613</v>
      </c>
      <c r="G254" s="20">
        <f>원천데이터!G1037</f>
        <v>0.5262721373859589</v>
      </c>
      <c r="H254" s="20">
        <f>원천데이터!G1305</f>
        <v>0.51807347825014183</v>
      </c>
      <c r="I254" s="20">
        <f>원천데이터!G1571</f>
        <v>0.5203644289877789</v>
      </c>
      <c r="J254" s="20">
        <f>원천데이터!G1837</f>
        <v>0.52114621094424307</v>
      </c>
      <c r="K254" s="20">
        <f>원천데이터!G2103</f>
        <v>0.5215306273792456</v>
      </c>
      <c r="L254" s="20">
        <f>원천데이터!G2369</f>
        <v>0.52564356926739741</v>
      </c>
      <c r="M254" s="20">
        <f>원천데이터!G2635</f>
        <v>0.5224268238838532</v>
      </c>
      <c r="N254" s="20">
        <f>원천데이터!G2901</f>
        <v>0.52896341463414631</v>
      </c>
      <c r="O254" s="20">
        <f>원천데이터!G3167</f>
        <v>0.52164546053632077</v>
      </c>
      <c r="P254" s="20">
        <f>원천데이터!G3433</f>
        <v>0.5212244897959184</v>
      </c>
      <c r="Q254" s="20">
        <f>원천데이터!G3701</f>
        <v>0.52243440459555968</v>
      </c>
      <c r="R254" s="20">
        <f t="shared" si="6"/>
        <v>0.5218042161798333</v>
      </c>
      <c r="S254" s="27">
        <f t="shared" si="7"/>
        <v>14</v>
      </c>
    </row>
    <row r="255" spans="1:19">
      <c r="A255" s="15" t="s">
        <v>440</v>
      </c>
      <c r="B255" s="15" t="s">
        <v>482</v>
      </c>
      <c r="C255" s="15" t="s">
        <v>483</v>
      </c>
      <c r="D255" s="20">
        <f>원천데이터!G240</f>
        <v>0.48391060996988883</v>
      </c>
      <c r="E255" s="20">
        <f>원천데이터!G503</f>
        <v>0.48532447870070883</v>
      </c>
      <c r="F255" s="20">
        <f>원천데이터!G770</f>
        <v>0.48956861862284379</v>
      </c>
      <c r="G255" s="20">
        <f>원천데이터!G1038</f>
        <v>0.49286878565607173</v>
      </c>
      <c r="H255" s="20">
        <f>원천데이터!G1306</f>
        <v>0.49999180153147393</v>
      </c>
      <c r="I255" s="20">
        <f>원천데이터!G1572</f>
        <v>0.50103972388363671</v>
      </c>
      <c r="J255" s="20">
        <f>원천데이터!G1838</f>
        <v>0.50364879712687971</v>
      </c>
      <c r="K255" s="20">
        <f>원천데이터!G2104</f>
        <v>0.50429654406020663</v>
      </c>
      <c r="L255" s="20">
        <f>원천데이터!G2370</f>
        <v>0.50719731881022201</v>
      </c>
      <c r="M255" s="20">
        <f>원천데이터!G2636</f>
        <v>0.50828577568709854</v>
      </c>
      <c r="N255" s="20">
        <f>원천데이터!G2902</f>
        <v>0.50596317539828339</v>
      </c>
      <c r="O255" s="20">
        <f>원천데이터!G3168</f>
        <v>0.49204871140056428</v>
      </c>
      <c r="P255" s="20">
        <f>원천데이터!G3434</f>
        <v>0.49533120010931825</v>
      </c>
      <c r="Q255" s="20">
        <f>원천데이터!G3702</f>
        <v>0.49412425370928653</v>
      </c>
      <c r="R255" s="20">
        <f t="shared" si="6"/>
        <v>0.4973999853333203</v>
      </c>
      <c r="S255" s="27">
        <f t="shared" si="7"/>
        <v>14</v>
      </c>
    </row>
    <row r="256" spans="1:19">
      <c r="A256" s="15" t="s">
        <v>440</v>
      </c>
      <c r="B256" s="15" t="s">
        <v>484</v>
      </c>
      <c r="C256" s="15" t="s">
        <v>485</v>
      </c>
      <c r="D256" s="20">
        <f>원천데이터!G241</f>
        <v>0.45322775357641526</v>
      </c>
      <c r="E256" s="20">
        <f>원천데이터!G504</f>
        <v>0.44872133373566686</v>
      </c>
      <c r="F256" s="20">
        <f>원천데이터!G771</f>
        <v>0.44853992184655184</v>
      </c>
      <c r="G256" s="20">
        <f>원천데이터!G1039</f>
        <v>0.44687464277354699</v>
      </c>
      <c r="H256" s="20">
        <f>원천데이터!G1307</f>
        <v>0.44652988052163839</v>
      </c>
      <c r="I256" s="20">
        <f>원천데이터!G1573</f>
        <v>0.44082689033372413</v>
      </c>
      <c r="J256" s="20">
        <f>원천데이터!G1839</f>
        <v>0.43458906200565051</v>
      </c>
      <c r="K256" s="20">
        <f>원천데이터!G2105</f>
        <v>0.43227603883711535</v>
      </c>
      <c r="L256" s="20">
        <f>원천데이터!G2371</f>
        <v>0.42938766251258276</v>
      </c>
      <c r="M256" s="20">
        <f>원천데이터!G2637</f>
        <v>0.42092488348162943</v>
      </c>
      <c r="N256" s="20">
        <f>원천데이터!G2903</f>
        <v>0.42400611756755557</v>
      </c>
      <c r="O256" s="20">
        <f>원천데이터!G3169</f>
        <v>0.42446325846984495</v>
      </c>
      <c r="P256" s="20">
        <f>원천데이터!G3435</f>
        <v>0.43047958202430581</v>
      </c>
      <c r="Q256" s="20">
        <f>원천데이터!G3703</f>
        <v>0.42968100268892251</v>
      </c>
      <c r="R256" s="20">
        <f t="shared" si="6"/>
        <v>0.43646628788393926</v>
      </c>
      <c r="S256" s="27">
        <f t="shared" si="7"/>
        <v>14</v>
      </c>
    </row>
    <row r="257" spans="1:19">
      <c r="A257" s="15" t="s">
        <v>440</v>
      </c>
      <c r="B257" s="15" t="s">
        <v>486</v>
      </c>
      <c r="C257" s="15" t="s">
        <v>487</v>
      </c>
      <c r="D257" s="20">
        <f>원천데이터!G242</f>
        <v>0.39576300557527994</v>
      </c>
      <c r="E257" s="20">
        <f>원천데이터!G505</f>
        <v>0.39082073376040105</v>
      </c>
      <c r="F257" s="20">
        <f>원천데이터!G772</f>
        <v>0.388698287255203</v>
      </c>
      <c r="G257" s="20">
        <f>원천데이터!G1040</f>
        <v>0.39318968783891495</v>
      </c>
      <c r="H257" s="20">
        <f>원천데이터!G1308</f>
        <v>0.40358029249482086</v>
      </c>
      <c r="I257" s="20">
        <f>원천데이터!G1574</f>
        <v>0.41287864489356296</v>
      </c>
      <c r="J257" s="20">
        <f>원천데이터!G1840</f>
        <v>0.41703775023067358</v>
      </c>
      <c r="K257" s="20">
        <f>원천데이터!G2106</f>
        <v>0.42045046228264288</v>
      </c>
      <c r="L257" s="20">
        <f>원천데이터!G2372</f>
        <v>0.42510036647008231</v>
      </c>
      <c r="M257" s="20">
        <f>원천데이터!G2638</f>
        <v>0.41329579804785749</v>
      </c>
      <c r="N257" s="20">
        <f>원천데이터!G2904</f>
        <v>0.42334471837545801</v>
      </c>
      <c r="O257" s="20">
        <f>원천데이터!G3170</f>
        <v>0.42497600384891115</v>
      </c>
      <c r="P257" s="20">
        <f>원천데이터!G3436</f>
        <v>0.42727042263722731</v>
      </c>
      <c r="Q257" s="20">
        <f>원천데이터!G3704</f>
        <v>0.42892600727719249</v>
      </c>
      <c r="R257" s="20">
        <f t="shared" si="6"/>
        <v>0.41180944149915921</v>
      </c>
      <c r="S257" s="27">
        <f t="shared" si="7"/>
        <v>14</v>
      </c>
    </row>
    <row r="258" spans="1:19">
      <c r="A258" s="15" t="s">
        <v>488</v>
      </c>
      <c r="B258" s="15" t="s">
        <v>22</v>
      </c>
      <c r="C258" s="15" t="s">
        <v>488</v>
      </c>
      <c r="D258" s="20">
        <f>원천데이터!G243</f>
        <v>0.22138642341841741</v>
      </c>
      <c r="E258" s="20">
        <f>원천데이터!G506</f>
        <v>0.22530717905241426</v>
      </c>
      <c r="F258" s="20">
        <f>원천데이터!G773</f>
        <v>0.2282676317467241</v>
      </c>
      <c r="G258" s="20">
        <f>원천데이터!G1041</f>
        <v>0.23241878527049631</v>
      </c>
      <c r="H258" s="20">
        <f>원천데이터!G1309</f>
        <v>0.23423998838253024</v>
      </c>
      <c r="I258" s="20">
        <f>원천데이터!G1575</f>
        <v>0.2366643368884177</v>
      </c>
      <c r="J258" s="20">
        <f>원천데이터!G1841</f>
        <v>0.23952303819785881</v>
      </c>
      <c r="K258" s="20">
        <f>원천데이터!G2107</f>
        <v>0.24194547661897456</v>
      </c>
      <c r="L258" s="20">
        <f>원천데이터!G2373</f>
        <v>0.24233653450438528</v>
      </c>
      <c r="M258" s="20">
        <f>원천데이터!G2639</f>
        <v>0.22398542908354305</v>
      </c>
      <c r="N258" s="20">
        <f>원천데이터!G2905</f>
        <v>0.22776288824336835</v>
      </c>
      <c r="O258" s="20">
        <f>원천데이터!G3171</f>
        <v>0.23835774732380377</v>
      </c>
      <c r="P258" s="20">
        <f>원천데이터!G3437</f>
        <v>0.24241892271057996</v>
      </c>
      <c r="Q258" s="20">
        <f>원천데이터!G3705</f>
        <v>0.24258161778304546</v>
      </c>
      <c r="R258" s="20">
        <f t="shared" si="6"/>
        <v>0.23408542851604</v>
      </c>
      <c r="S258" s="27">
        <f t="shared" si="7"/>
        <v>14</v>
      </c>
    </row>
    <row r="259" spans="1:19">
      <c r="A259" s="15" t="s">
        <v>488</v>
      </c>
      <c r="B259" s="15" t="s">
        <v>489</v>
      </c>
      <c r="C259" s="15" t="s">
        <v>490</v>
      </c>
      <c r="D259" s="20">
        <f>원천데이터!G244</f>
        <v>0.33294981425325909</v>
      </c>
      <c r="E259" s="20">
        <f>원천데이터!G507</f>
        <v>0.32508011597741493</v>
      </c>
      <c r="F259" s="20">
        <f>원천데이터!G774</f>
        <v>0.3338304434324581</v>
      </c>
      <c r="G259" s="20">
        <f>원천데이터!G1042</f>
        <v>0.33170357817585189</v>
      </c>
      <c r="H259" s="20">
        <f>원천데이터!G1310</f>
        <v>0.33426290243832391</v>
      </c>
      <c r="I259" s="20">
        <f>원천데이터!G1576</f>
        <v>0.33299564235957524</v>
      </c>
      <c r="J259" s="20">
        <f>원천데이터!G1842</f>
        <v>0.3386564656830004</v>
      </c>
      <c r="K259" s="20">
        <f>원천데이터!G2108</f>
        <v>0.34262678574055822</v>
      </c>
      <c r="L259" s="20">
        <f>원천데이터!G2374</f>
        <v>0.33903596403596403</v>
      </c>
      <c r="M259" s="20">
        <f>원천데이터!G2640</f>
        <v>0.32205910619137196</v>
      </c>
      <c r="N259" s="20">
        <f>원천데이터!G2906</f>
        <v>0.32543624896317513</v>
      </c>
      <c r="O259" s="20">
        <f>원천데이터!G3172</f>
        <v>0.33611275829037995</v>
      </c>
      <c r="P259" s="20">
        <f>원천데이터!G3438</f>
        <v>0.33979853440395913</v>
      </c>
      <c r="Q259" s="20">
        <f>원천데이터!G3706</f>
        <v>0.33554337266646456</v>
      </c>
      <c r="R259" s="20">
        <f t="shared" si="6"/>
        <v>0.33357798090083973</v>
      </c>
      <c r="S259" s="27">
        <f t="shared" si="7"/>
        <v>14</v>
      </c>
    </row>
    <row r="260" spans="1:19">
      <c r="A260" s="15" t="s">
        <v>488</v>
      </c>
      <c r="B260" s="15" t="s">
        <v>491</v>
      </c>
      <c r="C260" s="15" t="s">
        <v>492</v>
      </c>
      <c r="D260" s="20">
        <f>원천데이터!G245</f>
        <v>0.35877373164100068</v>
      </c>
      <c r="E260" s="20">
        <f>원천데이터!G508</f>
        <v>0.36633605736769809</v>
      </c>
      <c r="F260" s="20">
        <f>원천데이터!G775</f>
        <v>0.37373505059797607</v>
      </c>
      <c r="G260" s="20">
        <f>원천데이터!G1043</f>
        <v>0.38107442983998097</v>
      </c>
      <c r="H260" s="20">
        <f>원천데이터!G1311</f>
        <v>0.38578281922525109</v>
      </c>
      <c r="I260" s="20">
        <f>원천데이터!G1577</f>
        <v>0.39702038970920678</v>
      </c>
      <c r="J260" s="20">
        <f>원천데이터!G1843</f>
        <v>0.40125088090204369</v>
      </c>
      <c r="K260" s="20">
        <f>원천데이터!G2109</f>
        <v>0.40385266399484565</v>
      </c>
      <c r="L260" s="20">
        <f>원천데이터!G2375</f>
        <v>0.41065417506400131</v>
      </c>
      <c r="M260" s="20">
        <f>원천데이터!G2641</f>
        <v>0.38807893209518279</v>
      </c>
      <c r="N260" s="20">
        <f>원천데이터!G2907</f>
        <v>0.38967039266265407</v>
      </c>
      <c r="O260" s="20">
        <f>원천데이터!G3173</f>
        <v>0.40058928039373642</v>
      </c>
      <c r="P260" s="20">
        <f>원천데이터!G3439</f>
        <v>0.41243849938499383</v>
      </c>
      <c r="Q260" s="20">
        <f>원천데이터!G3707</f>
        <v>0.41585833895568114</v>
      </c>
      <c r="R260" s="20">
        <f t="shared" si="6"/>
        <v>0.39179397441673236</v>
      </c>
      <c r="S260" s="27">
        <f t="shared" si="7"/>
        <v>14</v>
      </c>
    </row>
    <row r="261" spans="1:19">
      <c r="A261" s="15" t="s">
        <v>488</v>
      </c>
      <c r="B261" s="15" t="s">
        <v>260</v>
      </c>
      <c r="C261" s="15" t="s">
        <v>493</v>
      </c>
      <c r="D261" s="20">
        <f>원천데이터!G246</f>
        <v>0.4778245729612724</v>
      </c>
      <c r="E261" s="20">
        <f>원천데이터!G509</f>
        <v>0.4772820494790751</v>
      </c>
      <c r="F261" s="20">
        <f>원천데이터!G776</f>
        <v>0.48310621838738471</v>
      </c>
      <c r="G261" s="20">
        <f>원천데이터!G1044</f>
        <v>0.48101929655188852</v>
      </c>
      <c r="H261" s="20">
        <f>원천데이터!G1312</f>
        <v>0.48723264819779566</v>
      </c>
      <c r="I261" s="20">
        <f>원천데이터!G1578</f>
        <v>0.4951399222387558</v>
      </c>
      <c r="J261" s="20">
        <f>원천데이터!G1844</f>
        <v>0.49835930094066744</v>
      </c>
      <c r="K261" s="20">
        <f>원천데이터!G2110</f>
        <v>0.4990053746833879</v>
      </c>
      <c r="L261" s="20">
        <f>원천데이터!G2376</f>
        <v>0.49698722888217983</v>
      </c>
      <c r="M261" s="20">
        <f>원천데이터!G2642</f>
        <v>0.49582812956713523</v>
      </c>
      <c r="N261" s="20">
        <f>원천데이터!G2908</f>
        <v>0.49603227795501459</v>
      </c>
      <c r="O261" s="20">
        <f>원천데이터!G3174</f>
        <v>0.49382970501094936</v>
      </c>
      <c r="P261" s="20">
        <f>원천데이터!G3440</f>
        <v>0.49721100965369491</v>
      </c>
      <c r="Q261" s="20">
        <f>원천데이터!G3708</f>
        <v>0.49824194111173742</v>
      </c>
      <c r="R261" s="20">
        <f t="shared" si="6"/>
        <v>0.4912214054014955</v>
      </c>
      <c r="S261" s="27">
        <f t="shared" si="7"/>
        <v>14</v>
      </c>
    </row>
    <row r="262" spans="1:19">
      <c r="A262" s="15" t="s">
        <v>488</v>
      </c>
      <c r="B262" s="15" t="s">
        <v>494</v>
      </c>
      <c r="C262" s="15" t="s">
        <v>495</v>
      </c>
      <c r="D262" s="20">
        <f>원천데이터!G247</f>
        <v>0.3306245398360671</v>
      </c>
      <c r="E262" s="20">
        <f>원천데이터!G510</f>
        <v>0.3323146209599076</v>
      </c>
      <c r="F262" s="20">
        <f>원천데이터!G777</f>
        <v>0.33591444888601663</v>
      </c>
      <c r="G262" s="20">
        <f>원천데이터!G1045</f>
        <v>0.34015229828593235</v>
      </c>
      <c r="H262" s="20">
        <f>원천데이터!G1313</f>
        <v>0.33835922752190423</v>
      </c>
      <c r="I262" s="20">
        <f>원천데이터!G1579</f>
        <v>0.33940825075549935</v>
      </c>
      <c r="J262" s="20">
        <f>원천데이터!G1845</f>
        <v>0.34219332871556496</v>
      </c>
      <c r="K262" s="20">
        <f>원천데이터!G2111</f>
        <v>0.34631119194785664</v>
      </c>
      <c r="L262" s="20">
        <f>원천데이터!G2377</f>
        <v>0.34695416347428459</v>
      </c>
      <c r="M262" s="20">
        <f>원천데이터!G2643</f>
        <v>0.3352059634984994</v>
      </c>
      <c r="N262" s="20">
        <f>원천데이터!G2909</f>
        <v>0.34333925253395764</v>
      </c>
      <c r="O262" s="20">
        <f>원천데이터!G3175</f>
        <v>0.35155148233404082</v>
      </c>
      <c r="P262" s="20">
        <f>원천데이터!G3441</f>
        <v>0.35081930099126929</v>
      </c>
      <c r="Q262" s="20">
        <f>원천데이터!G3709</f>
        <v>0.35024392566251372</v>
      </c>
      <c r="R262" s="20">
        <f t="shared" ref="R262:R283" si="8">IFERROR(AVERAGE(D262:Q262),"")</f>
        <v>0.34167085681452247</v>
      </c>
      <c r="S262" s="27">
        <f t="shared" ref="S262:S283" si="9">COUNT(D262:Q262)</f>
        <v>14</v>
      </c>
    </row>
    <row r="263" spans="1:19">
      <c r="A263" s="15" t="s">
        <v>488</v>
      </c>
      <c r="B263" s="15" t="s">
        <v>496</v>
      </c>
      <c r="C263" s="15" t="s">
        <v>497</v>
      </c>
      <c r="D263" s="20">
        <f>원천데이터!G248</f>
        <v>0.46467075686976483</v>
      </c>
      <c r="E263" s="20">
        <f>원천데이터!G511</f>
        <v>0.45982036848207175</v>
      </c>
      <c r="F263" s="20">
        <f>원천데이터!G778</f>
        <v>0.47122870359923275</v>
      </c>
      <c r="G263" s="20">
        <f>원천데이터!G1046</f>
        <v>0.47181224292281637</v>
      </c>
      <c r="H263" s="20">
        <f>원천데이터!G1314</f>
        <v>0.4742883313534943</v>
      </c>
      <c r="I263" s="20">
        <f>원천데이터!G1580</f>
        <v>0.47842355422644073</v>
      </c>
      <c r="J263" s="20">
        <f>원천데이터!G1846</f>
        <v>0.47994627031288783</v>
      </c>
      <c r="K263" s="20">
        <f>원천데이터!G2112</f>
        <v>0.4863049699234947</v>
      </c>
      <c r="L263" s="20">
        <f>원천데이터!G2378</f>
        <v>0.49271205636205856</v>
      </c>
      <c r="M263" s="20">
        <f>원천데이터!G2644</f>
        <v>0.48901090426762495</v>
      </c>
      <c r="N263" s="20">
        <f>원천데이터!G2910</f>
        <v>0.49554478900793225</v>
      </c>
      <c r="O263" s="20">
        <f>원천데이터!G3176</f>
        <v>0.48789596631403531</v>
      </c>
      <c r="P263" s="20">
        <f>원천데이터!G3442</f>
        <v>0.49402402539219709</v>
      </c>
      <c r="Q263" s="20">
        <f>원천데이터!G3710</f>
        <v>0.50078397888690518</v>
      </c>
      <c r="R263" s="20">
        <f t="shared" si="8"/>
        <v>0.48189049413721113</v>
      </c>
      <c r="S263" s="27">
        <f t="shared" si="9"/>
        <v>14</v>
      </c>
    </row>
    <row r="264" spans="1:19">
      <c r="A264" s="15" t="s">
        <v>488</v>
      </c>
      <c r="B264" s="15" t="s">
        <v>498</v>
      </c>
      <c r="C264" s="15" t="s">
        <v>499</v>
      </c>
      <c r="D264" s="20">
        <f>원천데이터!G249</f>
        <v>0.38930517480624088</v>
      </c>
      <c r="E264" s="20">
        <f>원천데이터!G512</f>
        <v>0.39323102146130379</v>
      </c>
      <c r="F264" s="20">
        <f>원천데이터!G779</f>
        <v>0.39395004325259514</v>
      </c>
      <c r="G264" s="20">
        <f>원천데이터!G1047</f>
        <v>0.39752672676698281</v>
      </c>
      <c r="H264" s="20">
        <f>원천데이터!G1315</f>
        <v>0.4027589506418946</v>
      </c>
      <c r="I264" s="20">
        <f>원천데이터!G1581</f>
        <v>0.40779006501541909</v>
      </c>
      <c r="J264" s="20">
        <f>원천데이터!G1847</f>
        <v>0.41607701595627278</v>
      </c>
      <c r="K264" s="20">
        <f>원천데이터!G2113</f>
        <v>0.41355623657603857</v>
      </c>
      <c r="L264" s="20">
        <f>원천데이터!G2379</f>
        <v>0.41773159785741548</v>
      </c>
      <c r="M264" s="20">
        <f>원천데이터!G2645</f>
        <v>0.40740817282521835</v>
      </c>
      <c r="N264" s="20">
        <f>원천데이터!G2911</f>
        <v>0.41004046811768569</v>
      </c>
      <c r="O264" s="20">
        <f>원천데이터!G3177</f>
        <v>0.41025354482885562</v>
      </c>
      <c r="P264" s="20">
        <f>원천데이터!G3443</f>
        <v>0.4144373504120506</v>
      </c>
      <c r="Q264" s="20">
        <f>원천데이터!G3711</f>
        <v>0.41509091885794097</v>
      </c>
      <c r="R264" s="20">
        <f t="shared" si="8"/>
        <v>0.40636837766970818</v>
      </c>
      <c r="S264" s="27">
        <f t="shared" si="9"/>
        <v>14</v>
      </c>
    </row>
    <row r="265" spans="1:19">
      <c r="A265" s="15" t="s">
        <v>488</v>
      </c>
      <c r="B265" s="15" t="s">
        <v>500</v>
      </c>
      <c r="C265" s="15" t="s">
        <v>501</v>
      </c>
      <c r="D265" s="20">
        <f>원천데이터!G250</f>
        <v>0.4112119106202613</v>
      </c>
      <c r="E265" s="20">
        <f>원천데이터!G513</f>
        <v>0.41123248372503585</v>
      </c>
      <c r="F265" s="20">
        <f>원천데이터!G780</f>
        <v>0.42188777916410464</v>
      </c>
      <c r="G265" s="20">
        <f>원천데이터!G1048</f>
        <v>0.4189026713013666</v>
      </c>
      <c r="H265" s="20">
        <f>원천데이터!G1316</f>
        <v>0.41572905875942351</v>
      </c>
      <c r="I265" s="20">
        <f>원천데이터!G1582</f>
        <v>0.42016555240996667</v>
      </c>
      <c r="J265" s="20">
        <f>원천데이터!G1848</f>
        <v>0.42472473304747538</v>
      </c>
      <c r="K265" s="20">
        <f>원천데이터!G2114</f>
        <v>0.42376283763196099</v>
      </c>
      <c r="L265" s="20">
        <f>원천데이터!G2380</f>
        <v>0.42489820859222333</v>
      </c>
      <c r="M265" s="20">
        <f>원천데이터!G2646</f>
        <v>0.41668981364577545</v>
      </c>
      <c r="N265" s="20">
        <f>원천데이터!G2912</f>
        <v>0.42097557313044348</v>
      </c>
      <c r="O265" s="20">
        <f>원천데이터!G3178</f>
        <v>0.41792224117805515</v>
      </c>
      <c r="P265" s="20">
        <f>원천데이터!G3444</f>
        <v>0.42386183356569396</v>
      </c>
      <c r="Q265" s="20">
        <f>원천데이터!G3712</f>
        <v>0.42247871195959374</v>
      </c>
      <c r="R265" s="20">
        <f t="shared" si="8"/>
        <v>0.41960310062367007</v>
      </c>
      <c r="S265" s="27">
        <f t="shared" si="9"/>
        <v>14</v>
      </c>
    </row>
    <row r="266" spans="1:19">
      <c r="A266" s="15" t="s">
        <v>488</v>
      </c>
      <c r="B266" s="15" t="s">
        <v>502</v>
      </c>
      <c r="C266" s="15" t="s">
        <v>503</v>
      </c>
      <c r="D266" s="20">
        <f>원천데이터!G251</f>
        <v>0.53515220925077578</v>
      </c>
      <c r="E266" s="20">
        <f>원천데이터!G514</f>
        <v>0.52873731103483534</v>
      </c>
      <c r="F266" s="20">
        <f>원천데이터!G781</f>
        <v>0.53269940546535521</v>
      </c>
      <c r="G266" s="20">
        <f>원천데이터!G1049</f>
        <v>0.53345657532260404</v>
      </c>
      <c r="H266" s="20">
        <f>원천데이터!G1317</f>
        <v>0.5360158170353746</v>
      </c>
      <c r="I266" s="20">
        <f>원천데이터!G1583</f>
        <v>0.53912170020794414</v>
      </c>
      <c r="J266" s="20">
        <f>원천데이터!G1849</f>
        <v>0.54526821064433617</v>
      </c>
      <c r="K266" s="20">
        <f>원천데이터!G2115</f>
        <v>0.54268655671113908</v>
      </c>
      <c r="L266" s="20">
        <f>원천데이터!G2381</f>
        <v>0.54684913954191949</v>
      </c>
      <c r="M266" s="20">
        <f>원천데이터!G2647</f>
        <v>0.54490818030050081</v>
      </c>
      <c r="N266" s="20">
        <f>원천데이터!G2913</f>
        <v>0.55126522961574509</v>
      </c>
      <c r="O266" s="20">
        <f>원천데이터!G3179</f>
        <v>0.54167861238532111</v>
      </c>
      <c r="P266" s="20">
        <f>원천데이터!G3445</f>
        <v>0.54217151136466535</v>
      </c>
      <c r="Q266" s="20">
        <f>원천데이터!G3713</f>
        <v>0.54162600128901572</v>
      </c>
      <c r="R266" s="20">
        <f t="shared" si="8"/>
        <v>0.54011689001210939</v>
      </c>
      <c r="S266" s="27">
        <f t="shared" si="9"/>
        <v>14</v>
      </c>
    </row>
    <row r="267" spans="1:19">
      <c r="A267" s="15" t="s">
        <v>488</v>
      </c>
      <c r="B267" s="15" t="s">
        <v>504</v>
      </c>
      <c r="C267" s="15" t="s">
        <v>505</v>
      </c>
      <c r="D267" s="20">
        <f>원천데이터!G252</f>
        <v>0.36522134496987446</v>
      </c>
      <c r="E267" s="20">
        <f>원천데이터!G515</f>
        <v>0.36221128782704448</v>
      </c>
      <c r="F267" s="20">
        <f>원천데이터!G782</f>
        <v>0.36693210224438233</v>
      </c>
      <c r="G267" s="20">
        <f>원천데이터!G1050</f>
        <v>0.37596122206191307</v>
      </c>
      <c r="H267" s="20">
        <f>원천데이터!G1318</f>
        <v>0.37130316926724055</v>
      </c>
      <c r="I267" s="20">
        <f>원천데이터!G1584</f>
        <v>0.37069085316706657</v>
      </c>
      <c r="J267" s="20">
        <f>원천데이터!G1850</f>
        <v>0.37189113446510375</v>
      </c>
      <c r="K267" s="20">
        <f>원천데이터!G2116</f>
        <v>0.36572866620910549</v>
      </c>
      <c r="L267" s="20">
        <f>원천데이터!G2382</f>
        <v>0.36152943497720591</v>
      </c>
      <c r="M267" s="20">
        <f>원천데이터!G2648</f>
        <v>0.34491113479024871</v>
      </c>
      <c r="N267" s="20">
        <f>원천데이터!G2914</f>
        <v>0.34823039555863983</v>
      </c>
      <c r="O267" s="20">
        <f>원천데이터!G3180</f>
        <v>0.35022434313855449</v>
      </c>
      <c r="P267" s="20">
        <f>원천데이터!G3446</f>
        <v>0.35494580353028393</v>
      </c>
      <c r="Q267" s="20">
        <f>원천데이터!G3714</f>
        <v>0.36156961985337371</v>
      </c>
      <c r="R267" s="20">
        <f t="shared" si="8"/>
        <v>0.36223932229000272</v>
      </c>
      <c r="S267" s="27">
        <f t="shared" si="9"/>
        <v>14</v>
      </c>
    </row>
    <row r="268" spans="1:19">
      <c r="A268" s="15" t="s">
        <v>488</v>
      </c>
      <c r="B268" s="15" t="s">
        <v>506</v>
      </c>
      <c r="C268" s="15" t="s">
        <v>507</v>
      </c>
      <c r="D268" s="20">
        <f>원천데이터!G253</f>
        <v>0.51744096140676432</v>
      </c>
      <c r="E268" s="20">
        <f>원천데이터!G516</f>
        <v>0.52303635254119085</v>
      </c>
      <c r="F268" s="20">
        <f>원천데이터!G783</f>
        <v>0.5222118463180363</v>
      </c>
      <c r="G268" s="20">
        <f>원천데이터!G1051</f>
        <v>0.52661052074606463</v>
      </c>
      <c r="H268" s="20">
        <f>원천데이터!G1319</f>
        <v>0.53322513950334582</v>
      </c>
      <c r="I268" s="20">
        <f>원천데이터!G1585</f>
        <v>0.52811607448874676</v>
      </c>
      <c r="J268" s="20">
        <f>원천데이터!G1851</f>
        <v>0.53016913172892777</v>
      </c>
      <c r="K268" s="20">
        <f>원천데이터!G2117</f>
        <v>0.52942534573915456</v>
      </c>
      <c r="L268" s="20">
        <f>원천데이터!G2383</f>
        <v>0.53396517110976238</v>
      </c>
      <c r="M268" s="20">
        <f>원천데이터!G2649</f>
        <v>0.53055371718508715</v>
      </c>
      <c r="N268" s="20">
        <f>원천데이터!G2915</f>
        <v>0.5306805870186152</v>
      </c>
      <c r="O268" s="20">
        <f>원천데이터!G3181</f>
        <v>0.52799216267233762</v>
      </c>
      <c r="P268" s="20">
        <f>원천데이터!G3447</f>
        <v>0.53247293921731886</v>
      </c>
      <c r="Q268" s="20">
        <f>원천데이터!G3715</f>
        <v>0.53481004764399209</v>
      </c>
      <c r="R268" s="20">
        <f t="shared" si="8"/>
        <v>0.52862214266566743</v>
      </c>
      <c r="S268" s="27">
        <f t="shared" si="9"/>
        <v>14</v>
      </c>
    </row>
    <row r="269" spans="1:19">
      <c r="A269" s="15" t="s">
        <v>488</v>
      </c>
      <c r="B269" s="15" t="s">
        <v>508</v>
      </c>
      <c r="C269" s="15" t="s">
        <v>509</v>
      </c>
      <c r="D269" s="20">
        <f>원천데이터!G254</f>
        <v>0.22805428205618292</v>
      </c>
      <c r="E269" s="20">
        <f>원천데이터!G517</f>
        <v>0.22878852817094142</v>
      </c>
      <c r="F269" s="20">
        <f>원천데이터!G784</f>
        <v>0.23132199826341027</v>
      </c>
      <c r="G269" s="20">
        <f>원천데이터!G1052</f>
        <v>0.23584771897486795</v>
      </c>
      <c r="H269" s="20">
        <f>원천데이터!G1320</f>
        <v>0.23897392191936259</v>
      </c>
      <c r="I269" s="20">
        <f>원천데이터!G1586</f>
        <v>0.2382858724865923</v>
      </c>
      <c r="J269" s="20">
        <f>원천데이터!G1852</f>
        <v>0.23923693823429118</v>
      </c>
      <c r="K269" s="20">
        <f>원천데이터!G2118</f>
        <v>0.239440418082912</v>
      </c>
      <c r="L269" s="20">
        <f>원천데이터!G2384</f>
        <v>0.240312796300238</v>
      </c>
      <c r="M269" s="20">
        <f>원천데이터!G2650</f>
        <v>0.22123615386357859</v>
      </c>
      <c r="N269" s="20">
        <f>원천데이터!G2916</f>
        <v>0.22286243007948858</v>
      </c>
      <c r="O269" s="20">
        <f>원천데이터!G3182</f>
        <v>0.24011530566880127</v>
      </c>
      <c r="P269" s="20">
        <f>원천데이터!G3448</f>
        <v>0.24331288754177205</v>
      </c>
      <c r="Q269" s="20">
        <f>원천데이터!G3716</f>
        <v>0.24616950914841076</v>
      </c>
      <c r="R269" s="20">
        <f t="shared" si="8"/>
        <v>0.2352827686279178</v>
      </c>
      <c r="S269" s="27">
        <f t="shared" si="9"/>
        <v>14</v>
      </c>
    </row>
    <row r="270" spans="1:19">
      <c r="A270" s="15" t="s">
        <v>488</v>
      </c>
      <c r="B270" s="15" t="s">
        <v>510</v>
      </c>
      <c r="C270" s="15" t="s">
        <v>511</v>
      </c>
      <c r="D270" s="20">
        <f>원천데이터!G255</f>
        <v>0.48294949624728317</v>
      </c>
      <c r="E270" s="20">
        <f>원천데이터!G518</f>
        <v>0.48392208719014335</v>
      </c>
      <c r="F270" s="20">
        <f>원천데이터!G785</f>
        <v>0.4838510938234219</v>
      </c>
      <c r="G270" s="20">
        <f>원천데이터!G1053</f>
        <v>0.48143713821679923</v>
      </c>
      <c r="H270" s="20">
        <f>원천데이터!G1321</f>
        <v>0.48880078265794757</v>
      </c>
      <c r="I270" s="20">
        <f>원천데이터!G1587</f>
        <v>0.49255698872393933</v>
      </c>
      <c r="J270" s="20">
        <f>원천데이터!G1853</f>
        <v>0.49585192697768765</v>
      </c>
      <c r="K270" s="20">
        <f>원천데이터!G2119</f>
        <v>0.49803365092235963</v>
      </c>
      <c r="L270" s="20">
        <f>원천데이터!G2385</f>
        <v>0.4986429805082655</v>
      </c>
      <c r="M270" s="20">
        <f>원천데이터!G2651</f>
        <v>0.49353364659223176</v>
      </c>
      <c r="N270" s="20">
        <f>원천데이터!G2917</f>
        <v>0.49115659456138649</v>
      </c>
      <c r="O270" s="20">
        <f>원천데이터!G3183</f>
        <v>0.48392070953059529</v>
      </c>
      <c r="P270" s="20">
        <f>원천데이터!G3449</f>
        <v>0.48989439972301568</v>
      </c>
      <c r="Q270" s="20">
        <f>원천데이터!G3717</f>
        <v>0.49481639803012106</v>
      </c>
      <c r="R270" s="20">
        <f t="shared" si="8"/>
        <v>0.48995484955037133</v>
      </c>
      <c r="S270" s="27">
        <f t="shared" si="9"/>
        <v>14</v>
      </c>
    </row>
    <row r="271" spans="1:19">
      <c r="A271" s="15" t="s">
        <v>488</v>
      </c>
      <c r="B271" s="15" t="s">
        <v>512</v>
      </c>
      <c r="C271" s="15" t="s">
        <v>513</v>
      </c>
      <c r="D271" s="20">
        <f>원천데이터!G256</f>
        <v>0.43282484907349217</v>
      </c>
      <c r="E271" s="20">
        <f>원천데이터!G519</f>
        <v>0.42763815466938271</v>
      </c>
      <c r="F271" s="20">
        <f>원천데이터!G786</f>
        <v>0.42802786216207922</v>
      </c>
      <c r="G271" s="20">
        <f>원천데이터!G1054</f>
        <v>0.43166112399316575</v>
      </c>
      <c r="H271" s="20">
        <f>원천데이터!G1322</f>
        <v>0.43731137608618903</v>
      </c>
      <c r="I271" s="20">
        <f>원천데이터!G1588</f>
        <v>0.44766587501855426</v>
      </c>
      <c r="J271" s="20">
        <f>원천데이터!G1854</f>
        <v>0.44368068477856343</v>
      </c>
      <c r="K271" s="20">
        <f>원천데이터!G2120</f>
        <v>0.44868281471004245</v>
      </c>
      <c r="L271" s="20">
        <f>원천데이터!G2386</f>
        <v>0.44696162446909099</v>
      </c>
      <c r="M271" s="20">
        <f>원천데이터!G2652</f>
        <v>0.44554302670623147</v>
      </c>
      <c r="N271" s="20">
        <f>원천데이터!G2918</f>
        <v>0.45717526731752672</v>
      </c>
      <c r="O271" s="20">
        <f>원천데이터!G3184</f>
        <v>0.45812262349086191</v>
      </c>
      <c r="P271" s="20">
        <f>원천데이터!G3450</f>
        <v>0.45775030955431334</v>
      </c>
      <c r="Q271" s="20">
        <f>원천데이터!G3718</f>
        <v>0.46031425542808108</v>
      </c>
      <c r="R271" s="20">
        <f t="shared" si="8"/>
        <v>0.44452570338982678</v>
      </c>
      <c r="S271" s="27">
        <f t="shared" si="9"/>
        <v>14</v>
      </c>
    </row>
    <row r="272" spans="1:19">
      <c r="A272" s="15" t="s">
        <v>488</v>
      </c>
      <c r="B272" s="15" t="s">
        <v>514</v>
      </c>
      <c r="C272" s="15" t="s">
        <v>515</v>
      </c>
      <c r="D272" s="20">
        <f>원천데이터!G257</f>
        <v>0.43103787225407131</v>
      </c>
      <c r="E272" s="20">
        <f>원천데이터!G520</f>
        <v>0.43066230942327627</v>
      </c>
      <c r="F272" s="20">
        <f>원천데이터!G787</f>
        <v>0.4357150541376888</v>
      </c>
      <c r="G272" s="20">
        <f>원천데이터!G1055</f>
        <v>0.43715572715572715</v>
      </c>
      <c r="H272" s="20">
        <f>원천데이터!G1323</f>
        <v>0.43641147032296507</v>
      </c>
      <c r="I272" s="20">
        <f>원천데이터!G1589</f>
        <v>0.43588350569471662</v>
      </c>
      <c r="J272" s="20">
        <f>원천데이터!G1855</f>
        <v>0.43438450659123656</v>
      </c>
      <c r="K272" s="20">
        <f>원천데이터!G2121</f>
        <v>0.44435777951107647</v>
      </c>
      <c r="L272" s="20">
        <f>원천데이터!G2387</f>
        <v>0.43616725223501585</v>
      </c>
      <c r="M272" s="20">
        <f>원천데이터!G2653</f>
        <v>0.42863629206776982</v>
      </c>
      <c r="N272" s="20">
        <f>원천데이터!G2919</f>
        <v>0.44046167042464557</v>
      </c>
      <c r="O272" s="20">
        <f>원천데이터!G3185</f>
        <v>0.44805050079036068</v>
      </c>
      <c r="P272" s="20">
        <f>원천데이터!G3451</f>
        <v>0.43786896892456717</v>
      </c>
      <c r="Q272" s="20">
        <f>원천데이터!G3719</f>
        <v>0.43988519110594393</v>
      </c>
      <c r="R272" s="20">
        <f t="shared" si="8"/>
        <v>0.4369055786170758</v>
      </c>
      <c r="S272" s="27">
        <f t="shared" si="9"/>
        <v>14</v>
      </c>
    </row>
    <row r="273" spans="1:19">
      <c r="A273" s="15" t="s">
        <v>488</v>
      </c>
      <c r="B273" s="15" t="s">
        <v>516</v>
      </c>
      <c r="C273" s="15" t="s">
        <v>517</v>
      </c>
      <c r="D273" s="20">
        <f>원천데이터!G258</f>
        <v>0.42790774421694389</v>
      </c>
      <c r="E273" s="20">
        <f>원천데이터!G521</f>
        <v>0.42930608654464253</v>
      </c>
      <c r="F273" s="20">
        <f>원천데이터!G788</f>
        <v>0.43064242507325601</v>
      </c>
      <c r="G273" s="20">
        <f>원천데이터!G1056</f>
        <v>0.43210421280915468</v>
      </c>
      <c r="H273" s="20">
        <f>원천데이터!G1324</f>
        <v>0.4317313906350978</v>
      </c>
      <c r="I273" s="20">
        <f>원천데이터!G1590</f>
        <v>0.42947363464605859</v>
      </c>
      <c r="J273" s="20">
        <f>원천데이터!G1856</f>
        <v>0.42884957704819293</v>
      </c>
      <c r="K273" s="20">
        <f>원천데이터!G2122</f>
        <v>0.42809244366305937</v>
      </c>
      <c r="L273" s="20">
        <f>원천데이터!G2388</f>
        <v>0.42910805285160658</v>
      </c>
      <c r="M273" s="20">
        <f>원천데이터!G2654</f>
        <v>0.42388266785342643</v>
      </c>
      <c r="N273" s="20">
        <f>원천데이터!G2920</f>
        <v>0.46321925438482864</v>
      </c>
      <c r="O273" s="20">
        <f>원천데이터!G3186</f>
        <v>0.47470618416393467</v>
      </c>
      <c r="P273" s="20">
        <f>원천데이터!G3452</f>
        <v>0.44907719632422971</v>
      </c>
      <c r="Q273" s="20">
        <f>원천데이터!G3720</f>
        <v>0.44308661861338167</v>
      </c>
      <c r="R273" s="20">
        <f t="shared" si="8"/>
        <v>0.43722767777341526</v>
      </c>
      <c r="S273" s="27">
        <f t="shared" si="9"/>
        <v>14</v>
      </c>
    </row>
    <row r="274" spans="1:19">
      <c r="A274" s="15" t="s">
        <v>488</v>
      </c>
      <c r="B274" s="15" t="s">
        <v>518</v>
      </c>
      <c r="C274" s="15" t="s">
        <v>519</v>
      </c>
      <c r="D274" s="20">
        <f>원천데이터!G259</f>
        <v>0.46604327758796382</v>
      </c>
      <c r="E274" s="20">
        <f>원천데이터!G522</f>
        <v>0.46387732348014371</v>
      </c>
      <c r="F274" s="20">
        <f>원천데이터!G789</f>
        <v>0.46661260090336371</v>
      </c>
      <c r="G274" s="20">
        <f>원천데이터!G1057</f>
        <v>0.47023666972822326</v>
      </c>
      <c r="H274" s="20">
        <f>원천데이터!G1325</f>
        <v>0.47251602311116725</v>
      </c>
      <c r="I274" s="20">
        <f>원천데이터!G1591</f>
        <v>0.47367167339376698</v>
      </c>
      <c r="J274" s="20">
        <f>원천데이터!G1857</f>
        <v>0.47377287432687787</v>
      </c>
      <c r="K274" s="20">
        <f>원천데이터!G2123</f>
        <v>0.47484528292053729</v>
      </c>
      <c r="L274" s="20">
        <f>원천데이터!G2389</f>
        <v>0.48074844223257901</v>
      </c>
      <c r="M274" s="20">
        <f>원천데이터!G2655</f>
        <v>0.47651095998685272</v>
      </c>
      <c r="N274" s="20">
        <f>원천데이터!G2921</f>
        <v>0.45775906653480081</v>
      </c>
      <c r="O274" s="20">
        <f>원천데이터!G3187</f>
        <v>0.44910729136197569</v>
      </c>
      <c r="P274" s="20">
        <f>원천데이터!G3453</f>
        <v>0.45401452530123326</v>
      </c>
      <c r="Q274" s="20">
        <f>원천데이터!G3721</f>
        <v>0.45405377717784312</v>
      </c>
      <c r="R274" s="20">
        <f t="shared" si="8"/>
        <v>0.46669784200338066</v>
      </c>
      <c r="S274" s="27">
        <f t="shared" si="9"/>
        <v>14</v>
      </c>
    </row>
    <row r="275" spans="1:19">
      <c r="A275" s="15" t="s">
        <v>488</v>
      </c>
      <c r="B275" s="15" t="s">
        <v>520</v>
      </c>
      <c r="C275" s="15" t="s">
        <v>521</v>
      </c>
      <c r="D275" s="20">
        <f>원천데이터!G260</f>
        <v>0.39212893493070994</v>
      </c>
      <c r="E275" s="20">
        <f>원천데이터!G523</f>
        <v>0.39546626013248753</v>
      </c>
      <c r="F275" s="20">
        <f>원천데이터!G790</f>
        <v>0.40227880162849239</v>
      </c>
      <c r="G275" s="20">
        <f>원천데이터!G1058</f>
        <v>0.40282991959667286</v>
      </c>
      <c r="H275" s="20">
        <f>원천데이터!G1326</f>
        <v>0.41849773085116238</v>
      </c>
      <c r="I275" s="20">
        <f>원천데이터!G1592</f>
        <v>0.41484870967388243</v>
      </c>
      <c r="J275" s="20">
        <f>원천데이터!G1858</f>
        <v>0.4174548272744234</v>
      </c>
      <c r="K275" s="20">
        <f>원천데이터!G2124</f>
        <v>0.41748730991103822</v>
      </c>
      <c r="L275" s="20">
        <f>원천데이터!G2390</f>
        <v>0.41994751566037014</v>
      </c>
      <c r="M275" s="20">
        <f>원천데이터!G2656</f>
        <v>0.40722960548771758</v>
      </c>
      <c r="N275" s="20">
        <f>원천데이터!G2922</f>
        <v>0.43232042767895068</v>
      </c>
      <c r="O275" s="20">
        <f>원천데이터!G3188</f>
        <v>0.43413086127821016</v>
      </c>
      <c r="P275" s="20">
        <f>원천데이터!G3454</f>
        <v>0.42304062037401707</v>
      </c>
      <c r="Q275" s="20">
        <f>원천데이터!G3722</f>
        <v>0.42077291334212169</v>
      </c>
      <c r="R275" s="20">
        <f t="shared" si="8"/>
        <v>0.41417388841573255</v>
      </c>
      <c r="S275" s="27">
        <f t="shared" si="9"/>
        <v>14</v>
      </c>
    </row>
    <row r="276" spans="1:19">
      <c r="A276" s="15" t="s">
        <v>488</v>
      </c>
      <c r="B276" s="15" t="s">
        <v>522</v>
      </c>
      <c r="C276" s="15" t="s">
        <v>523</v>
      </c>
      <c r="D276" s="20">
        <f>원천데이터!G261</f>
        <v>0.33266536322228779</v>
      </c>
      <c r="E276" s="20">
        <f>원천데이터!G524</f>
        <v>0.33004928779408654</v>
      </c>
      <c r="F276" s="20">
        <f>원천데이터!G791</f>
        <v>0.33058946899433295</v>
      </c>
      <c r="G276" s="20">
        <f>원천데이터!G1059</f>
        <v>0.32814539284782041</v>
      </c>
      <c r="H276" s="20">
        <f>원천데이터!G1327</f>
        <v>0.33284093594894826</v>
      </c>
      <c r="I276" s="20">
        <f>원천데이터!G1593</f>
        <v>0.32902147608764065</v>
      </c>
      <c r="J276" s="20">
        <f>원천데이터!G1859</f>
        <v>0.33121191679476264</v>
      </c>
      <c r="K276" s="20">
        <f>원천데이터!G2125</f>
        <v>0.33649106334462292</v>
      </c>
      <c r="L276" s="20">
        <f>원천데이터!G2391</f>
        <v>0.3396316102198455</v>
      </c>
      <c r="M276" s="20">
        <f>원천데이터!G2657</f>
        <v>0.32383790155145903</v>
      </c>
      <c r="N276" s="20">
        <f>원천데이터!G2923</f>
        <v>0.32847451688705515</v>
      </c>
      <c r="O276" s="20">
        <f>원천데이터!G3189</f>
        <v>0.34939912695146058</v>
      </c>
      <c r="P276" s="20">
        <f>원천데이터!G3455</f>
        <v>0.34706421363290174</v>
      </c>
      <c r="Q276" s="20">
        <f>원천데이터!G3723</f>
        <v>0.34687815131155308</v>
      </c>
      <c r="R276" s="20">
        <f t="shared" si="8"/>
        <v>0.33473574468491268</v>
      </c>
      <c r="S276" s="27">
        <f t="shared" si="9"/>
        <v>14</v>
      </c>
    </row>
    <row r="277" spans="1:19">
      <c r="A277" s="15" t="s">
        <v>488</v>
      </c>
      <c r="B277" s="15" t="s">
        <v>524</v>
      </c>
      <c r="C277" s="15" t="s">
        <v>525</v>
      </c>
      <c r="D277" s="20">
        <f>원천데이터!G262</f>
        <v>0.51245098538473288</v>
      </c>
      <c r="E277" s="20">
        <f>원천데이터!G525</f>
        <v>0.4973856641736713</v>
      </c>
      <c r="F277" s="20">
        <f>원천데이터!G792</f>
        <v>0.49473045822102424</v>
      </c>
      <c r="G277" s="20">
        <f>원천데이터!G1060</f>
        <v>0.49850376778476019</v>
      </c>
      <c r="H277" s="20">
        <f>원천데이터!G1328</f>
        <v>0.51178675774110494</v>
      </c>
      <c r="I277" s="20">
        <f>원천데이터!G1594</f>
        <v>0.51715449769486432</v>
      </c>
      <c r="J277" s="20">
        <f>원천데이터!G1860</f>
        <v>0.51844596800522369</v>
      </c>
      <c r="K277" s="20">
        <f>원천데이터!G2126</f>
        <v>0.52001157694534028</v>
      </c>
      <c r="L277" s="20">
        <f>원천데이터!G2392</f>
        <v>0.5226825566361234</v>
      </c>
      <c r="M277" s="20">
        <f>원천데이터!G2658</f>
        <v>0.51147025813692482</v>
      </c>
      <c r="N277" s="20">
        <f>원천데이터!G2924</f>
        <v>0.52074005494255315</v>
      </c>
      <c r="O277" s="20">
        <f>원천데이터!G3190</f>
        <v>0.51007496962692978</v>
      </c>
      <c r="P277" s="20">
        <f>원천데이터!G3456</f>
        <v>0.51843474327075323</v>
      </c>
      <c r="Q277" s="20">
        <f>원천데이터!G3724</f>
        <v>0.51949292216694132</v>
      </c>
      <c r="R277" s="20">
        <f t="shared" si="8"/>
        <v>0.51238322719506768</v>
      </c>
      <c r="S277" s="27">
        <f t="shared" si="9"/>
        <v>14</v>
      </c>
    </row>
    <row r="278" spans="1:19">
      <c r="A278" s="15" t="s">
        <v>488</v>
      </c>
      <c r="B278" s="15" t="s">
        <v>526</v>
      </c>
      <c r="C278" s="15" t="s">
        <v>527</v>
      </c>
      <c r="D278" s="20">
        <f>원천데이터!G263</f>
        <v>0.53399933933272603</v>
      </c>
      <c r="E278" s="20">
        <f>원천데이터!G526</f>
        <v>0.53561431719373476</v>
      </c>
      <c r="F278" s="20">
        <f>원천데이터!G793</f>
        <v>0.52809156804291257</v>
      </c>
      <c r="G278" s="20">
        <f>원천데이터!G1061</f>
        <v>0.53008130081300808</v>
      </c>
      <c r="H278" s="20">
        <f>원천데이터!G1329</f>
        <v>0.53275034129855747</v>
      </c>
      <c r="I278" s="20">
        <f>원천데이터!G1595</f>
        <v>0.5393254238235925</v>
      </c>
      <c r="J278" s="20">
        <f>원천데이터!G1861</f>
        <v>0.54197703143562959</v>
      </c>
      <c r="K278" s="20">
        <f>원천데이터!G2127</f>
        <v>0.54210069030046693</v>
      </c>
      <c r="L278" s="20">
        <f>원천데이터!G2393</f>
        <v>0.54355472184770504</v>
      </c>
      <c r="M278" s="20">
        <f>원천데이터!G2659</f>
        <v>0.540718202209853</v>
      </c>
      <c r="N278" s="20">
        <f>원천데이터!G2925</f>
        <v>0.53540601605530858</v>
      </c>
      <c r="O278" s="20">
        <f>원천데이터!G3191</f>
        <v>0.52015793640454167</v>
      </c>
      <c r="P278" s="20">
        <f>원천데이터!G3457</f>
        <v>0.53409559976884335</v>
      </c>
      <c r="Q278" s="20">
        <f>원천데이터!G3725</f>
        <v>0.53864412119939087</v>
      </c>
      <c r="R278" s="20">
        <f t="shared" si="8"/>
        <v>0.53546547212330498</v>
      </c>
      <c r="S278" s="27">
        <f t="shared" si="9"/>
        <v>14</v>
      </c>
    </row>
    <row r="279" spans="1:19">
      <c r="A279" s="15" t="s">
        <v>488</v>
      </c>
      <c r="B279" s="15" t="s">
        <v>528</v>
      </c>
      <c r="C279" s="15" t="s">
        <v>529</v>
      </c>
      <c r="D279" s="20">
        <f>원천데이터!G264</f>
        <v>0.45861904002551429</v>
      </c>
      <c r="E279" s="20">
        <f>원천데이터!G527</f>
        <v>0.45658989123480487</v>
      </c>
      <c r="F279" s="20">
        <f>원천데이터!G794</f>
        <v>0.46186602870813398</v>
      </c>
      <c r="G279" s="20">
        <f>원천데이터!G1062</f>
        <v>0.46719877889782807</v>
      </c>
      <c r="H279" s="20">
        <f>원천데이터!G1330</f>
        <v>0.4713375796178344</v>
      </c>
      <c r="I279" s="20">
        <f>원천데이터!G1596</f>
        <v>0.47822977911965675</v>
      </c>
      <c r="J279" s="20">
        <f>원천데이터!G1862</f>
        <v>0.48401659539970432</v>
      </c>
      <c r="K279" s="20">
        <f>원천데이터!G2128</f>
        <v>0.4868034258656031</v>
      </c>
      <c r="L279" s="20">
        <f>원천데이터!G2394</f>
        <v>0.48669274984301791</v>
      </c>
      <c r="M279" s="20">
        <f>원천데이터!G2660</f>
        <v>0.47826233372621652</v>
      </c>
      <c r="N279" s="20">
        <f>원천데이터!G2926</f>
        <v>0.47418847902127442</v>
      </c>
      <c r="O279" s="20">
        <f>원천데이터!G3192</f>
        <v>0.4709483157964397</v>
      </c>
      <c r="P279" s="20">
        <f>원천데이터!G3458</f>
        <v>0.47519122383252815</v>
      </c>
      <c r="Q279" s="20">
        <f>원천데이터!G3726</f>
        <v>0.47345469647677718</v>
      </c>
      <c r="R279" s="20">
        <f t="shared" si="8"/>
        <v>0.47309992268323803</v>
      </c>
      <c r="S279" s="27">
        <f t="shared" si="9"/>
        <v>14</v>
      </c>
    </row>
    <row r="280" spans="1:19">
      <c r="A280" s="15" t="s">
        <v>488</v>
      </c>
      <c r="B280" s="15" t="s">
        <v>530</v>
      </c>
      <c r="C280" s="15" t="s">
        <v>531</v>
      </c>
      <c r="D280" s="20">
        <f>원천데이터!G265</f>
        <v>0.48325235820329948</v>
      </c>
      <c r="E280" s="20">
        <f>원천데이터!G528</f>
        <v>0.48297944051230202</v>
      </c>
      <c r="F280" s="20">
        <f>원천데이터!G795</f>
        <v>0.48974939980038307</v>
      </c>
      <c r="G280" s="20">
        <f>원천데이터!G1063</f>
        <v>0.49669834111773231</v>
      </c>
      <c r="H280" s="20">
        <f>원천데이터!G1331</f>
        <v>0.49528360007119093</v>
      </c>
      <c r="I280" s="20">
        <f>원천데이터!G1597</f>
        <v>0.49545164600493663</v>
      </c>
      <c r="J280" s="20">
        <f>원천데이터!G1863</f>
        <v>0.49598611718562619</v>
      </c>
      <c r="K280" s="20">
        <f>원천데이터!G2129</f>
        <v>0.49764494305044105</v>
      </c>
      <c r="L280" s="20">
        <f>원천데이터!G2395</f>
        <v>0.50500860062733988</v>
      </c>
      <c r="M280" s="20">
        <f>원천데이터!G2661</f>
        <v>0.49758956857103503</v>
      </c>
      <c r="N280" s="20">
        <f>원천데이터!G2927</f>
        <v>0.49630862656247593</v>
      </c>
      <c r="O280" s="20">
        <f>원천데이터!G3193</f>
        <v>0.49502514013154897</v>
      </c>
      <c r="P280" s="20">
        <f>원천데이터!G3459</f>
        <v>0.50347767905768126</v>
      </c>
      <c r="Q280" s="20">
        <f>원천데이터!G3727</f>
        <v>0.50538606761537608</v>
      </c>
      <c r="R280" s="20">
        <f t="shared" si="8"/>
        <v>0.49570296632224065</v>
      </c>
      <c r="S280" s="27">
        <f t="shared" si="9"/>
        <v>14</v>
      </c>
    </row>
    <row r="281" spans="1:19">
      <c r="A281" s="15" t="s">
        <v>532</v>
      </c>
      <c r="B281" s="15" t="s">
        <v>22</v>
      </c>
      <c r="C281" s="15" t="s">
        <v>532</v>
      </c>
      <c r="D281" s="20">
        <f>원천데이터!G266</f>
        <v>0.13533498734397453</v>
      </c>
      <c r="E281" s="20">
        <f>원천데이터!G529</f>
        <v>0.14168075840770944</v>
      </c>
      <c r="F281" s="20">
        <f>원천데이터!G796</f>
        <v>0.14466963282232961</v>
      </c>
      <c r="G281" s="20">
        <f>원천데이터!G1064</f>
        <v>0.1514464367361566</v>
      </c>
      <c r="H281" s="20">
        <f>원천데이터!G1332</f>
        <v>0.15912965214696134</v>
      </c>
      <c r="I281" s="20">
        <f>원천데이터!G1598</f>
        <v>0.17153865971677582</v>
      </c>
      <c r="J281" s="20">
        <f>원천데이터!G1864</f>
        <v>0.17863234204123693</v>
      </c>
      <c r="K281" s="20">
        <f>원천데이터!G2130</f>
        <v>0.18163365777282778</v>
      </c>
      <c r="L281" s="20">
        <f>원천데이터!G2396</f>
        <v>0.18291446980280499</v>
      </c>
      <c r="M281" s="20">
        <f>원천데이터!G2662</f>
        <v>0.15757908027644871</v>
      </c>
      <c r="N281" s="20">
        <f>원천데이터!G2928</f>
        <v>0.16153176131352839</v>
      </c>
      <c r="O281" s="20">
        <f>원천데이터!G3194</f>
        <v>0.18095042568343522</v>
      </c>
      <c r="P281" s="20">
        <f>원천데이터!G3460</f>
        <v>0.18591006847897487</v>
      </c>
      <c r="Q281" s="20">
        <f>원천데이터!G3728</f>
        <v>0.18400271096310875</v>
      </c>
      <c r="R281" s="20">
        <f t="shared" si="8"/>
        <v>0.16549676025044804</v>
      </c>
      <c r="S281" s="27">
        <f t="shared" si="9"/>
        <v>14</v>
      </c>
    </row>
    <row r="282" spans="1:19">
      <c r="A282" s="15" t="s">
        <v>532</v>
      </c>
      <c r="B282" s="15" t="s">
        <v>533</v>
      </c>
      <c r="C282" s="15" t="s">
        <v>534</v>
      </c>
      <c r="D282" s="20">
        <f>원천데이터!G267</f>
        <v>0.41458272821819747</v>
      </c>
      <c r="E282" s="20">
        <f>원천데이터!G530</f>
        <v>0.41537947578194234</v>
      </c>
      <c r="F282" s="20">
        <f>원천데이터!G797</f>
        <v>0.4156479441997063</v>
      </c>
      <c r="G282" s="20">
        <f>원천데이터!G1065</f>
        <v>0.42014317121561479</v>
      </c>
      <c r="H282" s="20">
        <f>원천데이터!G1333</f>
        <v>0.42402055899067775</v>
      </c>
      <c r="I282" s="20">
        <f>원천데이터!G1599</f>
        <v>0.42738417214221514</v>
      </c>
      <c r="J282" s="20">
        <f>원천데이터!G1865</f>
        <v>0.43046487231277497</v>
      </c>
      <c r="K282" s="20">
        <f>원천데이터!G2131</f>
        <v>0.42668759811616952</v>
      </c>
      <c r="L282" s="20">
        <f>원천데이터!G2397</f>
        <v>0.4268986283037805</v>
      </c>
      <c r="M282" s="20">
        <f>원천데이터!G2663</f>
        <v>0.41478103556324564</v>
      </c>
      <c r="N282" s="20">
        <f>원천데이터!G2929</f>
        <v>0.41556968643794118</v>
      </c>
      <c r="O282" s="20">
        <f>원천데이터!G3195</f>
        <v>0.41430474695672803</v>
      </c>
      <c r="P282" s="20">
        <f>원천데이터!G3461</f>
        <v>0.41708895984065147</v>
      </c>
      <c r="Q282" s="20">
        <f>원천데이터!G3729</f>
        <v>0.41460259540215272</v>
      </c>
      <c r="R282" s="20">
        <f t="shared" si="8"/>
        <v>0.41982544096298552</v>
      </c>
      <c r="S282" s="27">
        <f t="shared" si="9"/>
        <v>14</v>
      </c>
    </row>
    <row r="283" spans="1:19">
      <c r="A283" s="16" t="s">
        <v>532</v>
      </c>
      <c r="B283" s="16" t="s">
        <v>535</v>
      </c>
      <c r="C283" s="16" t="s">
        <v>536</v>
      </c>
      <c r="D283" s="22">
        <f>원천데이터!G268</f>
        <v>0.16546252853508459</v>
      </c>
      <c r="E283" s="22">
        <f>원천데이터!G531</f>
        <v>0.16835398734833559</v>
      </c>
      <c r="F283" s="22">
        <f>원천데이터!G798</f>
        <v>0.17240711300154768</v>
      </c>
      <c r="G283" s="22">
        <f>원천데이터!G1066</f>
        <v>0.17727111838010032</v>
      </c>
      <c r="H283" s="22">
        <f>원천데이터!G1334</f>
        <v>0.18026911145798344</v>
      </c>
      <c r="I283" s="22">
        <f>원천데이터!G1600</f>
        <v>0.19044282404770044</v>
      </c>
      <c r="J283" s="22">
        <f>원천데이터!G1866</f>
        <v>0.19521826629693861</v>
      </c>
      <c r="K283" s="22">
        <f>원천데이터!G2132</f>
        <v>0.19807234154339495</v>
      </c>
      <c r="L283" s="22">
        <f>원천데이터!G2398</f>
        <v>0.19902135040027522</v>
      </c>
      <c r="M283" s="22">
        <f>원천데이터!G2664</f>
        <v>0.17500939021260928</v>
      </c>
      <c r="N283" s="22">
        <f>원천데이터!G2930</f>
        <v>0.18120468742875381</v>
      </c>
      <c r="O283" s="22">
        <f>원천데이터!G3196</f>
        <v>0.19996210490052535</v>
      </c>
      <c r="P283" s="22">
        <f>원천데이터!G3462</f>
        <v>0.20317728789112963</v>
      </c>
      <c r="Q283" s="22">
        <f>원천데이터!G3730</f>
        <v>0.20100285779406352</v>
      </c>
      <c r="R283" s="22">
        <f t="shared" si="8"/>
        <v>0.18620535494560306</v>
      </c>
      <c r="S283" s="28">
        <f t="shared" si="9"/>
        <v>14</v>
      </c>
    </row>
  </sheetData>
  <mergeCells count="2">
    <mergeCell ref="A1:S2"/>
    <mergeCell ref="A3:S3"/>
  </mergeCells>
  <phoneticPr fontId="8" type="noConversion"/>
  <conditionalFormatting sqref="D6:R283">
    <cfRule type="colorScale" priority="1">
      <colorScale>
        <cfvo type="min"/>
        <cfvo type="percentile" val="50"/>
        <cfvo type="max"/>
        <color rgb="FFE8F0FF"/>
        <color rgb="FFFFF4CC"/>
        <color rgb="FFF7C7C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"/>
  <sheetViews>
    <sheetView showGridLines="0" workbookViewId="0">
      <selection sqref="A1:S2"/>
    </sheetView>
  </sheetViews>
  <sheetFormatPr defaultRowHeight="13.8"/>
  <cols>
    <col min="1" max="1" width="9" customWidth="1"/>
    <col min="2" max="2" width="19" customWidth="1"/>
    <col min="3" max="3" width="27" customWidth="1"/>
    <col min="4" max="17" width="11" customWidth="1"/>
    <col min="18" max="18" width="15" customWidth="1"/>
    <col min="19" max="19" width="12" customWidth="1"/>
  </cols>
  <sheetData>
    <row r="1" spans="1:19" ht="28.05" customHeight="1">
      <c r="A1" s="135" t="s">
        <v>537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</row>
    <row r="2" spans="1:19" ht="28.05" customHeight="1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</row>
    <row r="3" spans="1:19" ht="31.95" customHeight="1">
      <c r="A3" s="136" t="s">
        <v>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</row>
    <row r="5" spans="1:19" ht="34.049999999999997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  <c r="O5" s="1" t="s">
        <v>16</v>
      </c>
      <c r="P5" s="1" t="s">
        <v>17</v>
      </c>
      <c r="Q5" s="1" t="s">
        <v>18</v>
      </c>
      <c r="R5" s="1" t="s">
        <v>19</v>
      </c>
      <c r="S5" s="1" t="s">
        <v>20</v>
      </c>
    </row>
    <row r="6" spans="1:19">
      <c r="A6" s="14" t="s">
        <v>21</v>
      </c>
      <c r="B6" s="14" t="s">
        <v>22</v>
      </c>
      <c r="C6" s="14" t="s">
        <v>21</v>
      </c>
      <c r="D6" s="18">
        <f>원천데이터!G6</f>
        <v>0.1933173292140456</v>
      </c>
      <c r="E6" s="18">
        <f>원천데이터!G269</f>
        <v>0.19325336711681357</v>
      </c>
      <c r="F6" s="18">
        <f>원천데이터!G532</f>
        <v>0.19393007370370899</v>
      </c>
      <c r="G6" s="18">
        <f>원천데이터!G799</f>
        <v>0.1968052911113338</v>
      </c>
      <c r="H6" s="18">
        <f>원천데이터!G1067</f>
        <v>0.1964465019790799</v>
      </c>
      <c r="I6" s="18">
        <f>원천데이터!G1335</f>
        <v>0.19841810070724691</v>
      </c>
      <c r="J6" s="18">
        <f>원천데이터!G1601</f>
        <v>0.19922236117220929</v>
      </c>
      <c r="K6" s="18">
        <f>원천데이터!G1867</f>
        <v>0.1995033600599064</v>
      </c>
      <c r="L6" s="18">
        <f>원천데이터!G2133</f>
        <v>0.20066117949889128</v>
      </c>
      <c r="M6" s="18">
        <f>원천데이터!G2399</f>
        <v>0.19028604520382222</v>
      </c>
      <c r="N6" s="18">
        <f>원천데이터!G2665</f>
        <v>0.19502783693568271</v>
      </c>
      <c r="O6" s="18">
        <f>원천데이터!G2931</f>
        <v>0.21425468802312131</v>
      </c>
      <c r="P6" s="18">
        <f>원천데이터!G3197</f>
        <v>0.21190935773963873</v>
      </c>
      <c r="Q6" s="18">
        <f>원천데이터!G3463</f>
        <v>0.21071361965528015</v>
      </c>
      <c r="R6" s="18">
        <f t="shared" ref="R6:R22" si="0">IFERROR(AVERAGE(D6:Q6),"")</f>
        <v>0.1995535080086272</v>
      </c>
      <c r="S6" s="26">
        <f t="shared" ref="S6:S22" si="1">COUNT(D6:Q6)</f>
        <v>14</v>
      </c>
    </row>
    <row r="7" spans="1:19">
      <c r="A7" s="15" t="s">
        <v>73</v>
      </c>
      <c r="B7" s="15" t="s">
        <v>22</v>
      </c>
      <c r="C7" s="15" t="s">
        <v>73</v>
      </c>
      <c r="D7" s="20">
        <f>원천데이터!G32</f>
        <v>0.16627548331922962</v>
      </c>
      <c r="E7" s="20">
        <f>원천데이터!G295</f>
        <v>0.16776914202695908</v>
      </c>
      <c r="F7" s="20">
        <f>원천데이터!G558</f>
        <v>0.16864626807566446</v>
      </c>
      <c r="G7" s="20">
        <f>원천데이터!G825</f>
        <v>0.1709155878665756</v>
      </c>
      <c r="H7" s="20">
        <f>원천데이터!G1093</f>
        <v>0.17051811833733835</v>
      </c>
      <c r="I7" s="20">
        <f>원천데이터!G1361</f>
        <v>0.17360282842051455</v>
      </c>
      <c r="J7" s="20">
        <f>원천데이터!G1627</f>
        <v>0.17425843199853008</v>
      </c>
      <c r="K7" s="20">
        <f>원천데이터!G1893</f>
        <v>0.17346041221020608</v>
      </c>
      <c r="L7" s="20">
        <f>원천데이터!G2159</f>
        <v>0.17283885388396977</v>
      </c>
      <c r="M7" s="20">
        <f>원천데이터!G2425</f>
        <v>0.15876958460058641</v>
      </c>
      <c r="N7" s="20">
        <f>원천데이터!G2691</f>
        <v>0.16238656734211301</v>
      </c>
      <c r="O7" s="20">
        <f>원천데이터!G2957</f>
        <v>0.17867870736614322</v>
      </c>
      <c r="P7" s="20">
        <f>원천데이터!G3223</f>
        <v>0.17842422322961388</v>
      </c>
      <c r="Q7" s="20">
        <f>원천데이터!G3489</f>
        <v>0.17342271221252534</v>
      </c>
      <c r="R7" s="20">
        <f t="shared" si="0"/>
        <v>0.17071192292071213</v>
      </c>
      <c r="S7" s="27">
        <f t="shared" si="1"/>
        <v>14</v>
      </c>
    </row>
    <row r="8" spans="1:19">
      <c r="A8" s="15" t="s">
        <v>104</v>
      </c>
      <c r="B8" s="15" t="s">
        <v>22</v>
      </c>
      <c r="C8" s="15" t="s">
        <v>104</v>
      </c>
      <c r="D8" s="20">
        <f>원천데이터!G49</f>
        <v>0.16524839355837473</v>
      </c>
      <c r="E8" s="20">
        <f>원천데이터!G312</f>
        <v>0.16299644342351363</v>
      </c>
      <c r="F8" s="20">
        <f>원천데이터!G575</f>
        <v>0.16263102797125942</v>
      </c>
      <c r="G8" s="20">
        <f>원천데이터!G842</f>
        <v>0.16424244410235528</v>
      </c>
      <c r="H8" s="20">
        <f>원천데이터!G1110</f>
        <v>0.16583886225226591</v>
      </c>
      <c r="I8" s="20">
        <f>원천데이터!G1378</f>
        <v>0.16668543520211884</v>
      </c>
      <c r="J8" s="20">
        <f>원천데이터!G1644</f>
        <v>0.1658485841952482</v>
      </c>
      <c r="K8" s="20">
        <f>원천데이터!G1910</f>
        <v>0.16693080869929727</v>
      </c>
      <c r="L8" s="20">
        <f>원천데이터!G2176</f>
        <v>0.16726686051106088</v>
      </c>
      <c r="M8" s="20">
        <f>원천데이터!G2442</f>
        <v>0.15180971606332477</v>
      </c>
      <c r="N8" s="20">
        <f>원천데이터!G2708</f>
        <v>0.14899930024238428</v>
      </c>
      <c r="O8" s="20">
        <f>원천데이터!G2974</f>
        <v>0.1687364377564011</v>
      </c>
      <c r="P8" s="20">
        <f>원천데이터!G3240</f>
        <v>0.17115851585733743</v>
      </c>
      <c r="Q8" s="20">
        <f>원천데이터!G3506</f>
        <v>0.16933091533268385</v>
      </c>
      <c r="R8" s="20">
        <f t="shared" si="0"/>
        <v>0.16412312465483042</v>
      </c>
      <c r="S8" s="27">
        <f t="shared" si="1"/>
        <v>14</v>
      </c>
    </row>
    <row r="9" spans="1:19">
      <c r="A9" s="15" t="s">
        <v>118</v>
      </c>
      <c r="B9" s="15" t="s">
        <v>22</v>
      </c>
      <c r="C9" s="15" t="s">
        <v>118</v>
      </c>
      <c r="D9" s="20">
        <f>원천데이터!G58</f>
        <v>0.27709255691341644</v>
      </c>
      <c r="E9" s="20">
        <f>원천데이터!G321</f>
        <v>0.27381841416845465</v>
      </c>
      <c r="F9" s="20">
        <f>원천데이터!G584</f>
        <v>0.27725807628137522</v>
      </c>
      <c r="G9" s="20">
        <f>원천데이터!G851</f>
        <v>0.2788940363287109</v>
      </c>
      <c r="H9" s="20">
        <f>원천데이터!G1119</f>
        <v>0.27742823720425602</v>
      </c>
      <c r="I9" s="20">
        <f>원천데이터!G1387</f>
        <v>0.28008278829837552</v>
      </c>
      <c r="J9" s="20">
        <f>원천데이터!G1653</f>
        <v>0.28082561569313069</v>
      </c>
      <c r="K9" s="20">
        <f>원천데이터!G1919</f>
        <v>0.27764404690620942</v>
      </c>
      <c r="L9" s="20">
        <f>원천데이터!G2185</f>
        <v>0.27918228880430429</v>
      </c>
      <c r="M9" s="20">
        <f>원천데이터!G2451</f>
        <v>0.26458102958244611</v>
      </c>
      <c r="N9" s="20">
        <f>원천데이터!G2717</f>
        <v>0.26997966804841028</v>
      </c>
      <c r="O9" s="20">
        <f>원천데이터!G2983</f>
        <v>0.28569432734164363</v>
      </c>
      <c r="P9" s="20">
        <f>원천데이터!G3250</f>
        <v>0.28666500861238564</v>
      </c>
      <c r="Q9" s="20">
        <f>원천데이터!G3516</f>
        <v>0.28393985862957682</v>
      </c>
      <c r="R9" s="20">
        <f t="shared" si="0"/>
        <v>0.27807756805804967</v>
      </c>
      <c r="S9" s="27">
        <f t="shared" si="1"/>
        <v>14</v>
      </c>
    </row>
    <row r="10" spans="1:19">
      <c r="A10" s="15" t="s">
        <v>137</v>
      </c>
      <c r="B10" s="15" t="s">
        <v>22</v>
      </c>
      <c r="C10" s="15" t="s">
        <v>137</v>
      </c>
      <c r="D10" s="20">
        <f>원천데이터!G69</f>
        <v>0.19447265395031202</v>
      </c>
      <c r="E10" s="20">
        <f>원천데이터!G332</f>
        <v>0.19269177895208939</v>
      </c>
      <c r="F10" s="20">
        <f>원천데이터!G595</f>
        <v>0.1908818957502034</v>
      </c>
      <c r="G10" s="20">
        <f>원천데이터!G862</f>
        <v>0.19169649041965128</v>
      </c>
      <c r="H10" s="20">
        <f>원천데이터!G1130</f>
        <v>0.19525713062620847</v>
      </c>
      <c r="I10" s="20">
        <f>원천데이터!G1398</f>
        <v>0.19335519083850763</v>
      </c>
      <c r="J10" s="20">
        <f>원천데이터!G1664</f>
        <v>0.19396601714805653</v>
      </c>
      <c r="K10" s="20">
        <f>원천데이터!G1930</f>
        <v>0.1911772376616766</v>
      </c>
      <c r="L10" s="20">
        <f>원천데이터!G2196</f>
        <v>0.19261347745749302</v>
      </c>
      <c r="M10" s="20">
        <f>원천데이터!G2462</f>
        <v>0.17942476431013085</v>
      </c>
      <c r="N10" s="20">
        <f>원천데이터!G2728</f>
        <v>0.17840692230703178</v>
      </c>
      <c r="O10" s="20">
        <f>원천데이터!G2994</f>
        <v>0.1968528680505495</v>
      </c>
      <c r="P10" s="20">
        <f>원천데이터!G3261</f>
        <v>0.19848957849643648</v>
      </c>
      <c r="Q10" s="20">
        <f>원천데이터!G3527</f>
        <v>0.19523027309072022</v>
      </c>
      <c r="R10" s="20">
        <f t="shared" si="0"/>
        <v>0.19175116278993337</v>
      </c>
      <c r="S10" s="27">
        <f t="shared" si="1"/>
        <v>14</v>
      </c>
    </row>
    <row r="11" spans="1:19">
      <c r="A11" s="15" t="s">
        <v>144</v>
      </c>
      <c r="B11" s="15" t="s">
        <v>22</v>
      </c>
      <c r="C11" s="15" t="s">
        <v>144</v>
      </c>
      <c r="D11" s="20">
        <f>원천데이터!G75</f>
        <v>0.18957218553108249</v>
      </c>
      <c r="E11" s="20">
        <f>원천데이터!G338</f>
        <v>0.18969844809196074</v>
      </c>
      <c r="F11" s="20">
        <f>원천데이터!G601</f>
        <v>0.19022972024629703</v>
      </c>
      <c r="G11" s="20">
        <f>원천데이터!G868</f>
        <v>0.19184461496475028</v>
      </c>
      <c r="H11" s="20">
        <f>원천데이터!G1136</f>
        <v>0.19424725951001479</v>
      </c>
      <c r="I11" s="20">
        <f>원천데이터!G1404</f>
        <v>0.19782710821756885</v>
      </c>
      <c r="J11" s="20">
        <f>원천데이터!G1670</f>
        <v>0.20471156802294008</v>
      </c>
      <c r="K11" s="20">
        <f>원천데이터!G1936</f>
        <v>0.20208869176764219</v>
      </c>
      <c r="L11" s="20">
        <f>원천데이터!G2202</f>
        <v>0.20023929116169742</v>
      </c>
      <c r="M11" s="20">
        <f>원천데이터!G2468</f>
        <v>0.18598464704955486</v>
      </c>
      <c r="N11" s="20">
        <f>원천데이터!G2734</f>
        <v>0.18726673100691679</v>
      </c>
      <c r="O11" s="20">
        <f>원천데이터!G3000</f>
        <v>0.20691363270546859</v>
      </c>
      <c r="P11" s="20">
        <f>원천데이터!G3267</f>
        <v>0.20970253854539792</v>
      </c>
      <c r="Q11" s="20">
        <f>원천데이터!G3533</f>
        <v>0.2091791016385191</v>
      </c>
      <c r="R11" s="20">
        <f t="shared" si="0"/>
        <v>0.1971075384614151</v>
      </c>
      <c r="S11" s="27">
        <f t="shared" si="1"/>
        <v>14</v>
      </c>
    </row>
    <row r="12" spans="1:19">
      <c r="A12" s="15" t="s">
        <v>152</v>
      </c>
      <c r="B12" s="15" t="s">
        <v>22</v>
      </c>
      <c r="C12" s="15" t="s">
        <v>152</v>
      </c>
      <c r="D12" s="20">
        <f>원천데이터!G81</f>
        <v>0.19038178181766274</v>
      </c>
      <c r="E12" s="20">
        <f>원천데이터!G344</f>
        <v>0.19320427997136749</v>
      </c>
      <c r="F12" s="20">
        <f>원천데이터!G607</f>
        <v>0.1936878223510024</v>
      </c>
      <c r="G12" s="20">
        <f>원천데이터!G874</f>
        <v>0.19579611990226065</v>
      </c>
      <c r="H12" s="20">
        <f>원천데이터!G1142</f>
        <v>0.20030989976586508</v>
      </c>
      <c r="I12" s="20">
        <f>원천데이터!G1410</f>
        <v>0.20104399955845606</v>
      </c>
      <c r="J12" s="20">
        <f>원천데이터!G1676</f>
        <v>0.20219916842548027</v>
      </c>
      <c r="K12" s="20">
        <f>원천데이터!G1942</f>
        <v>0.20107745228334581</v>
      </c>
      <c r="L12" s="20">
        <f>원천데이터!G2208</f>
        <v>0.20276801141460418</v>
      </c>
      <c r="M12" s="20">
        <f>원천데이터!G2474</f>
        <v>0.18006386526756135</v>
      </c>
      <c r="N12" s="20">
        <f>원천데이터!G2740</f>
        <v>0.18291009031479114</v>
      </c>
      <c r="O12" s="20">
        <f>원천데이터!G3006</f>
        <v>0.19999939419594279</v>
      </c>
      <c r="P12" s="20">
        <f>원천데이터!G3273</f>
        <v>0.20326225633931491</v>
      </c>
      <c r="Q12" s="20">
        <f>원천데이터!G3539</f>
        <v>0.1999381636135272</v>
      </c>
      <c r="R12" s="20">
        <f t="shared" si="0"/>
        <v>0.19618873608722726</v>
      </c>
      <c r="S12" s="27">
        <f t="shared" si="1"/>
        <v>14</v>
      </c>
    </row>
    <row r="13" spans="1:19">
      <c r="A13" s="15" t="s">
        <v>159</v>
      </c>
      <c r="B13" s="15" t="s">
        <v>22</v>
      </c>
      <c r="C13" s="15" t="s">
        <v>159</v>
      </c>
      <c r="D13" s="20"/>
      <c r="E13" s="20">
        <f>원천데이터!G350</f>
        <v>0.50606176420833671</v>
      </c>
      <c r="F13" s="20">
        <f>원천데이터!G613</f>
        <v>0.49747827809696316</v>
      </c>
      <c r="G13" s="20">
        <f>원천데이터!G880</f>
        <v>0.52039158143711262</v>
      </c>
      <c r="H13" s="20">
        <f>원천데이터!G1148</f>
        <v>0.50150675024108005</v>
      </c>
      <c r="I13" s="20">
        <f>원천데이터!G1416</f>
        <v>0.47964155805824821</v>
      </c>
      <c r="J13" s="20">
        <f>원천데이터!G1682</f>
        <v>0.46292927334814571</v>
      </c>
      <c r="K13" s="20">
        <f>원천데이터!G1948</f>
        <v>0.45271063378896542</v>
      </c>
      <c r="L13" s="20">
        <f>원천데이터!G2214</f>
        <v>0.44405595774587225</v>
      </c>
      <c r="M13" s="20">
        <f>원천데이터!G2480</f>
        <v>0.42032458662261546</v>
      </c>
      <c r="N13" s="20">
        <f>원천데이터!G2746</f>
        <v>0.40258852202879614</v>
      </c>
      <c r="O13" s="20">
        <f>원천데이터!G3012</f>
        <v>0.39781143867986429</v>
      </c>
      <c r="P13" s="20">
        <f>원천데이터!G3279</f>
        <v>0.39231409042391374</v>
      </c>
      <c r="Q13" s="20">
        <f>원천데이터!G3545</f>
        <v>0.38600908903483189</v>
      </c>
      <c r="R13" s="20">
        <f t="shared" si="0"/>
        <v>0.45106334797805725</v>
      </c>
      <c r="S13" s="27">
        <f t="shared" si="1"/>
        <v>13</v>
      </c>
    </row>
    <row r="14" spans="1:19">
      <c r="A14" s="15" t="s">
        <v>160</v>
      </c>
      <c r="B14" s="15" t="s">
        <v>22</v>
      </c>
      <c r="C14" s="15" t="s">
        <v>160</v>
      </c>
      <c r="D14" s="20">
        <f>원천데이터!G87</f>
        <v>0.27093805992719561</v>
      </c>
      <c r="E14" s="20">
        <f>원천데이터!G351</f>
        <v>0.27205804794088484</v>
      </c>
      <c r="F14" s="20">
        <f>원천데이터!G614</f>
        <v>0.27283754363488449</v>
      </c>
      <c r="G14" s="20">
        <f>원천데이터!G881</f>
        <v>0.27404921988688524</v>
      </c>
      <c r="H14" s="20">
        <f>원천데이터!G1149</f>
        <v>0.27524958335118482</v>
      </c>
      <c r="I14" s="20">
        <f>원천데이터!G1417</f>
        <v>0.27948130382764474</v>
      </c>
      <c r="J14" s="20">
        <f>원천데이터!G1683</f>
        <v>0.27944172958352448</v>
      </c>
      <c r="K14" s="20">
        <f>원천데이터!G1949</f>
        <v>0.28076258315009639</v>
      </c>
      <c r="L14" s="20">
        <f>원천데이터!G2215</f>
        <v>0.28233496958635845</v>
      </c>
      <c r="M14" s="20">
        <f>원천데이터!G2481</f>
        <v>0.26951292928315668</v>
      </c>
      <c r="N14" s="20">
        <f>원천데이터!G2747</f>
        <v>0.27189519032185228</v>
      </c>
      <c r="O14" s="20">
        <f>원천데이터!G3013</f>
        <v>0.28234645300775335</v>
      </c>
      <c r="P14" s="20">
        <f>원천데이터!G3280</f>
        <v>0.28235481854544975</v>
      </c>
      <c r="Q14" s="20">
        <f>원천데이터!G3546</f>
        <v>0.27895380117413193</v>
      </c>
      <c r="R14" s="20">
        <f t="shared" si="0"/>
        <v>0.27658687380150021</v>
      </c>
      <c r="S14" s="27">
        <f t="shared" si="1"/>
        <v>14</v>
      </c>
    </row>
    <row r="15" spans="1:19">
      <c r="A15" s="15" t="s">
        <v>257</v>
      </c>
      <c r="B15" s="15" t="s">
        <v>22</v>
      </c>
      <c r="C15" s="15" t="s">
        <v>257</v>
      </c>
      <c r="D15" s="20">
        <f>원천데이터!G129</f>
        <v>0.22380656541693875</v>
      </c>
      <c r="E15" s="20">
        <f>원천데이터!G393</f>
        <v>0.22809789458076951</v>
      </c>
      <c r="F15" s="20">
        <f>원천데이터!G659</f>
        <v>0.23201919898831677</v>
      </c>
      <c r="G15" s="20">
        <f>원천데이터!G926</f>
        <v>0.23653463446974643</v>
      </c>
      <c r="H15" s="20">
        <f>원천데이터!G1194</f>
        <v>0.23866920634920635</v>
      </c>
      <c r="I15" s="20">
        <f>원천데이터!G1460</f>
        <v>0.24291334684072735</v>
      </c>
      <c r="J15" s="20">
        <f>원천데이터!G1726</f>
        <v>0.24558332492378734</v>
      </c>
      <c r="K15" s="20">
        <f>원천데이터!G1992</f>
        <v>0.24641632008742903</v>
      </c>
      <c r="L15" s="20">
        <f>원천데이터!G2258</f>
        <v>0.24990405494810183</v>
      </c>
      <c r="M15" s="20">
        <f>원천데이터!G2524</f>
        <v>0.23148608733537565</v>
      </c>
      <c r="N15" s="20">
        <f>원천데이터!G2790</f>
        <v>0.23610763433243792</v>
      </c>
      <c r="O15" s="20">
        <f>원천데이터!G3056</f>
        <v>0.24896966281082258</v>
      </c>
      <c r="P15" s="20">
        <f>원천데이터!G3323</f>
        <v>0.25466925997209539</v>
      </c>
      <c r="Q15" s="20">
        <f>원천데이터!G3591</f>
        <v>0.25518049968583401</v>
      </c>
      <c r="R15" s="20">
        <f t="shared" si="0"/>
        <v>0.24073983505297061</v>
      </c>
      <c r="S15" s="27">
        <f t="shared" si="1"/>
        <v>14</v>
      </c>
    </row>
    <row r="16" spans="1:19">
      <c r="A16" s="15" t="s">
        <v>294</v>
      </c>
      <c r="B16" s="15" t="s">
        <v>22</v>
      </c>
      <c r="C16" s="15" t="s">
        <v>294</v>
      </c>
      <c r="D16" s="20">
        <f>원천데이터!G148</f>
        <v>0.24273013312704539</v>
      </c>
      <c r="E16" s="20">
        <f>원천데이터!G412</f>
        <v>0.24211254745647454</v>
      </c>
      <c r="F16" s="20">
        <f>원천데이터!G678</f>
        <v>0.24356838943203507</v>
      </c>
      <c r="G16" s="20">
        <f>원천데이터!G945</f>
        <v>0.24695926926682976</v>
      </c>
      <c r="H16" s="20">
        <f>원천데이터!G1213</f>
        <v>0.2479744522264889</v>
      </c>
      <c r="I16" s="20">
        <f>원천데이터!G1479</f>
        <v>0.25308215339784063</v>
      </c>
      <c r="J16" s="20">
        <f>원천데이터!G1745</f>
        <v>0.25544937704124832</v>
      </c>
      <c r="K16" s="20">
        <f>원천데이터!G2011</f>
        <v>0.25739323319455737</v>
      </c>
      <c r="L16" s="20">
        <f>원천데이터!G2277</f>
        <v>0.25912368814680597</v>
      </c>
      <c r="M16" s="20">
        <f>원천데이터!G2543</f>
        <v>0.24262538623904853</v>
      </c>
      <c r="N16" s="20">
        <f>원천데이터!G2809</f>
        <v>0.24653572232965976</v>
      </c>
      <c r="O16" s="20">
        <f>원천데이터!G3075</f>
        <v>0.2583814983454692</v>
      </c>
      <c r="P16" s="20">
        <f>원천데이터!G3342</f>
        <v>0.2630399798360597</v>
      </c>
      <c r="Q16" s="20">
        <f>원천데이터!G3610</f>
        <v>0.26311168489417164</v>
      </c>
      <c r="R16" s="20">
        <f t="shared" si="0"/>
        <v>0.25157767963812394</v>
      </c>
      <c r="S16" s="27">
        <f t="shared" si="1"/>
        <v>14</v>
      </c>
    </row>
    <row r="17" spans="1:19">
      <c r="A17" s="15" t="s">
        <v>325</v>
      </c>
      <c r="B17" s="15" t="s">
        <v>22</v>
      </c>
      <c r="C17" s="15" t="s">
        <v>325</v>
      </c>
      <c r="D17" s="20">
        <f>원천데이터!G162</f>
        <v>0.30652068164394652</v>
      </c>
      <c r="E17" s="20">
        <f>원천데이터!G426</f>
        <v>0.28813337363150254</v>
      </c>
      <c r="F17" s="20">
        <f>원천데이터!G692</f>
        <v>0.28966221401656927</v>
      </c>
      <c r="G17" s="20">
        <f>원천데이터!G960</f>
        <v>0.29337564975513569</v>
      </c>
      <c r="H17" s="20">
        <f>원천데이터!G1228</f>
        <v>0.2944706348991234</v>
      </c>
      <c r="I17" s="20">
        <f>원천데이터!G1494</f>
        <v>0.30057355627590687</v>
      </c>
      <c r="J17" s="20">
        <f>원천데이터!G1760</f>
        <v>0.30043606746432178</v>
      </c>
      <c r="K17" s="20">
        <f>원천데이터!G2026</f>
        <v>0.3009542264935956</v>
      </c>
      <c r="L17" s="20">
        <f>원천데이터!G2292</f>
        <v>0.30093728859889601</v>
      </c>
      <c r="M17" s="20">
        <f>원천데이터!G2558</f>
        <v>0.2844233716511298</v>
      </c>
      <c r="N17" s="20">
        <f>원천데이터!G2824</f>
        <v>0.29006906467906268</v>
      </c>
      <c r="O17" s="20">
        <f>원천데이터!G3090</f>
        <v>0.30056752083115923</v>
      </c>
      <c r="P17" s="20">
        <f>원천데이터!G3357</f>
        <v>0.30258242514180811</v>
      </c>
      <c r="Q17" s="20">
        <f>원천데이터!G3625</f>
        <v>0.30033094096225182</v>
      </c>
      <c r="R17" s="20">
        <f t="shared" si="0"/>
        <v>0.29664550114602922</v>
      </c>
      <c r="S17" s="27">
        <f t="shared" si="1"/>
        <v>14</v>
      </c>
    </row>
    <row r="18" spans="1:19">
      <c r="A18" s="15" t="s">
        <v>364</v>
      </c>
      <c r="B18" s="15" t="s">
        <v>22</v>
      </c>
      <c r="C18" s="15" t="s">
        <v>364</v>
      </c>
      <c r="D18" s="20">
        <f>원천데이터!G179</f>
        <v>0.17997294756115664</v>
      </c>
      <c r="E18" s="20">
        <f>원천데이터!G442</f>
        <v>0.18286157272357179</v>
      </c>
      <c r="F18" s="20">
        <f>원천데이터!G709</f>
        <v>0.18487975869283002</v>
      </c>
      <c r="G18" s="20">
        <f>원천데이터!G977</f>
        <v>0.18808317883468501</v>
      </c>
      <c r="H18" s="20">
        <f>원천데이터!G1245</f>
        <v>0.18919157889332622</v>
      </c>
      <c r="I18" s="20">
        <f>원천데이터!G1511</f>
        <v>0.19342168513126692</v>
      </c>
      <c r="J18" s="20">
        <f>원천데이터!G1777</f>
        <v>0.19518629591693221</v>
      </c>
      <c r="K18" s="20">
        <f>원천데이터!G2043</f>
        <v>0.19605227452346474</v>
      </c>
      <c r="L18" s="20">
        <f>원천데이터!G2309</f>
        <v>0.19719986987264743</v>
      </c>
      <c r="M18" s="20">
        <f>원천데이터!G2575</f>
        <v>0.17792125306940992</v>
      </c>
      <c r="N18" s="20">
        <f>원천데이터!G2841</f>
        <v>0.17972977480570004</v>
      </c>
      <c r="O18" s="20">
        <f>원천데이터!G3107</f>
        <v>0.19398874472453928</v>
      </c>
      <c r="P18" s="20">
        <f>원천데이터!G3374</f>
        <v>0.19799841360695225</v>
      </c>
      <c r="Q18" s="20">
        <f>원천데이터!G3642</f>
        <v>0.19645144216878876</v>
      </c>
      <c r="R18" s="20">
        <f t="shared" si="0"/>
        <v>0.18949562789466223</v>
      </c>
      <c r="S18" s="27">
        <f t="shared" si="1"/>
        <v>14</v>
      </c>
    </row>
    <row r="19" spans="1:19">
      <c r="A19" s="15" t="s">
        <v>395</v>
      </c>
      <c r="B19" s="15" t="s">
        <v>22</v>
      </c>
      <c r="C19" s="15" t="s">
        <v>395</v>
      </c>
      <c r="D19" s="20">
        <f>원천데이터!G195</f>
        <v>0.29547311645308061</v>
      </c>
      <c r="E19" s="20">
        <f>원천데이터!G458</f>
        <v>0.29791224544942574</v>
      </c>
      <c r="F19" s="20">
        <f>원천데이터!G725</f>
        <v>0.30395399552804009</v>
      </c>
      <c r="G19" s="20">
        <f>원천데이터!G993</f>
        <v>0.30757612094394665</v>
      </c>
      <c r="H19" s="20">
        <f>원천데이터!G1261</f>
        <v>0.31148939607760384</v>
      </c>
      <c r="I19" s="20">
        <f>원천데이터!G1527</f>
        <v>0.31576796314982503</v>
      </c>
      <c r="J19" s="20">
        <f>원천데이터!G1793</f>
        <v>0.31819549537952957</v>
      </c>
      <c r="K19" s="20">
        <f>원천데이터!G2059</f>
        <v>0.31970252141444661</v>
      </c>
      <c r="L19" s="20">
        <f>원천데이터!G2325</f>
        <v>0.32163033925371665</v>
      </c>
      <c r="M19" s="20">
        <f>원천데이터!G2591</f>
        <v>0.29897231006823793</v>
      </c>
      <c r="N19" s="20">
        <f>원천데이터!G2857</f>
        <v>0.30112416988969504</v>
      </c>
      <c r="O19" s="20">
        <f>원천데이터!G3123</f>
        <v>0.3105992617684869</v>
      </c>
      <c r="P19" s="20">
        <f>원천데이터!G3390</f>
        <v>0.31581960779414919</v>
      </c>
      <c r="Q19" s="20">
        <f>원천데이터!G3658</f>
        <v>0.31397428287486689</v>
      </c>
      <c r="R19" s="20">
        <f t="shared" si="0"/>
        <v>0.3094422018603607</v>
      </c>
      <c r="S19" s="27">
        <f t="shared" si="1"/>
        <v>14</v>
      </c>
    </row>
    <row r="20" spans="1:19">
      <c r="A20" s="15" t="s">
        <v>440</v>
      </c>
      <c r="B20" s="15" t="s">
        <v>22</v>
      </c>
      <c r="C20" s="15" t="s">
        <v>440</v>
      </c>
      <c r="D20" s="20">
        <f>원천데이터!G218</f>
        <v>0.28336055719184522</v>
      </c>
      <c r="E20" s="20">
        <f>원천데이터!G481</f>
        <v>0.28366329670943891</v>
      </c>
      <c r="F20" s="20">
        <f>원천데이터!G748</f>
        <v>0.288378908076173</v>
      </c>
      <c r="G20" s="20">
        <f>원천데이터!G1016</f>
        <v>0.29284095777229224</v>
      </c>
      <c r="H20" s="20">
        <f>원천데이터!G1284</f>
        <v>0.29537440149646654</v>
      </c>
      <c r="I20" s="20">
        <f>원천데이터!G1550</f>
        <v>0.30017843814315315</v>
      </c>
      <c r="J20" s="20">
        <f>원천데이터!G1816</f>
        <v>0.30425651930190839</v>
      </c>
      <c r="K20" s="20">
        <f>원천데이터!G2082</f>
        <v>0.3073573458505896</v>
      </c>
      <c r="L20" s="20">
        <f>원천데이터!G2348</f>
        <v>0.31185136848830181</v>
      </c>
      <c r="M20" s="20">
        <f>원천데이터!G2614</f>
        <v>0.29696003796273984</v>
      </c>
      <c r="N20" s="20">
        <f>원천데이터!G2880</f>
        <v>0.30287527894688199</v>
      </c>
      <c r="O20" s="20">
        <f>원천데이터!G3146</f>
        <v>0.31140150895750651</v>
      </c>
      <c r="P20" s="20">
        <f>원천데이터!G3413</f>
        <v>0.3166744800851648</v>
      </c>
      <c r="Q20" s="20">
        <f>원천데이터!G3681</f>
        <v>0.31551782347765744</v>
      </c>
      <c r="R20" s="20">
        <f t="shared" si="0"/>
        <v>0.30076363731857997</v>
      </c>
      <c r="S20" s="27">
        <f t="shared" si="1"/>
        <v>14</v>
      </c>
    </row>
    <row r="21" spans="1:19">
      <c r="A21" s="15" t="s">
        <v>488</v>
      </c>
      <c r="B21" s="15" t="s">
        <v>22</v>
      </c>
      <c r="C21" s="15" t="s">
        <v>488</v>
      </c>
      <c r="D21" s="20">
        <f>원천데이터!G243</f>
        <v>0.22138642341841741</v>
      </c>
      <c r="E21" s="20">
        <f>원천데이터!G506</f>
        <v>0.22530717905241426</v>
      </c>
      <c r="F21" s="20">
        <f>원천데이터!G773</f>
        <v>0.2282676317467241</v>
      </c>
      <c r="G21" s="20">
        <f>원천데이터!G1041</f>
        <v>0.23241878527049631</v>
      </c>
      <c r="H21" s="20">
        <f>원천데이터!G1309</f>
        <v>0.23423998838253024</v>
      </c>
      <c r="I21" s="20">
        <f>원천데이터!G1575</f>
        <v>0.2366643368884177</v>
      </c>
      <c r="J21" s="20">
        <f>원천데이터!G1841</f>
        <v>0.23952303819785881</v>
      </c>
      <c r="K21" s="20">
        <f>원천데이터!G2107</f>
        <v>0.24194547661897456</v>
      </c>
      <c r="L21" s="20">
        <f>원천데이터!G2373</f>
        <v>0.24233653450438528</v>
      </c>
      <c r="M21" s="20">
        <f>원천데이터!G2639</f>
        <v>0.22398542908354305</v>
      </c>
      <c r="N21" s="20">
        <f>원천데이터!G2905</f>
        <v>0.22776288824336835</v>
      </c>
      <c r="O21" s="20">
        <f>원천데이터!G3171</f>
        <v>0.23835774732380377</v>
      </c>
      <c r="P21" s="20">
        <f>원천데이터!G3437</f>
        <v>0.24241892271057996</v>
      </c>
      <c r="Q21" s="20">
        <f>원천데이터!G3705</f>
        <v>0.24258161778304546</v>
      </c>
      <c r="R21" s="20">
        <f t="shared" si="0"/>
        <v>0.23408542851604</v>
      </c>
      <c r="S21" s="27">
        <f t="shared" si="1"/>
        <v>14</v>
      </c>
    </row>
    <row r="22" spans="1:19">
      <c r="A22" s="16" t="s">
        <v>532</v>
      </c>
      <c r="B22" s="16" t="s">
        <v>22</v>
      </c>
      <c r="C22" s="16" t="s">
        <v>532</v>
      </c>
      <c r="D22" s="22">
        <f>원천데이터!G266</f>
        <v>0.13533498734397453</v>
      </c>
      <c r="E22" s="22">
        <f>원천데이터!G529</f>
        <v>0.14168075840770944</v>
      </c>
      <c r="F22" s="22">
        <f>원천데이터!G796</f>
        <v>0.14466963282232961</v>
      </c>
      <c r="G22" s="22">
        <f>원천데이터!G1064</f>
        <v>0.1514464367361566</v>
      </c>
      <c r="H22" s="22">
        <f>원천데이터!G1332</f>
        <v>0.15912965214696134</v>
      </c>
      <c r="I22" s="22">
        <f>원천데이터!G1598</f>
        <v>0.17153865971677582</v>
      </c>
      <c r="J22" s="22">
        <f>원천데이터!G1864</f>
        <v>0.17863234204123693</v>
      </c>
      <c r="K22" s="22">
        <f>원천데이터!G2130</f>
        <v>0.18163365777282778</v>
      </c>
      <c r="L22" s="22">
        <f>원천데이터!G2396</f>
        <v>0.18291446980280499</v>
      </c>
      <c r="M22" s="22">
        <f>원천데이터!G2662</f>
        <v>0.15757908027644871</v>
      </c>
      <c r="N22" s="22">
        <f>원천데이터!G2928</f>
        <v>0.16153176131352839</v>
      </c>
      <c r="O22" s="22">
        <f>원천데이터!G3194</f>
        <v>0.18095042568343522</v>
      </c>
      <c r="P22" s="22">
        <f>원천데이터!G3460</f>
        <v>0.18591006847897487</v>
      </c>
      <c r="Q22" s="22">
        <f>원천데이터!G3728</f>
        <v>0.18400271096310875</v>
      </c>
      <c r="R22" s="22">
        <f t="shared" si="0"/>
        <v>0.16549676025044804</v>
      </c>
      <c r="S22" s="28">
        <f t="shared" si="1"/>
        <v>14</v>
      </c>
    </row>
  </sheetData>
  <mergeCells count="2">
    <mergeCell ref="A1:S2"/>
    <mergeCell ref="A3:S3"/>
  </mergeCells>
  <phoneticPr fontId="8" type="noConversion"/>
  <conditionalFormatting sqref="D6:R22">
    <cfRule type="colorScale" priority="1">
      <colorScale>
        <cfvo type="min"/>
        <cfvo type="percentile" val="50"/>
        <cfvo type="max"/>
        <color rgb="FFE8F0FF"/>
        <color rgb="FFFFF4CC"/>
        <color rgb="FFF7C7C7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30"/>
  <sheetViews>
    <sheetView showGridLines="0" workbookViewId="0">
      <selection sqref="A1:K2"/>
    </sheetView>
  </sheetViews>
  <sheetFormatPr defaultRowHeight="13.8"/>
  <cols>
    <col min="1" max="2" width="9" customWidth="1"/>
    <col min="3" max="3" width="18" customWidth="1"/>
    <col min="4" max="4" width="26" customWidth="1"/>
    <col min="5" max="6" width="18" customWidth="1"/>
    <col min="7" max="7" width="11" customWidth="1"/>
    <col min="8" max="10" width="15" customWidth="1"/>
    <col min="11" max="11" width="42" customWidth="1"/>
  </cols>
  <sheetData>
    <row r="1" spans="1:11" ht="28.05" customHeight="1">
      <c r="A1" s="135" t="s">
        <v>538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pans="1:11" ht="28.05" customHeight="1">
      <c r="A2" s="135"/>
      <c r="B2" s="135"/>
      <c r="C2" s="135"/>
      <c r="D2" s="135"/>
      <c r="E2" s="135"/>
      <c r="F2" s="135"/>
      <c r="G2" s="135"/>
      <c r="H2" s="135"/>
      <c r="I2" s="135"/>
      <c r="J2" s="135"/>
      <c r="K2" s="135"/>
    </row>
    <row r="3" spans="1:11" ht="31.95" customHeight="1">
      <c r="A3" s="136" t="s">
        <v>539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</row>
    <row r="5" spans="1:11" ht="34.049999999999997" customHeight="1">
      <c r="A5" s="1" t="s">
        <v>540</v>
      </c>
      <c r="B5" s="1" t="s">
        <v>2</v>
      </c>
      <c r="C5" s="1" t="s">
        <v>3</v>
      </c>
      <c r="D5" s="1" t="s">
        <v>4</v>
      </c>
      <c r="E5" s="1" t="s">
        <v>541</v>
      </c>
      <c r="F5" s="1" t="s">
        <v>542</v>
      </c>
      <c r="G5" s="1" t="s">
        <v>543</v>
      </c>
      <c r="H5" s="1" t="s">
        <v>544</v>
      </c>
      <c r="I5" s="1" t="s">
        <v>545</v>
      </c>
      <c r="J5" s="1" t="s">
        <v>546</v>
      </c>
      <c r="K5" s="1" t="s">
        <v>547</v>
      </c>
    </row>
    <row r="6" spans="1:11">
      <c r="A6" s="11">
        <v>2011</v>
      </c>
      <c r="B6" s="14" t="s">
        <v>21</v>
      </c>
      <c r="C6" s="14" t="s">
        <v>22</v>
      </c>
      <c r="D6" s="14" t="s">
        <v>21</v>
      </c>
      <c r="E6" s="17">
        <v>8963298</v>
      </c>
      <c r="F6" s="17">
        <v>2148008</v>
      </c>
      <c r="G6" s="18">
        <f t="shared" ref="G6:G69" si="0">IFERROR(F6/(E6+F6),"")</f>
        <v>0.1933173292140456</v>
      </c>
      <c r="H6" s="23" t="s">
        <v>548</v>
      </c>
      <c r="I6" s="23" t="s">
        <v>549</v>
      </c>
      <c r="J6" s="23" t="s">
        <v>550</v>
      </c>
      <c r="K6" s="23" t="s">
        <v>551</v>
      </c>
    </row>
    <row r="7" spans="1:11">
      <c r="A7" s="12">
        <v>2011</v>
      </c>
      <c r="B7" s="15" t="s">
        <v>21</v>
      </c>
      <c r="C7" s="15" t="s">
        <v>23</v>
      </c>
      <c r="D7" s="15" t="s">
        <v>24</v>
      </c>
      <c r="E7" s="19">
        <v>430738</v>
      </c>
      <c r="F7" s="19">
        <v>353460</v>
      </c>
      <c r="G7" s="20">
        <f t="shared" si="0"/>
        <v>0.4507280049171255</v>
      </c>
      <c r="H7" s="24" t="s">
        <v>548</v>
      </c>
      <c r="I7" s="24" t="s">
        <v>549</v>
      </c>
      <c r="J7" s="24" t="s">
        <v>550</v>
      </c>
      <c r="K7" s="24" t="s">
        <v>551</v>
      </c>
    </row>
    <row r="8" spans="1:11">
      <c r="A8" s="12">
        <v>2011</v>
      </c>
      <c r="B8" s="15" t="s">
        <v>21</v>
      </c>
      <c r="C8" s="15" t="s">
        <v>25</v>
      </c>
      <c r="D8" s="15" t="s">
        <v>26</v>
      </c>
      <c r="E8" s="19">
        <v>391809</v>
      </c>
      <c r="F8" s="19">
        <v>261766</v>
      </c>
      <c r="G8" s="20">
        <f t="shared" si="0"/>
        <v>0.40051409555139045</v>
      </c>
      <c r="H8" s="24" t="s">
        <v>548</v>
      </c>
      <c r="I8" s="24" t="s">
        <v>549</v>
      </c>
      <c r="J8" s="24" t="s">
        <v>550</v>
      </c>
      <c r="K8" s="24" t="s">
        <v>551</v>
      </c>
    </row>
    <row r="9" spans="1:11">
      <c r="A9" s="12">
        <v>2011</v>
      </c>
      <c r="B9" s="15" t="s">
        <v>21</v>
      </c>
      <c r="C9" s="15" t="s">
        <v>27</v>
      </c>
      <c r="D9" s="15" t="s">
        <v>28</v>
      </c>
      <c r="E9" s="19">
        <v>255381</v>
      </c>
      <c r="F9" s="19">
        <v>226329</v>
      </c>
      <c r="G9" s="20">
        <f t="shared" si="0"/>
        <v>0.46984492744597373</v>
      </c>
      <c r="H9" s="24" t="s">
        <v>548</v>
      </c>
      <c r="I9" s="24" t="s">
        <v>549</v>
      </c>
      <c r="J9" s="24" t="s">
        <v>550</v>
      </c>
      <c r="K9" s="24" t="s">
        <v>551</v>
      </c>
    </row>
    <row r="10" spans="1:11">
      <c r="A10" s="12">
        <v>2011</v>
      </c>
      <c r="B10" s="15" t="s">
        <v>21</v>
      </c>
      <c r="C10" s="15" t="s">
        <v>29</v>
      </c>
      <c r="D10" s="15" t="s">
        <v>30</v>
      </c>
      <c r="E10" s="19">
        <v>434814</v>
      </c>
      <c r="F10" s="19">
        <v>359982</v>
      </c>
      <c r="G10" s="20">
        <f t="shared" si="0"/>
        <v>0.45292376911811333</v>
      </c>
      <c r="H10" s="24" t="s">
        <v>548</v>
      </c>
      <c r="I10" s="24" t="s">
        <v>549</v>
      </c>
      <c r="J10" s="24" t="s">
        <v>550</v>
      </c>
      <c r="K10" s="24" t="s">
        <v>551</v>
      </c>
    </row>
    <row r="11" spans="1:11">
      <c r="A11" s="12">
        <v>2011</v>
      </c>
      <c r="B11" s="15" t="s">
        <v>21</v>
      </c>
      <c r="C11" s="15" t="s">
        <v>31</v>
      </c>
      <c r="D11" s="15" t="s">
        <v>32</v>
      </c>
      <c r="E11" s="19">
        <v>377917</v>
      </c>
      <c r="F11" s="19">
        <v>352174</v>
      </c>
      <c r="G11" s="20">
        <f t="shared" si="0"/>
        <v>0.48237000593076751</v>
      </c>
      <c r="H11" s="24" t="s">
        <v>548</v>
      </c>
      <c r="I11" s="24" t="s">
        <v>549</v>
      </c>
      <c r="J11" s="24" t="s">
        <v>550</v>
      </c>
      <c r="K11" s="24" t="s">
        <v>551</v>
      </c>
    </row>
    <row r="12" spans="1:11">
      <c r="A12" s="12">
        <v>2011</v>
      </c>
      <c r="B12" s="15" t="s">
        <v>21</v>
      </c>
      <c r="C12" s="15" t="s">
        <v>33</v>
      </c>
      <c r="D12" s="15" t="s">
        <v>34</v>
      </c>
      <c r="E12" s="19">
        <v>280779</v>
      </c>
      <c r="F12" s="19">
        <v>229081</v>
      </c>
      <c r="G12" s="20">
        <f t="shared" si="0"/>
        <v>0.44930176911308989</v>
      </c>
      <c r="H12" s="24" t="s">
        <v>548</v>
      </c>
      <c r="I12" s="24" t="s">
        <v>549</v>
      </c>
      <c r="J12" s="24" t="s">
        <v>550</v>
      </c>
      <c r="K12" s="24" t="s">
        <v>551</v>
      </c>
    </row>
    <row r="13" spans="1:11">
      <c r="A13" s="12">
        <v>2011</v>
      </c>
      <c r="B13" s="15" t="s">
        <v>21</v>
      </c>
      <c r="C13" s="15" t="s">
        <v>35</v>
      </c>
      <c r="D13" s="15" t="s">
        <v>36</v>
      </c>
      <c r="E13" s="19">
        <v>319552</v>
      </c>
      <c r="F13" s="19">
        <v>279602</v>
      </c>
      <c r="G13" s="20">
        <f t="shared" si="0"/>
        <v>0.46666132580271519</v>
      </c>
      <c r="H13" s="24" t="s">
        <v>548</v>
      </c>
      <c r="I13" s="24" t="s">
        <v>549</v>
      </c>
      <c r="J13" s="24" t="s">
        <v>550</v>
      </c>
      <c r="K13" s="24" t="s">
        <v>551</v>
      </c>
    </row>
    <row r="14" spans="1:11">
      <c r="A14" s="12">
        <v>2011</v>
      </c>
      <c r="B14" s="15" t="s">
        <v>21</v>
      </c>
      <c r="C14" s="15" t="s">
        <v>37</v>
      </c>
      <c r="D14" s="15" t="s">
        <v>38</v>
      </c>
      <c r="E14" s="19">
        <v>178377</v>
      </c>
      <c r="F14" s="19">
        <v>160750</v>
      </c>
      <c r="G14" s="20">
        <f t="shared" si="0"/>
        <v>0.47401121113918976</v>
      </c>
      <c r="H14" s="24" t="s">
        <v>548</v>
      </c>
      <c r="I14" s="24" t="s">
        <v>549</v>
      </c>
      <c r="J14" s="24" t="s">
        <v>550</v>
      </c>
      <c r="K14" s="24" t="s">
        <v>551</v>
      </c>
    </row>
    <row r="15" spans="1:11">
      <c r="A15" s="12">
        <v>2011</v>
      </c>
      <c r="B15" s="15" t="s">
        <v>21</v>
      </c>
      <c r="C15" s="15" t="s">
        <v>39</v>
      </c>
      <c r="D15" s="15" t="s">
        <v>40</v>
      </c>
      <c r="E15" s="19">
        <v>471411</v>
      </c>
      <c r="F15" s="19">
        <v>342448</v>
      </c>
      <c r="G15" s="20">
        <f t="shared" si="0"/>
        <v>0.42077067403567447</v>
      </c>
      <c r="H15" s="24" t="s">
        <v>548</v>
      </c>
      <c r="I15" s="24" t="s">
        <v>549</v>
      </c>
      <c r="J15" s="24" t="s">
        <v>550</v>
      </c>
      <c r="K15" s="24" t="s">
        <v>551</v>
      </c>
    </row>
    <row r="16" spans="1:11">
      <c r="A16" s="12">
        <v>2011</v>
      </c>
      <c r="B16" s="15" t="s">
        <v>21</v>
      </c>
      <c r="C16" s="15" t="s">
        <v>41</v>
      </c>
      <c r="D16" s="15" t="s">
        <v>42</v>
      </c>
      <c r="E16" s="19">
        <v>272496</v>
      </c>
      <c r="F16" s="19">
        <v>242693</v>
      </c>
      <c r="G16" s="20">
        <f t="shared" si="0"/>
        <v>0.47107566349436808</v>
      </c>
      <c r="H16" s="24" t="s">
        <v>548</v>
      </c>
      <c r="I16" s="24" t="s">
        <v>549</v>
      </c>
      <c r="J16" s="24" t="s">
        <v>550</v>
      </c>
      <c r="K16" s="24" t="s">
        <v>551</v>
      </c>
    </row>
    <row r="17" spans="1:11">
      <c r="A17" s="12">
        <v>2011</v>
      </c>
      <c r="B17" s="15" t="s">
        <v>21</v>
      </c>
      <c r="C17" s="15" t="s">
        <v>43</v>
      </c>
      <c r="D17" s="15" t="s">
        <v>44</v>
      </c>
      <c r="E17" s="19">
        <v>273410</v>
      </c>
      <c r="F17" s="19">
        <v>216594</v>
      </c>
      <c r="G17" s="20">
        <f t="shared" si="0"/>
        <v>0.44202496306152605</v>
      </c>
      <c r="H17" s="24" t="s">
        <v>548</v>
      </c>
      <c r="I17" s="24" t="s">
        <v>549</v>
      </c>
      <c r="J17" s="24" t="s">
        <v>550</v>
      </c>
      <c r="K17" s="24" t="s">
        <v>551</v>
      </c>
    </row>
    <row r="18" spans="1:11">
      <c r="A18" s="12">
        <v>2011</v>
      </c>
      <c r="B18" s="15" t="s">
        <v>21</v>
      </c>
      <c r="C18" s="15" t="s">
        <v>45</v>
      </c>
      <c r="D18" s="15" t="s">
        <v>46</v>
      </c>
      <c r="E18" s="19">
        <v>286857</v>
      </c>
      <c r="F18" s="19">
        <v>274694</v>
      </c>
      <c r="G18" s="20">
        <f t="shared" si="0"/>
        <v>0.48917017332352714</v>
      </c>
      <c r="H18" s="24" t="s">
        <v>548</v>
      </c>
      <c r="I18" s="24" t="s">
        <v>549</v>
      </c>
      <c r="J18" s="24" t="s">
        <v>550</v>
      </c>
      <c r="K18" s="24" t="s">
        <v>551</v>
      </c>
    </row>
    <row r="19" spans="1:11">
      <c r="A19" s="12">
        <v>2011</v>
      </c>
      <c r="B19" s="15" t="s">
        <v>21</v>
      </c>
      <c r="C19" s="15" t="s">
        <v>47</v>
      </c>
      <c r="D19" s="15" t="s">
        <v>48</v>
      </c>
      <c r="E19" s="19">
        <v>283939</v>
      </c>
      <c r="F19" s="19">
        <v>270083</v>
      </c>
      <c r="G19" s="20">
        <f t="shared" si="0"/>
        <v>0.48749508142275938</v>
      </c>
      <c r="H19" s="24" t="s">
        <v>548</v>
      </c>
      <c r="I19" s="24" t="s">
        <v>549</v>
      </c>
      <c r="J19" s="24" t="s">
        <v>550</v>
      </c>
      <c r="K19" s="24" t="s">
        <v>551</v>
      </c>
    </row>
    <row r="20" spans="1:11">
      <c r="A20" s="12">
        <v>2011</v>
      </c>
      <c r="B20" s="15" t="s">
        <v>21</v>
      </c>
      <c r="C20" s="15" t="s">
        <v>49</v>
      </c>
      <c r="D20" s="15" t="s">
        <v>50</v>
      </c>
      <c r="E20" s="19">
        <v>218856</v>
      </c>
      <c r="F20" s="19">
        <v>223436</v>
      </c>
      <c r="G20" s="20">
        <f t="shared" si="0"/>
        <v>0.50517757499570415</v>
      </c>
      <c r="H20" s="24" t="s">
        <v>548</v>
      </c>
      <c r="I20" s="24" t="s">
        <v>549</v>
      </c>
      <c r="J20" s="24" t="s">
        <v>550</v>
      </c>
      <c r="K20" s="24" t="s">
        <v>551</v>
      </c>
    </row>
    <row r="21" spans="1:11">
      <c r="A21" s="12">
        <v>2011</v>
      </c>
      <c r="B21" s="15" t="s">
        <v>21</v>
      </c>
      <c r="C21" s="15" t="s">
        <v>51</v>
      </c>
      <c r="D21" s="15" t="s">
        <v>52</v>
      </c>
      <c r="E21" s="19">
        <v>306617</v>
      </c>
      <c r="F21" s="19">
        <v>311852</v>
      </c>
      <c r="G21" s="20">
        <f t="shared" si="0"/>
        <v>0.50423222505897625</v>
      </c>
      <c r="H21" s="24" t="s">
        <v>548</v>
      </c>
      <c r="I21" s="24" t="s">
        <v>549</v>
      </c>
      <c r="J21" s="24" t="s">
        <v>550</v>
      </c>
      <c r="K21" s="24" t="s">
        <v>551</v>
      </c>
    </row>
    <row r="22" spans="1:11">
      <c r="A22" s="12">
        <v>2011</v>
      </c>
      <c r="B22" s="15" t="s">
        <v>21</v>
      </c>
      <c r="C22" s="15" t="s">
        <v>53</v>
      </c>
      <c r="D22" s="15" t="s">
        <v>54</v>
      </c>
      <c r="E22" s="19">
        <v>211896</v>
      </c>
      <c r="F22" s="19">
        <v>205597</v>
      </c>
      <c r="G22" s="20">
        <f t="shared" si="0"/>
        <v>0.49245616094162059</v>
      </c>
      <c r="H22" s="24" t="s">
        <v>548</v>
      </c>
      <c r="I22" s="24" t="s">
        <v>549</v>
      </c>
      <c r="J22" s="24" t="s">
        <v>550</v>
      </c>
      <c r="K22" s="24" t="s">
        <v>551</v>
      </c>
    </row>
    <row r="23" spans="1:11">
      <c r="A23" s="12">
        <v>2011</v>
      </c>
      <c r="B23" s="15" t="s">
        <v>21</v>
      </c>
      <c r="C23" s="15" t="s">
        <v>55</v>
      </c>
      <c r="D23" s="15" t="s">
        <v>56</v>
      </c>
      <c r="E23" s="19">
        <v>351177</v>
      </c>
      <c r="F23" s="19">
        <v>329543</v>
      </c>
      <c r="G23" s="20">
        <f t="shared" si="0"/>
        <v>0.48410947232342227</v>
      </c>
      <c r="H23" s="24" t="s">
        <v>548</v>
      </c>
      <c r="I23" s="24" t="s">
        <v>549</v>
      </c>
      <c r="J23" s="24" t="s">
        <v>550</v>
      </c>
      <c r="K23" s="24" t="s">
        <v>551</v>
      </c>
    </row>
    <row r="24" spans="1:11">
      <c r="A24" s="12">
        <v>2011</v>
      </c>
      <c r="B24" s="15" t="s">
        <v>21</v>
      </c>
      <c r="C24" s="15" t="s">
        <v>57</v>
      </c>
      <c r="D24" s="15" t="s">
        <v>58</v>
      </c>
      <c r="E24" s="19">
        <v>522972</v>
      </c>
      <c r="F24" s="19">
        <v>419226</v>
      </c>
      <c r="G24" s="20">
        <f t="shared" si="0"/>
        <v>0.44494469315366836</v>
      </c>
      <c r="H24" s="24" t="s">
        <v>548</v>
      </c>
      <c r="I24" s="24" t="s">
        <v>549</v>
      </c>
      <c r="J24" s="24" t="s">
        <v>550</v>
      </c>
      <c r="K24" s="24" t="s">
        <v>551</v>
      </c>
    </row>
    <row r="25" spans="1:11">
      <c r="A25" s="12">
        <v>2011</v>
      </c>
      <c r="B25" s="15" t="s">
        <v>21</v>
      </c>
      <c r="C25" s="15" t="s">
        <v>59</v>
      </c>
      <c r="D25" s="15" t="s">
        <v>60</v>
      </c>
      <c r="E25" s="19">
        <v>373858</v>
      </c>
      <c r="F25" s="19">
        <v>329248</v>
      </c>
      <c r="G25" s="20">
        <f t="shared" si="0"/>
        <v>0.46827647609322065</v>
      </c>
      <c r="H25" s="24" t="s">
        <v>548</v>
      </c>
      <c r="I25" s="24" t="s">
        <v>549</v>
      </c>
      <c r="J25" s="24" t="s">
        <v>550</v>
      </c>
      <c r="K25" s="24" t="s">
        <v>551</v>
      </c>
    </row>
    <row r="26" spans="1:11">
      <c r="A26" s="12">
        <v>2011</v>
      </c>
      <c r="B26" s="15" t="s">
        <v>21</v>
      </c>
      <c r="C26" s="15" t="s">
        <v>61</v>
      </c>
      <c r="D26" s="15" t="s">
        <v>62</v>
      </c>
      <c r="E26" s="19">
        <v>301603</v>
      </c>
      <c r="F26" s="19">
        <v>259223</v>
      </c>
      <c r="G26" s="20">
        <f t="shared" si="0"/>
        <v>0.4622164450292961</v>
      </c>
      <c r="H26" s="24" t="s">
        <v>548</v>
      </c>
      <c r="I26" s="24" t="s">
        <v>549</v>
      </c>
      <c r="J26" s="24" t="s">
        <v>550</v>
      </c>
      <c r="K26" s="24" t="s">
        <v>551</v>
      </c>
    </row>
    <row r="27" spans="1:11">
      <c r="A27" s="12">
        <v>2011</v>
      </c>
      <c r="B27" s="15" t="s">
        <v>21</v>
      </c>
      <c r="C27" s="15" t="s">
        <v>63</v>
      </c>
      <c r="D27" s="15" t="s">
        <v>64</v>
      </c>
      <c r="E27" s="19">
        <v>158651</v>
      </c>
      <c r="F27" s="19">
        <v>178570</v>
      </c>
      <c r="G27" s="20">
        <f t="shared" si="0"/>
        <v>0.52953404443969976</v>
      </c>
      <c r="H27" s="24" t="s">
        <v>548</v>
      </c>
      <c r="I27" s="24" t="s">
        <v>549</v>
      </c>
      <c r="J27" s="24" t="s">
        <v>550</v>
      </c>
      <c r="K27" s="24" t="s">
        <v>551</v>
      </c>
    </row>
    <row r="28" spans="1:11">
      <c r="A28" s="12">
        <v>2011</v>
      </c>
      <c r="B28" s="15" t="s">
        <v>21</v>
      </c>
      <c r="C28" s="15" t="s">
        <v>65</v>
      </c>
      <c r="D28" s="15" t="s">
        <v>66</v>
      </c>
      <c r="E28" s="19">
        <v>377111</v>
      </c>
      <c r="F28" s="19">
        <v>297146</v>
      </c>
      <c r="G28" s="20">
        <f t="shared" si="0"/>
        <v>0.44070139427547655</v>
      </c>
      <c r="H28" s="24" t="s">
        <v>548</v>
      </c>
      <c r="I28" s="24" t="s">
        <v>549</v>
      </c>
      <c r="J28" s="24" t="s">
        <v>550</v>
      </c>
      <c r="K28" s="24" t="s">
        <v>551</v>
      </c>
    </row>
    <row r="29" spans="1:11">
      <c r="A29" s="12">
        <v>2011</v>
      </c>
      <c r="B29" s="15" t="s">
        <v>21</v>
      </c>
      <c r="C29" s="15" t="s">
        <v>67</v>
      </c>
      <c r="D29" s="15" t="s">
        <v>68</v>
      </c>
      <c r="E29" s="19">
        <v>116282</v>
      </c>
      <c r="F29" s="19">
        <v>120772</v>
      </c>
      <c r="G29" s="20">
        <f t="shared" si="0"/>
        <v>0.5094704160233533</v>
      </c>
      <c r="H29" s="24" t="s">
        <v>548</v>
      </c>
      <c r="I29" s="24" t="s">
        <v>549</v>
      </c>
      <c r="J29" s="24" t="s">
        <v>550</v>
      </c>
      <c r="K29" s="24" t="s">
        <v>551</v>
      </c>
    </row>
    <row r="30" spans="1:11">
      <c r="A30" s="12">
        <v>2011</v>
      </c>
      <c r="B30" s="15" t="s">
        <v>21</v>
      </c>
      <c r="C30" s="15" t="s">
        <v>69</v>
      </c>
      <c r="D30" s="15" t="s">
        <v>70</v>
      </c>
      <c r="E30" s="19">
        <v>93782</v>
      </c>
      <c r="F30" s="19">
        <v>93276</v>
      </c>
      <c r="G30" s="20">
        <f t="shared" si="0"/>
        <v>0.49864747832223161</v>
      </c>
      <c r="H30" s="24" t="s">
        <v>548</v>
      </c>
      <c r="I30" s="24" t="s">
        <v>549</v>
      </c>
      <c r="J30" s="24" t="s">
        <v>550</v>
      </c>
      <c r="K30" s="24" t="s">
        <v>551</v>
      </c>
    </row>
    <row r="31" spans="1:11">
      <c r="A31" s="12">
        <v>2011</v>
      </c>
      <c r="B31" s="15" t="s">
        <v>21</v>
      </c>
      <c r="C31" s="15" t="s">
        <v>71</v>
      </c>
      <c r="D31" s="15" t="s">
        <v>72</v>
      </c>
      <c r="E31" s="19">
        <v>319360</v>
      </c>
      <c r="F31" s="19">
        <v>265018</v>
      </c>
      <c r="G31" s="20">
        <f t="shared" si="0"/>
        <v>0.45350440981693357</v>
      </c>
      <c r="H31" s="24" t="s">
        <v>548</v>
      </c>
      <c r="I31" s="24" t="s">
        <v>549</v>
      </c>
      <c r="J31" s="24" t="s">
        <v>550</v>
      </c>
      <c r="K31" s="24" t="s">
        <v>551</v>
      </c>
    </row>
    <row r="32" spans="1:11">
      <c r="A32" s="12">
        <v>2011</v>
      </c>
      <c r="B32" s="15" t="s">
        <v>73</v>
      </c>
      <c r="C32" s="15" t="s">
        <v>22</v>
      </c>
      <c r="D32" s="15" t="s">
        <v>73</v>
      </c>
      <c r="E32" s="19">
        <v>3159635</v>
      </c>
      <c r="F32" s="19">
        <v>630148</v>
      </c>
      <c r="G32" s="20">
        <f t="shared" si="0"/>
        <v>0.16627548331922962</v>
      </c>
      <c r="H32" s="24" t="s">
        <v>552</v>
      </c>
      <c r="I32" s="24" t="s">
        <v>553</v>
      </c>
      <c r="J32" s="24" t="s">
        <v>554</v>
      </c>
      <c r="K32" s="24" t="s">
        <v>551</v>
      </c>
    </row>
    <row r="33" spans="1:11">
      <c r="A33" s="12">
        <v>2011</v>
      </c>
      <c r="B33" s="15" t="s">
        <v>73</v>
      </c>
      <c r="C33" s="15" t="s">
        <v>29</v>
      </c>
      <c r="D33" s="15" t="s">
        <v>74</v>
      </c>
      <c r="E33" s="19">
        <v>31390</v>
      </c>
      <c r="F33" s="19">
        <v>58315</v>
      </c>
      <c r="G33" s="20">
        <f t="shared" si="0"/>
        <v>0.6500752466417703</v>
      </c>
      <c r="H33" s="24" t="s">
        <v>552</v>
      </c>
      <c r="I33" s="24" t="s">
        <v>553</v>
      </c>
      <c r="J33" s="24" t="s">
        <v>554</v>
      </c>
      <c r="K33" s="24" t="s">
        <v>551</v>
      </c>
    </row>
    <row r="34" spans="1:11">
      <c r="A34" s="12">
        <v>2011</v>
      </c>
      <c r="B34" s="15" t="s">
        <v>73</v>
      </c>
      <c r="C34" s="15" t="s">
        <v>75</v>
      </c>
      <c r="D34" s="15" t="s">
        <v>76</v>
      </c>
      <c r="E34" s="19">
        <v>197083</v>
      </c>
      <c r="F34" s="19">
        <v>162132</v>
      </c>
      <c r="G34" s="20">
        <f t="shared" si="0"/>
        <v>0.45135086229695309</v>
      </c>
      <c r="H34" s="24" t="s">
        <v>552</v>
      </c>
      <c r="I34" s="24" t="s">
        <v>553</v>
      </c>
      <c r="J34" s="24" t="s">
        <v>554</v>
      </c>
      <c r="K34" s="24" t="s">
        <v>551</v>
      </c>
    </row>
    <row r="35" spans="1:11">
      <c r="A35" s="12">
        <v>2011</v>
      </c>
      <c r="B35" s="15" t="s">
        <v>73</v>
      </c>
      <c r="C35" s="15" t="s">
        <v>77</v>
      </c>
      <c r="D35" s="15" t="s">
        <v>78</v>
      </c>
      <c r="E35" s="19">
        <v>78583</v>
      </c>
      <c r="F35" s="19">
        <v>75639</v>
      </c>
      <c r="G35" s="20">
        <f t="shared" si="0"/>
        <v>0.49045531765895917</v>
      </c>
      <c r="H35" s="24" t="s">
        <v>552</v>
      </c>
      <c r="I35" s="24" t="s">
        <v>553</v>
      </c>
      <c r="J35" s="24" t="s">
        <v>554</v>
      </c>
      <c r="K35" s="24" t="s">
        <v>551</v>
      </c>
    </row>
    <row r="36" spans="1:11">
      <c r="A36" s="12">
        <v>2011</v>
      </c>
      <c r="B36" s="15" t="s">
        <v>73</v>
      </c>
      <c r="C36" s="15" t="s">
        <v>79</v>
      </c>
      <c r="D36" s="15" t="s">
        <v>80</v>
      </c>
      <c r="E36" s="19">
        <v>224562</v>
      </c>
      <c r="F36" s="19">
        <v>199140</v>
      </c>
      <c r="G36" s="20">
        <f t="shared" si="0"/>
        <v>0.47000014160896103</v>
      </c>
      <c r="H36" s="24" t="s">
        <v>552</v>
      </c>
      <c r="I36" s="24" t="s">
        <v>553</v>
      </c>
      <c r="J36" s="24" t="s">
        <v>554</v>
      </c>
      <c r="K36" s="24" t="s">
        <v>551</v>
      </c>
    </row>
    <row r="37" spans="1:11">
      <c r="A37" s="12">
        <v>2011</v>
      </c>
      <c r="B37" s="15" t="s">
        <v>73</v>
      </c>
      <c r="C37" s="15" t="s">
        <v>81</v>
      </c>
      <c r="D37" s="15" t="s">
        <v>82</v>
      </c>
      <c r="E37" s="19">
        <v>74010</v>
      </c>
      <c r="F37" s="19">
        <v>69427</v>
      </c>
      <c r="G37" s="20">
        <f t="shared" si="0"/>
        <v>0.4840243451829026</v>
      </c>
      <c r="H37" s="24" t="s">
        <v>552</v>
      </c>
      <c r="I37" s="24" t="s">
        <v>553</v>
      </c>
      <c r="J37" s="24" t="s">
        <v>554</v>
      </c>
      <c r="K37" s="24" t="s">
        <v>551</v>
      </c>
    </row>
    <row r="38" spans="1:11">
      <c r="A38" s="12">
        <v>2011</v>
      </c>
      <c r="B38" s="15" t="s">
        <v>73</v>
      </c>
      <c r="C38" s="15" t="s">
        <v>83</v>
      </c>
      <c r="D38" s="15" t="s">
        <v>84</v>
      </c>
      <c r="E38" s="19">
        <v>216712</v>
      </c>
      <c r="F38" s="19">
        <v>192332</v>
      </c>
      <c r="G38" s="20">
        <f t="shared" si="0"/>
        <v>0.47019880501853101</v>
      </c>
      <c r="H38" s="24" t="s">
        <v>552</v>
      </c>
      <c r="I38" s="24" t="s">
        <v>553</v>
      </c>
      <c r="J38" s="24" t="s">
        <v>554</v>
      </c>
      <c r="K38" s="24" t="s">
        <v>551</v>
      </c>
    </row>
    <row r="39" spans="1:11">
      <c r="A39" s="12">
        <v>2011</v>
      </c>
      <c r="B39" s="15" t="s">
        <v>73</v>
      </c>
      <c r="C39" s="15" t="s">
        <v>85</v>
      </c>
      <c r="D39" s="15" t="s">
        <v>86</v>
      </c>
      <c r="E39" s="19">
        <v>310859</v>
      </c>
      <c r="F39" s="19">
        <v>247800</v>
      </c>
      <c r="G39" s="20">
        <f t="shared" si="0"/>
        <v>0.44356217298924744</v>
      </c>
      <c r="H39" s="24" t="s">
        <v>552</v>
      </c>
      <c r="I39" s="24" t="s">
        <v>553</v>
      </c>
      <c r="J39" s="24" t="s">
        <v>554</v>
      </c>
      <c r="K39" s="24" t="s">
        <v>551</v>
      </c>
    </row>
    <row r="40" spans="1:11">
      <c r="A40" s="12">
        <v>2011</v>
      </c>
      <c r="B40" s="15" t="s">
        <v>73</v>
      </c>
      <c r="C40" s="15" t="s">
        <v>87</v>
      </c>
      <c r="D40" s="15" t="s">
        <v>88</v>
      </c>
      <c r="E40" s="19">
        <v>251962</v>
      </c>
      <c r="F40" s="19">
        <v>173499</v>
      </c>
      <c r="G40" s="20">
        <f t="shared" si="0"/>
        <v>0.40779060830487401</v>
      </c>
      <c r="H40" s="24" t="s">
        <v>552</v>
      </c>
      <c r="I40" s="24" t="s">
        <v>553</v>
      </c>
      <c r="J40" s="24" t="s">
        <v>554</v>
      </c>
      <c r="K40" s="24" t="s">
        <v>551</v>
      </c>
    </row>
    <row r="41" spans="1:11">
      <c r="A41" s="12">
        <v>2011</v>
      </c>
      <c r="B41" s="15" t="s">
        <v>73</v>
      </c>
      <c r="C41" s="15" t="s">
        <v>89</v>
      </c>
      <c r="D41" s="15" t="s">
        <v>90</v>
      </c>
      <c r="E41" s="19">
        <v>192333</v>
      </c>
      <c r="F41" s="19">
        <v>173093</v>
      </c>
      <c r="G41" s="20">
        <f t="shared" si="0"/>
        <v>0.47367456064976221</v>
      </c>
      <c r="H41" s="24" t="s">
        <v>552</v>
      </c>
      <c r="I41" s="24" t="s">
        <v>553</v>
      </c>
      <c r="J41" s="24" t="s">
        <v>554</v>
      </c>
      <c r="K41" s="24" t="s">
        <v>551</v>
      </c>
    </row>
    <row r="42" spans="1:11">
      <c r="A42" s="12">
        <v>2011</v>
      </c>
      <c r="B42" s="15" t="s">
        <v>73</v>
      </c>
      <c r="C42" s="15" t="s">
        <v>91</v>
      </c>
      <c r="D42" s="15" t="s">
        <v>92</v>
      </c>
      <c r="E42" s="19">
        <v>292629</v>
      </c>
      <c r="F42" s="19">
        <v>201093</v>
      </c>
      <c r="G42" s="20">
        <f t="shared" si="0"/>
        <v>0.40730005954768067</v>
      </c>
      <c r="H42" s="24" t="s">
        <v>552</v>
      </c>
      <c r="I42" s="24" t="s">
        <v>553</v>
      </c>
      <c r="J42" s="24" t="s">
        <v>554</v>
      </c>
      <c r="K42" s="24" t="s">
        <v>551</v>
      </c>
    </row>
    <row r="43" spans="1:11">
      <c r="A43" s="12">
        <v>2011</v>
      </c>
      <c r="B43" s="15" t="s">
        <v>73</v>
      </c>
      <c r="C43" s="15" t="s">
        <v>93</v>
      </c>
      <c r="D43" s="15" t="s">
        <v>94</v>
      </c>
      <c r="E43" s="19">
        <v>90518</v>
      </c>
      <c r="F43" s="19">
        <v>88463</v>
      </c>
      <c r="G43" s="20">
        <f t="shared" si="0"/>
        <v>0.49425916717416934</v>
      </c>
      <c r="H43" s="24" t="s">
        <v>552</v>
      </c>
      <c r="I43" s="24" t="s">
        <v>553</v>
      </c>
      <c r="J43" s="24" t="s">
        <v>554</v>
      </c>
      <c r="K43" s="24" t="s">
        <v>551</v>
      </c>
    </row>
    <row r="44" spans="1:11">
      <c r="A44" s="12">
        <v>2011</v>
      </c>
      <c r="B44" s="15" t="s">
        <v>73</v>
      </c>
      <c r="C44" s="15" t="s">
        <v>95</v>
      </c>
      <c r="D44" s="15" t="s">
        <v>96</v>
      </c>
      <c r="E44" s="19">
        <v>129781</v>
      </c>
      <c r="F44" s="19">
        <v>124056</v>
      </c>
      <c r="G44" s="20">
        <f t="shared" si="0"/>
        <v>0.48872307819585009</v>
      </c>
      <c r="H44" s="24" t="s">
        <v>552</v>
      </c>
      <c r="I44" s="24" t="s">
        <v>553</v>
      </c>
      <c r="J44" s="24" t="s">
        <v>554</v>
      </c>
      <c r="K44" s="24" t="s">
        <v>551</v>
      </c>
    </row>
    <row r="45" spans="1:11">
      <c r="A45" s="12">
        <v>2011</v>
      </c>
      <c r="B45" s="15" t="s">
        <v>73</v>
      </c>
      <c r="C45" s="15" t="s">
        <v>97</v>
      </c>
      <c r="D45" s="15" t="s">
        <v>98</v>
      </c>
      <c r="E45" s="19">
        <v>155920</v>
      </c>
      <c r="F45" s="19">
        <v>155125</v>
      </c>
      <c r="G45" s="20">
        <f t="shared" si="0"/>
        <v>0.49872204986416757</v>
      </c>
      <c r="H45" s="24" t="s">
        <v>552</v>
      </c>
      <c r="I45" s="24" t="s">
        <v>553</v>
      </c>
      <c r="J45" s="24" t="s">
        <v>554</v>
      </c>
      <c r="K45" s="24" t="s">
        <v>551</v>
      </c>
    </row>
    <row r="46" spans="1:11">
      <c r="A46" s="12">
        <v>2011</v>
      </c>
      <c r="B46" s="15" t="s">
        <v>73</v>
      </c>
      <c r="C46" s="15" t="s">
        <v>99</v>
      </c>
      <c r="D46" s="15" t="s">
        <v>100</v>
      </c>
      <c r="E46" s="19">
        <v>115044</v>
      </c>
      <c r="F46" s="19">
        <v>87995</v>
      </c>
      <c r="G46" s="20">
        <f t="shared" si="0"/>
        <v>0.43338964435404037</v>
      </c>
      <c r="H46" s="24" t="s">
        <v>552</v>
      </c>
      <c r="I46" s="24" t="s">
        <v>553</v>
      </c>
      <c r="J46" s="24" t="s">
        <v>554</v>
      </c>
      <c r="K46" s="24" t="s">
        <v>551</v>
      </c>
    </row>
    <row r="47" spans="1:11">
      <c r="A47" s="12">
        <v>2011</v>
      </c>
      <c r="B47" s="15" t="s">
        <v>73</v>
      </c>
      <c r="C47" s="15" t="s">
        <v>69</v>
      </c>
      <c r="D47" s="15" t="s">
        <v>101</v>
      </c>
      <c r="E47" s="19">
        <v>34287</v>
      </c>
      <c r="F47" s="19">
        <v>34323</v>
      </c>
      <c r="G47" s="20">
        <f t="shared" si="0"/>
        <v>0.50026235242675998</v>
      </c>
      <c r="H47" s="24" t="s">
        <v>552</v>
      </c>
      <c r="I47" s="24" t="s">
        <v>553</v>
      </c>
      <c r="J47" s="24" t="s">
        <v>554</v>
      </c>
      <c r="K47" s="24" t="s">
        <v>551</v>
      </c>
    </row>
    <row r="48" spans="1:11">
      <c r="A48" s="12">
        <v>2011</v>
      </c>
      <c r="B48" s="15" t="s">
        <v>73</v>
      </c>
      <c r="C48" s="15" t="s">
        <v>102</v>
      </c>
      <c r="D48" s="15" t="s">
        <v>103</v>
      </c>
      <c r="E48" s="19">
        <v>337096</v>
      </c>
      <c r="F48" s="19">
        <v>266367</v>
      </c>
      <c r="G48" s="20">
        <f t="shared" si="0"/>
        <v>0.44139740133197891</v>
      </c>
      <c r="H48" s="24" t="s">
        <v>552</v>
      </c>
      <c r="I48" s="24" t="s">
        <v>553</v>
      </c>
      <c r="J48" s="24" t="s">
        <v>554</v>
      </c>
      <c r="K48" s="24" t="s">
        <v>551</v>
      </c>
    </row>
    <row r="49" spans="1:11">
      <c r="A49" s="12">
        <v>2011</v>
      </c>
      <c r="B49" s="15" t="s">
        <v>104</v>
      </c>
      <c r="C49" s="15" t="s">
        <v>22</v>
      </c>
      <c r="D49" s="15" t="s">
        <v>104</v>
      </c>
      <c r="E49" s="19">
        <v>2252846</v>
      </c>
      <c r="F49" s="19">
        <v>445976</v>
      </c>
      <c r="G49" s="20">
        <f t="shared" si="0"/>
        <v>0.16524839355837473</v>
      </c>
      <c r="H49" s="24" t="s">
        <v>552</v>
      </c>
      <c r="I49" s="24" t="s">
        <v>553</v>
      </c>
      <c r="J49" s="24" t="s">
        <v>554</v>
      </c>
      <c r="K49" s="24" t="s">
        <v>551</v>
      </c>
    </row>
    <row r="50" spans="1:11">
      <c r="A50" s="12">
        <v>2011</v>
      </c>
      <c r="B50" s="15" t="s">
        <v>104</v>
      </c>
      <c r="C50" s="15" t="s">
        <v>79</v>
      </c>
      <c r="D50" s="15" t="s">
        <v>107</v>
      </c>
      <c r="E50" s="19">
        <v>119481</v>
      </c>
      <c r="F50" s="19">
        <v>126716</v>
      </c>
      <c r="G50" s="20">
        <f t="shared" si="0"/>
        <v>0.51469351779266193</v>
      </c>
      <c r="H50" s="24" t="s">
        <v>552</v>
      </c>
      <c r="I50" s="24" t="s">
        <v>553</v>
      </c>
      <c r="J50" s="24" t="s">
        <v>554</v>
      </c>
      <c r="K50" s="24" t="s">
        <v>551</v>
      </c>
    </row>
    <row r="51" spans="1:11">
      <c r="A51" s="12">
        <v>2011</v>
      </c>
      <c r="B51" s="15" t="s">
        <v>104</v>
      </c>
      <c r="C51" s="15" t="s">
        <v>108</v>
      </c>
      <c r="D51" s="15" t="s">
        <v>109</v>
      </c>
      <c r="E51" s="19">
        <v>506171</v>
      </c>
      <c r="F51" s="19">
        <v>354361</v>
      </c>
      <c r="G51" s="20">
        <f t="shared" si="0"/>
        <v>0.41179293739221784</v>
      </c>
      <c r="H51" s="24" t="s">
        <v>552</v>
      </c>
      <c r="I51" s="24" t="s">
        <v>553</v>
      </c>
      <c r="J51" s="24" t="s">
        <v>554</v>
      </c>
      <c r="K51" s="24" t="s">
        <v>551</v>
      </c>
    </row>
    <row r="52" spans="1:11">
      <c r="A52" s="12">
        <v>2011</v>
      </c>
      <c r="B52" s="15" t="s">
        <v>104</v>
      </c>
      <c r="C52" s="15" t="s">
        <v>110</v>
      </c>
      <c r="D52" s="15" t="s">
        <v>111</v>
      </c>
      <c r="E52" s="19">
        <v>135172</v>
      </c>
      <c r="F52" s="19">
        <v>131201</v>
      </c>
      <c r="G52" s="20">
        <f t="shared" si="0"/>
        <v>0.4925461664658205</v>
      </c>
      <c r="H52" s="24" t="s">
        <v>552</v>
      </c>
      <c r="I52" s="24" t="s">
        <v>553</v>
      </c>
      <c r="J52" s="24" t="s">
        <v>554</v>
      </c>
      <c r="K52" s="24" t="s">
        <v>551</v>
      </c>
    </row>
    <row r="53" spans="1:11">
      <c r="A53" s="12">
        <v>2011</v>
      </c>
      <c r="B53" s="15" t="s">
        <v>104</v>
      </c>
      <c r="C53" s="15" t="s">
        <v>81</v>
      </c>
      <c r="D53" s="15" t="s">
        <v>112</v>
      </c>
      <c r="E53" s="19">
        <v>267512</v>
      </c>
      <c r="F53" s="19">
        <v>221034</v>
      </c>
      <c r="G53" s="20">
        <f t="shared" si="0"/>
        <v>0.45243231957686686</v>
      </c>
      <c r="H53" s="24" t="s">
        <v>552</v>
      </c>
      <c r="I53" s="24" t="s">
        <v>553</v>
      </c>
      <c r="J53" s="24" t="s">
        <v>554</v>
      </c>
      <c r="K53" s="24" t="s">
        <v>551</v>
      </c>
    </row>
    <row r="54" spans="1:11">
      <c r="A54" s="12">
        <v>2011</v>
      </c>
      <c r="B54" s="15" t="s">
        <v>104</v>
      </c>
      <c r="C54" s="15" t="s">
        <v>87</v>
      </c>
      <c r="D54" s="15" t="s">
        <v>113</v>
      </c>
      <c r="E54" s="19">
        <v>372658</v>
      </c>
      <c r="F54" s="19">
        <v>258455</v>
      </c>
      <c r="G54" s="20">
        <f t="shared" si="0"/>
        <v>0.40952254192196957</v>
      </c>
      <c r="H54" s="24" t="s">
        <v>552</v>
      </c>
      <c r="I54" s="24" t="s">
        <v>553</v>
      </c>
      <c r="J54" s="24" t="s">
        <v>554</v>
      </c>
      <c r="K54" s="24" t="s">
        <v>551</v>
      </c>
    </row>
    <row r="55" spans="1:11">
      <c r="A55" s="12">
        <v>2011</v>
      </c>
      <c r="B55" s="15" t="s">
        <v>104</v>
      </c>
      <c r="C55" s="15" t="s">
        <v>93</v>
      </c>
      <c r="D55" s="15" t="s">
        <v>114</v>
      </c>
      <c r="E55" s="19">
        <v>163267</v>
      </c>
      <c r="F55" s="19">
        <v>160739</v>
      </c>
      <c r="G55" s="20">
        <f t="shared" si="0"/>
        <v>0.49609883767584551</v>
      </c>
      <c r="H55" s="24" t="s">
        <v>552</v>
      </c>
      <c r="I55" s="24" t="s">
        <v>553</v>
      </c>
      <c r="J55" s="24" t="s">
        <v>554</v>
      </c>
      <c r="K55" s="24" t="s">
        <v>551</v>
      </c>
    </row>
    <row r="56" spans="1:11">
      <c r="A56" s="12">
        <v>2011</v>
      </c>
      <c r="B56" s="15" t="s">
        <v>104</v>
      </c>
      <c r="C56" s="15" t="s">
        <v>115</v>
      </c>
      <c r="D56" s="15" t="s">
        <v>116</v>
      </c>
      <c r="E56" s="19">
        <v>370912</v>
      </c>
      <c r="F56" s="19">
        <v>293642</v>
      </c>
      <c r="G56" s="20">
        <f t="shared" si="0"/>
        <v>0.44186326468578929</v>
      </c>
      <c r="H56" s="24" t="s">
        <v>552</v>
      </c>
      <c r="I56" s="24" t="s">
        <v>553</v>
      </c>
      <c r="J56" s="24" t="s">
        <v>554</v>
      </c>
      <c r="K56" s="24" t="s">
        <v>551</v>
      </c>
    </row>
    <row r="57" spans="1:11">
      <c r="A57" s="12">
        <v>2011</v>
      </c>
      <c r="B57" s="15" t="s">
        <v>104</v>
      </c>
      <c r="C57" s="15" t="s">
        <v>69</v>
      </c>
      <c r="D57" s="15" t="s">
        <v>117</v>
      </c>
      <c r="E57" s="19">
        <v>55584</v>
      </c>
      <c r="F57" s="19">
        <v>56853</v>
      </c>
      <c r="G57" s="20">
        <f t="shared" si="0"/>
        <v>0.50564316016969502</v>
      </c>
      <c r="H57" s="24" t="s">
        <v>552</v>
      </c>
      <c r="I57" s="24" t="s">
        <v>553</v>
      </c>
      <c r="J57" s="24" t="s">
        <v>554</v>
      </c>
      <c r="K57" s="24" t="s">
        <v>551</v>
      </c>
    </row>
    <row r="58" spans="1:11">
      <c r="A58" s="12">
        <v>2011</v>
      </c>
      <c r="B58" s="15" t="s">
        <v>118</v>
      </c>
      <c r="C58" s="15" t="s">
        <v>22</v>
      </c>
      <c r="D58" s="15" t="s">
        <v>118</v>
      </c>
      <c r="E58" s="19">
        <v>2400592</v>
      </c>
      <c r="F58" s="19">
        <v>920154</v>
      </c>
      <c r="G58" s="20">
        <f t="shared" si="0"/>
        <v>0.27709255691341644</v>
      </c>
      <c r="H58" s="24" t="s">
        <v>548</v>
      </c>
      <c r="I58" s="24" t="s">
        <v>549</v>
      </c>
      <c r="J58" s="24" t="s">
        <v>550</v>
      </c>
      <c r="K58" s="24" t="s">
        <v>551</v>
      </c>
    </row>
    <row r="59" spans="1:11">
      <c r="A59" s="12">
        <v>2011</v>
      </c>
      <c r="B59" s="15" t="s">
        <v>118</v>
      </c>
      <c r="C59" s="15" t="s">
        <v>119</v>
      </c>
      <c r="D59" s="15" t="s">
        <v>120</v>
      </c>
      <c r="E59" s="19">
        <v>50164</v>
      </c>
      <c r="F59" s="19">
        <v>41911</v>
      </c>
      <c r="G59" s="20">
        <f t="shared" si="0"/>
        <v>0.45518327450448004</v>
      </c>
      <c r="H59" s="24" t="s">
        <v>548</v>
      </c>
      <c r="I59" s="24" t="s">
        <v>549</v>
      </c>
      <c r="J59" s="24" t="s">
        <v>550</v>
      </c>
      <c r="K59" s="24" t="s">
        <v>551</v>
      </c>
    </row>
    <row r="60" spans="1:11">
      <c r="A60" s="12">
        <v>2011</v>
      </c>
      <c r="B60" s="15" t="s">
        <v>118</v>
      </c>
      <c r="C60" s="15" t="s">
        <v>121</v>
      </c>
      <c r="D60" s="15" t="s">
        <v>122</v>
      </c>
      <c r="E60" s="19">
        <v>270633</v>
      </c>
      <c r="F60" s="19">
        <v>203296</v>
      </c>
      <c r="G60" s="20">
        <f t="shared" si="0"/>
        <v>0.42895876808551492</v>
      </c>
      <c r="H60" s="24" t="s">
        <v>548</v>
      </c>
      <c r="I60" s="24" t="s">
        <v>549</v>
      </c>
      <c r="J60" s="24" t="s">
        <v>550</v>
      </c>
      <c r="K60" s="24" t="s">
        <v>551</v>
      </c>
    </row>
    <row r="61" spans="1:11">
      <c r="A61" s="12">
        <v>2011</v>
      </c>
      <c r="B61" s="15" t="s">
        <v>118</v>
      </c>
      <c r="C61" s="15" t="s">
        <v>79</v>
      </c>
      <c r="D61" s="15" t="s">
        <v>123</v>
      </c>
      <c r="E61" s="19">
        <v>314493</v>
      </c>
      <c r="F61" s="19">
        <v>270748</v>
      </c>
      <c r="G61" s="20">
        <f t="shared" si="0"/>
        <v>0.46262650771220742</v>
      </c>
      <c r="H61" s="24" t="s">
        <v>548</v>
      </c>
      <c r="I61" s="24" t="s">
        <v>549</v>
      </c>
      <c r="J61" s="24" t="s">
        <v>550</v>
      </c>
      <c r="K61" s="24" t="s">
        <v>551</v>
      </c>
    </row>
    <row r="62" spans="1:11">
      <c r="A62" s="12">
        <v>2011</v>
      </c>
      <c r="B62" s="15" t="s">
        <v>118</v>
      </c>
      <c r="C62" s="15" t="s">
        <v>124</v>
      </c>
      <c r="D62" s="15" t="s">
        <v>125</v>
      </c>
      <c r="E62" s="19">
        <v>395393</v>
      </c>
      <c r="F62" s="19">
        <v>286305</v>
      </c>
      <c r="G62" s="20">
        <f t="shared" si="0"/>
        <v>0.41998802989006861</v>
      </c>
      <c r="H62" s="24" t="s">
        <v>548</v>
      </c>
      <c r="I62" s="24" t="s">
        <v>549</v>
      </c>
      <c r="J62" s="24" t="s">
        <v>550</v>
      </c>
      <c r="K62" s="24" t="s">
        <v>551</v>
      </c>
    </row>
    <row r="63" spans="1:11">
      <c r="A63" s="12">
        <v>2011</v>
      </c>
      <c r="B63" s="15" t="s">
        <v>118</v>
      </c>
      <c r="C63" s="15" t="s">
        <v>81</v>
      </c>
      <c r="D63" s="15" t="s">
        <v>126</v>
      </c>
      <c r="E63" s="19">
        <v>57105</v>
      </c>
      <c r="F63" s="19">
        <v>57439</v>
      </c>
      <c r="G63" s="20">
        <f t="shared" si="0"/>
        <v>0.50145795502165103</v>
      </c>
      <c r="H63" s="24" t="s">
        <v>548</v>
      </c>
      <c r="I63" s="24" t="s">
        <v>549</v>
      </c>
      <c r="J63" s="24" t="s">
        <v>550</v>
      </c>
      <c r="K63" s="24" t="s">
        <v>551</v>
      </c>
    </row>
    <row r="64" spans="1:11">
      <c r="A64" s="12">
        <v>2011</v>
      </c>
      <c r="B64" s="15" t="s">
        <v>118</v>
      </c>
      <c r="C64" s="15" t="s">
        <v>129</v>
      </c>
      <c r="D64" s="15" t="s">
        <v>130</v>
      </c>
      <c r="E64" s="19">
        <v>443717</v>
      </c>
      <c r="F64" s="19">
        <v>321556</v>
      </c>
      <c r="G64" s="20">
        <f t="shared" si="0"/>
        <v>0.42018469226014771</v>
      </c>
      <c r="H64" s="24" t="s">
        <v>548</v>
      </c>
      <c r="I64" s="24" t="s">
        <v>549</v>
      </c>
      <c r="J64" s="24" t="s">
        <v>550</v>
      </c>
      <c r="K64" s="24" t="s">
        <v>551</v>
      </c>
    </row>
    <row r="65" spans="1:11">
      <c r="A65" s="12">
        <v>2011</v>
      </c>
      <c r="B65" s="15" t="s">
        <v>118</v>
      </c>
      <c r="C65" s="15" t="s">
        <v>93</v>
      </c>
      <c r="D65" s="15" t="s">
        <v>131</v>
      </c>
      <c r="E65" s="19">
        <v>343986</v>
      </c>
      <c r="F65" s="19">
        <v>254621</v>
      </c>
      <c r="G65" s="20">
        <f t="shared" si="0"/>
        <v>0.4253558678732457</v>
      </c>
      <c r="H65" s="24" t="s">
        <v>548</v>
      </c>
      <c r="I65" s="24" t="s">
        <v>549</v>
      </c>
      <c r="J65" s="24" t="s">
        <v>550</v>
      </c>
      <c r="K65" s="24" t="s">
        <v>551</v>
      </c>
    </row>
    <row r="66" spans="1:11">
      <c r="A66" s="12">
        <v>2011</v>
      </c>
      <c r="B66" s="15" t="s">
        <v>118</v>
      </c>
      <c r="C66" s="15" t="s">
        <v>132</v>
      </c>
      <c r="D66" s="15" t="s">
        <v>133</v>
      </c>
      <c r="E66" s="19">
        <v>224444</v>
      </c>
      <c r="F66" s="19">
        <v>181526</v>
      </c>
      <c r="G66" s="20">
        <f t="shared" si="0"/>
        <v>0.44714141439022587</v>
      </c>
      <c r="H66" s="24" t="s">
        <v>548</v>
      </c>
      <c r="I66" s="24" t="s">
        <v>549</v>
      </c>
      <c r="J66" s="24" t="s">
        <v>550</v>
      </c>
      <c r="K66" s="24" t="s">
        <v>551</v>
      </c>
    </row>
    <row r="67" spans="1:11">
      <c r="A67" s="12">
        <v>2011</v>
      </c>
      <c r="B67" s="15" t="s">
        <v>118</v>
      </c>
      <c r="C67" s="15" t="s">
        <v>134</v>
      </c>
      <c r="D67" s="15" t="s">
        <v>135</v>
      </c>
      <c r="E67" s="19">
        <v>10919</v>
      </c>
      <c r="F67" s="19">
        <v>16481</v>
      </c>
      <c r="G67" s="20">
        <f t="shared" si="0"/>
        <v>0.60149635036496352</v>
      </c>
      <c r="H67" s="24" t="s">
        <v>548</v>
      </c>
      <c r="I67" s="24" t="s">
        <v>549</v>
      </c>
      <c r="J67" s="24" t="s">
        <v>550</v>
      </c>
      <c r="K67" s="24" t="s">
        <v>551</v>
      </c>
    </row>
    <row r="68" spans="1:11">
      <c r="A68" s="12">
        <v>2011</v>
      </c>
      <c r="B68" s="15" t="s">
        <v>118</v>
      </c>
      <c r="C68" s="15" t="s">
        <v>69</v>
      </c>
      <c r="D68" s="15" t="s">
        <v>136</v>
      </c>
      <c r="E68" s="19">
        <v>65515</v>
      </c>
      <c r="F68" s="19">
        <v>67787</v>
      </c>
      <c r="G68" s="20">
        <f t="shared" si="0"/>
        <v>0.50852200267062764</v>
      </c>
      <c r="H68" s="24" t="s">
        <v>548</v>
      </c>
      <c r="I68" s="24" t="s">
        <v>549</v>
      </c>
      <c r="J68" s="24" t="s">
        <v>550</v>
      </c>
      <c r="K68" s="24" t="s">
        <v>551</v>
      </c>
    </row>
    <row r="69" spans="1:11">
      <c r="A69" s="12">
        <v>2011</v>
      </c>
      <c r="B69" s="15" t="s">
        <v>137</v>
      </c>
      <c r="C69" s="15" t="s">
        <v>22</v>
      </c>
      <c r="D69" s="15" t="s">
        <v>137</v>
      </c>
      <c r="E69" s="19">
        <v>1313538</v>
      </c>
      <c r="F69" s="19">
        <v>317118</v>
      </c>
      <c r="G69" s="20">
        <f t="shared" si="0"/>
        <v>0.19447265395031202</v>
      </c>
      <c r="H69" s="24" t="s">
        <v>555</v>
      </c>
      <c r="I69" s="24" t="s">
        <v>556</v>
      </c>
      <c r="J69" s="24" t="s">
        <v>557</v>
      </c>
      <c r="K69" s="24" t="s">
        <v>551</v>
      </c>
    </row>
    <row r="70" spans="1:11">
      <c r="A70" s="12">
        <v>2011</v>
      </c>
      <c r="B70" s="15" t="s">
        <v>137</v>
      </c>
      <c r="C70" s="15" t="s">
        <v>138</v>
      </c>
      <c r="D70" s="15" t="s">
        <v>139</v>
      </c>
      <c r="E70" s="19">
        <v>315818</v>
      </c>
      <c r="F70" s="19">
        <v>207516</v>
      </c>
      <c r="G70" s="20">
        <f t="shared" ref="G70:G133" si="1">IFERROR(F70/(E70+F70),"")</f>
        <v>0.39652688340524406</v>
      </c>
      <c r="H70" s="24" t="s">
        <v>555</v>
      </c>
      <c r="I70" s="24" t="s">
        <v>556</v>
      </c>
      <c r="J70" s="24" t="s">
        <v>557</v>
      </c>
      <c r="K70" s="24" t="s">
        <v>551</v>
      </c>
    </row>
    <row r="71" spans="1:11">
      <c r="A71" s="12">
        <v>2011</v>
      </c>
      <c r="B71" s="15" t="s">
        <v>137</v>
      </c>
      <c r="C71" s="15" t="s">
        <v>79</v>
      </c>
      <c r="D71" s="15" t="s">
        <v>140</v>
      </c>
      <c r="E71" s="19">
        <v>165364</v>
      </c>
      <c r="F71" s="19">
        <v>151211</v>
      </c>
      <c r="G71" s="20">
        <f t="shared" si="1"/>
        <v>0.477646687198926</v>
      </c>
      <c r="H71" s="24" t="s">
        <v>555</v>
      </c>
      <c r="I71" s="24" t="s">
        <v>556</v>
      </c>
      <c r="J71" s="24" t="s">
        <v>557</v>
      </c>
      <c r="K71" s="24" t="s">
        <v>551</v>
      </c>
    </row>
    <row r="72" spans="1:11">
      <c r="A72" s="12">
        <v>2011</v>
      </c>
      <c r="B72" s="15" t="s">
        <v>137</v>
      </c>
      <c r="C72" s="15" t="s">
        <v>81</v>
      </c>
      <c r="D72" s="15" t="s">
        <v>141</v>
      </c>
      <c r="E72" s="19">
        <v>77564</v>
      </c>
      <c r="F72" s="19">
        <v>77426</v>
      </c>
      <c r="G72" s="20">
        <f t="shared" si="1"/>
        <v>0.49955480998774116</v>
      </c>
      <c r="H72" s="24" t="s">
        <v>555</v>
      </c>
      <c r="I72" s="24" t="s">
        <v>556</v>
      </c>
      <c r="J72" s="24" t="s">
        <v>557</v>
      </c>
      <c r="K72" s="24" t="s">
        <v>551</v>
      </c>
    </row>
    <row r="73" spans="1:11">
      <c r="A73" s="12">
        <v>2011</v>
      </c>
      <c r="B73" s="15" t="s">
        <v>137</v>
      </c>
      <c r="C73" s="15" t="s">
        <v>87</v>
      </c>
      <c r="D73" s="15" t="s">
        <v>142</v>
      </c>
      <c r="E73" s="19">
        <v>357787</v>
      </c>
      <c r="F73" s="19">
        <v>278163</v>
      </c>
      <c r="G73" s="20">
        <f t="shared" si="1"/>
        <v>0.43739759415048352</v>
      </c>
      <c r="H73" s="24" t="s">
        <v>555</v>
      </c>
      <c r="I73" s="24" t="s">
        <v>556</v>
      </c>
      <c r="J73" s="24" t="s">
        <v>557</v>
      </c>
      <c r="K73" s="24" t="s">
        <v>551</v>
      </c>
    </row>
    <row r="74" spans="1:11">
      <c r="A74" s="12">
        <v>2011</v>
      </c>
      <c r="B74" s="15" t="s">
        <v>137</v>
      </c>
      <c r="C74" s="15" t="s">
        <v>93</v>
      </c>
      <c r="D74" s="15" t="s">
        <v>143</v>
      </c>
      <c r="E74" s="19">
        <v>256450</v>
      </c>
      <c r="F74" s="19">
        <v>206165</v>
      </c>
      <c r="G74" s="20">
        <f t="shared" si="1"/>
        <v>0.44565135155582936</v>
      </c>
      <c r="H74" s="24" t="s">
        <v>555</v>
      </c>
      <c r="I74" s="24" t="s">
        <v>556</v>
      </c>
      <c r="J74" s="24" t="s">
        <v>557</v>
      </c>
      <c r="K74" s="24" t="s">
        <v>551</v>
      </c>
    </row>
    <row r="75" spans="1:11">
      <c r="A75" s="12">
        <v>2011</v>
      </c>
      <c r="B75" s="15" t="s">
        <v>144</v>
      </c>
      <c r="C75" s="15" t="s">
        <v>22</v>
      </c>
      <c r="D75" s="15" t="s">
        <v>144</v>
      </c>
      <c r="E75" s="19">
        <v>1365519</v>
      </c>
      <c r="F75" s="19">
        <v>319417</v>
      </c>
      <c r="G75" s="20">
        <f t="shared" si="1"/>
        <v>0.18957218553108249</v>
      </c>
      <c r="H75" s="24" t="s">
        <v>558</v>
      </c>
      <c r="I75" s="24" t="s">
        <v>556</v>
      </c>
      <c r="J75" s="24" t="s">
        <v>557</v>
      </c>
      <c r="K75" s="24" t="s">
        <v>551</v>
      </c>
    </row>
    <row r="76" spans="1:11">
      <c r="A76" s="12">
        <v>2011</v>
      </c>
      <c r="B76" s="15" t="s">
        <v>144</v>
      </c>
      <c r="C76" s="15" t="s">
        <v>145</v>
      </c>
      <c r="D76" s="15" t="s">
        <v>146</v>
      </c>
      <c r="E76" s="19">
        <v>164643</v>
      </c>
      <c r="F76" s="19">
        <v>138580</v>
      </c>
      <c r="G76" s="20">
        <f t="shared" si="1"/>
        <v>0.45702337883339983</v>
      </c>
      <c r="H76" s="24" t="s">
        <v>558</v>
      </c>
      <c r="I76" s="24" t="s">
        <v>556</v>
      </c>
      <c r="J76" s="24" t="s">
        <v>557</v>
      </c>
      <c r="K76" s="24" t="s">
        <v>551</v>
      </c>
    </row>
    <row r="77" spans="1:11">
      <c r="A77" s="12">
        <v>2011</v>
      </c>
      <c r="B77" s="15" t="s">
        <v>144</v>
      </c>
      <c r="C77" s="15" t="s">
        <v>81</v>
      </c>
      <c r="D77" s="15" t="s">
        <v>147</v>
      </c>
      <c r="E77" s="19">
        <v>188319</v>
      </c>
      <c r="F77" s="19">
        <v>191247</v>
      </c>
      <c r="G77" s="20">
        <f t="shared" si="1"/>
        <v>0.50385703672088644</v>
      </c>
      <c r="H77" s="24" t="s">
        <v>558</v>
      </c>
      <c r="I77" s="24" t="s">
        <v>556</v>
      </c>
      <c r="J77" s="24" t="s">
        <v>557</v>
      </c>
      <c r="K77" s="24" t="s">
        <v>551</v>
      </c>
    </row>
    <row r="78" spans="1:11">
      <c r="A78" s="12">
        <v>2011</v>
      </c>
      <c r="B78" s="15" t="s">
        <v>144</v>
      </c>
      <c r="C78" s="15" t="s">
        <v>93</v>
      </c>
      <c r="D78" s="15" t="s">
        <v>148</v>
      </c>
      <c r="E78" s="19">
        <v>424915</v>
      </c>
      <c r="F78" s="19">
        <v>274506</v>
      </c>
      <c r="G78" s="20">
        <f t="shared" si="1"/>
        <v>0.39247606234299515</v>
      </c>
      <c r="H78" s="24" t="s">
        <v>558</v>
      </c>
      <c r="I78" s="24" t="s">
        <v>556</v>
      </c>
      <c r="J78" s="24" t="s">
        <v>557</v>
      </c>
      <c r="K78" s="24" t="s">
        <v>551</v>
      </c>
    </row>
    <row r="79" spans="1:11">
      <c r="A79" s="12">
        <v>2011</v>
      </c>
      <c r="B79" s="15" t="s">
        <v>144</v>
      </c>
      <c r="C79" s="15" t="s">
        <v>149</v>
      </c>
      <c r="D79" s="15" t="s">
        <v>150</v>
      </c>
      <c r="E79" s="19">
        <v>230254</v>
      </c>
      <c r="F79" s="19">
        <v>207850</v>
      </c>
      <c r="G79" s="20">
        <f t="shared" si="1"/>
        <v>0.47443072877672882</v>
      </c>
      <c r="H79" s="24" t="s">
        <v>558</v>
      </c>
      <c r="I79" s="24" t="s">
        <v>556</v>
      </c>
      <c r="J79" s="24" t="s">
        <v>557</v>
      </c>
      <c r="K79" s="24" t="s">
        <v>551</v>
      </c>
    </row>
    <row r="80" spans="1:11">
      <c r="A80" s="12">
        <v>2011</v>
      </c>
      <c r="B80" s="15" t="s">
        <v>144</v>
      </c>
      <c r="C80" s="15" t="s">
        <v>69</v>
      </c>
      <c r="D80" s="15" t="s">
        <v>151</v>
      </c>
      <c r="E80" s="19">
        <v>215483</v>
      </c>
      <c r="F80" s="19">
        <v>177281</v>
      </c>
      <c r="G80" s="20">
        <f t="shared" si="1"/>
        <v>0.45136774246112171</v>
      </c>
      <c r="H80" s="24" t="s">
        <v>558</v>
      </c>
      <c r="I80" s="24" t="s">
        <v>556</v>
      </c>
      <c r="J80" s="24" t="s">
        <v>557</v>
      </c>
      <c r="K80" s="24" t="s">
        <v>551</v>
      </c>
    </row>
    <row r="81" spans="1:11">
      <c r="A81" s="12">
        <v>2011</v>
      </c>
      <c r="B81" s="15" t="s">
        <v>152</v>
      </c>
      <c r="C81" s="15" t="s">
        <v>22</v>
      </c>
      <c r="D81" s="15" t="s">
        <v>152</v>
      </c>
      <c r="E81" s="19">
        <v>1020914</v>
      </c>
      <c r="F81" s="19">
        <v>240068</v>
      </c>
      <c r="G81" s="20">
        <f t="shared" si="1"/>
        <v>0.19038178181766274</v>
      </c>
      <c r="H81" s="24" t="s">
        <v>552</v>
      </c>
      <c r="I81" s="24" t="s">
        <v>553</v>
      </c>
      <c r="J81" s="24" t="s">
        <v>554</v>
      </c>
      <c r="K81" s="24" t="s">
        <v>551</v>
      </c>
    </row>
    <row r="82" spans="1:11">
      <c r="A82" s="12">
        <v>2011</v>
      </c>
      <c r="B82" s="15" t="s">
        <v>152</v>
      </c>
      <c r="C82" s="15" t="s">
        <v>79</v>
      </c>
      <c r="D82" s="15" t="s">
        <v>153</v>
      </c>
      <c r="E82" s="19">
        <v>296549</v>
      </c>
      <c r="F82" s="19">
        <v>163060</v>
      </c>
      <c r="G82" s="20">
        <f t="shared" si="1"/>
        <v>0.35477982371972699</v>
      </c>
      <c r="H82" s="24" t="s">
        <v>552</v>
      </c>
      <c r="I82" s="24" t="s">
        <v>553</v>
      </c>
      <c r="J82" s="24" t="s">
        <v>554</v>
      </c>
      <c r="K82" s="24" t="s">
        <v>551</v>
      </c>
    </row>
    <row r="83" spans="1:11">
      <c r="A83" s="12">
        <v>2011</v>
      </c>
      <c r="B83" s="15" t="s">
        <v>152</v>
      </c>
      <c r="C83" s="15" t="s">
        <v>81</v>
      </c>
      <c r="D83" s="15" t="s">
        <v>154</v>
      </c>
      <c r="E83" s="19">
        <v>150254</v>
      </c>
      <c r="F83" s="19">
        <v>78155</v>
      </c>
      <c r="G83" s="20">
        <f t="shared" si="1"/>
        <v>0.34217128046618128</v>
      </c>
      <c r="H83" s="24" t="s">
        <v>552</v>
      </c>
      <c r="I83" s="24" t="s">
        <v>553</v>
      </c>
      <c r="J83" s="24" t="s">
        <v>554</v>
      </c>
      <c r="K83" s="24" t="s">
        <v>551</v>
      </c>
    </row>
    <row r="84" spans="1:11">
      <c r="A84" s="12">
        <v>2011</v>
      </c>
      <c r="B84" s="15" t="s">
        <v>152</v>
      </c>
      <c r="C84" s="15" t="s">
        <v>87</v>
      </c>
      <c r="D84" s="15" t="s">
        <v>155</v>
      </c>
      <c r="E84" s="19">
        <v>143614</v>
      </c>
      <c r="F84" s="19">
        <v>122883</v>
      </c>
      <c r="G84" s="20">
        <f t="shared" si="1"/>
        <v>0.46110462781945011</v>
      </c>
      <c r="H84" s="24" t="s">
        <v>552</v>
      </c>
      <c r="I84" s="24" t="s">
        <v>553</v>
      </c>
      <c r="J84" s="24" t="s">
        <v>554</v>
      </c>
      <c r="K84" s="24" t="s">
        <v>551</v>
      </c>
    </row>
    <row r="85" spans="1:11">
      <c r="A85" s="12">
        <v>2011</v>
      </c>
      <c r="B85" s="15" t="s">
        <v>152</v>
      </c>
      <c r="C85" s="15" t="s">
        <v>156</v>
      </c>
      <c r="D85" s="15" t="s">
        <v>157</v>
      </c>
      <c r="E85" s="19">
        <v>147785</v>
      </c>
      <c r="F85" s="19">
        <v>148692</v>
      </c>
      <c r="G85" s="20">
        <f t="shared" si="1"/>
        <v>0.50152962961713721</v>
      </c>
      <c r="H85" s="24" t="s">
        <v>552</v>
      </c>
      <c r="I85" s="24" t="s">
        <v>553</v>
      </c>
      <c r="J85" s="24" t="s">
        <v>554</v>
      </c>
      <c r="K85" s="24" t="s">
        <v>551</v>
      </c>
    </row>
    <row r="86" spans="1:11">
      <c r="A86" s="12">
        <v>2011</v>
      </c>
      <c r="B86" s="15" t="s">
        <v>152</v>
      </c>
      <c r="C86" s="15" t="s">
        <v>69</v>
      </c>
      <c r="D86" s="15" t="s">
        <v>158</v>
      </c>
      <c r="E86" s="19">
        <v>181766</v>
      </c>
      <c r="F86" s="19">
        <v>159425</v>
      </c>
      <c r="G86" s="20">
        <f t="shared" si="1"/>
        <v>0.46726027357110828</v>
      </c>
      <c r="H86" s="24" t="s">
        <v>552</v>
      </c>
      <c r="I86" s="24" t="s">
        <v>553</v>
      </c>
      <c r="J86" s="24" t="s">
        <v>554</v>
      </c>
      <c r="K86" s="24" t="s">
        <v>551</v>
      </c>
    </row>
    <row r="87" spans="1:11">
      <c r="A87" s="12">
        <v>2011</v>
      </c>
      <c r="B87" s="15" t="s">
        <v>160</v>
      </c>
      <c r="C87" s="15" t="s">
        <v>22</v>
      </c>
      <c r="D87" s="15" t="s">
        <v>160</v>
      </c>
      <c r="E87" s="19">
        <v>10353456</v>
      </c>
      <c r="F87" s="19">
        <v>3847609</v>
      </c>
      <c r="G87" s="20">
        <f t="shared" si="1"/>
        <v>0.27093805992719561</v>
      </c>
      <c r="H87" s="24" t="s">
        <v>548</v>
      </c>
      <c r="I87" s="24" t="s">
        <v>549</v>
      </c>
      <c r="J87" s="24" t="s">
        <v>550</v>
      </c>
      <c r="K87" s="24" t="s">
        <v>551</v>
      </c>
    </row>
    <row r="88" spans="1:11">
      <c r="A88" s="12">
        <v>2011</v>
      </c>
      <c r="B88" s="15" t="s">
        <v>160</v>
      </c>
      <c r="C88" s="15" t="s">
        <v>161</v>
      </c>
      <c r="D88" s="15" t="s">
        <v>162</v>
      </c>
      <c r="E88" s="19">
        <v>45490</v>
      </c>
      <c r="F88" s="19">
        <v>40058</v>
      </c>
      <c r="G88" s="20">
        <f t="shared" si="1"/>
        <v>0.46825174171225509</v>
      </c>
      <c r="H88" s="24" t="s">
        <v>548</v>
      </c>
      <c r="I88" s="24" t="s">
        <v>553</v>
      </c>
      <c r="J88" s="24" t="s">
        <v>554</v>
      </c>
      <c r="K88" s="24" t="s">
        <v>551</v>
      </c>
    </row>
    <row r="89" spans="1:11">
      <c r="A89" s="12">
        <v>2011</v>
      </c>
      <c r="B89" s="15" t="s">
        <v>160</v>
      </c>
      <c r="C89" s="15" t="s">
        <v>163</v>
      </c>
      <c r="D89" s="15" t="s">
        <v>164</v>
      </c>
      <c r="E89" s="19">
        <v>299465</v>
      </c>
      <c r="F89" s="19">
        <v>235090</v>
      </c>
      <c r="G89" s="20">
        <f t="shared" si="1"/>
        <v>0.43978636435913987</v>
      </c>
      <c r="H89" s="24" t="s">
        <v>548</v>
      </c>
      <c r="I89" s="24" t="s">
        <v>553</v>
      </c>
      <c r="J89" s="24" t="s">
        <v>554</v>
      </c>
      <c r="K89" s="24" t="s">
        <v>551</v>
      </c>
    </row>
    <row r="90" spans="1:11">
      <c r="A90" s="12">
        <v>2011</v>
      </c>
      <c r="B90" s="15" t="s">
        <v>160</v>
      </c>
      <c r="C90" s="15" t="s">
        <v>165</v>
      </c>
      <c r="D90" s="15" t="s">
        <v>166</v>
      </c>
      <c r="E90" s="19">
        <v>466124</v>
      </c>
      <c r="F90" s="19">
        <v>265287</v>
      </c>
      <c r="G90" s="20">
        <f t="shared" si="1"/>
        <v>0.36270578375222684</v>
      </c>
      <c r="H90" s="24" t="s">
        <v>548</v>
      </c>
      <c r="I90" s="24" t="s">
        <v>553</v>
      </c>
      <c r="J90" s="24" t="s">
        <v>554</v>
      </c>
      <c r="K90" s="24" t="s">
        <v>551</v>
      </c>
    </row>
    <row r="91" spans="1:11">
      <c r="A91" s="12">
        <v>2011</v>
      </c>
      <c r="B91" s="15" t="s">
        <v>160</v>
      </c>
      <c r="C91" s="15" t="s">
        <v>171</v>
      </c>
      <c r="D91" s="15" t="s">
        <v>172</v>
      </c>
      <c r="E91" s="19">
        <v>49642</v>
      </c>
      <c r="F91" s="19">
        <v>51008</v>
      </c>
      <c r="G91" s="20">
        <f t="shared" si="1"/>
        <v>0.50678589170392452</v>
      </c>
      <c r="H91" s="24" t="s">
        <v>548</v>
      </c>
      <c r="I91" s="24" t="s">
        <v>553</v>
      </c>
      <c r="J91" s="24" t="s">
        <v>554</v>
      </c>
      <c r="K91" s="24" t="s">
        <v>551</v>
      </c>
    </row>
    <row r="92" spans="1:11">
      <c r="A92" s="12">
        <v>2011</v>
      </c>
      <c r="B92" s="15" t="s">
        <v>160</v>
      </c>
      <c r="C92" s="15" t="s">
        <v>173</v>
      </c>
      <c r="D92" s="15" t="s">
        <v>174</v>
      </c>
      <c r="E92" s="19">
        <v>281475</v>
      </c>
      <c r="F92" s="19">
        <v>204916</v>
      </c>
      <c r="G92" s="20">
        <f t="shared" si="1"/>
        <v>0.42129891383681028</v>
      </c>
      <c r="H92" s="24" t="s">
        <v>548</v>
      </c>
      <c r="I92" s="24" t="s">
        <v>553</v>
      </c>
      <c r="J92" s="24" t="s">
        <v>554</v>
      </c>
      <c r="K92" s="24" t="s">
        <v>551</v>
      </c>
    </row>
    <row r="93" spans="1:11">
      <c r="A93" s="12">
        <v>2011</v>
      </c>
      <c r="B93" s="15" t="s">
        <v>160</v>
      </c>
      <c r="C93" s="15" t="s">
        <v>175</v>
      </c>
      <c r="D93" s="15" t="s">
        <v>176</v>
      </c>
      <c r="E93" s="19">
        <v>191580</v>
      </c>
      <c r="F93" s="19">
        <v>167261</v>
      </c>
      <c r="G93" s="20">
        <f t="shared" si="1"/>
        <v>0.46611451868654918</v>
      </c>
      <c r="H93" s="24" t="s">
        <v>548</v>
      </c>
      <c r="I93" s="24" t="s">
        <v>553</v>
      </c>
      <c r="J93" s="24" t="s">
        <v>554</v>
      </c>
      <c r="K93" s="24" t="s">
        <v>551</v>
      </c>
    </row>
    <row r="94" spans="1:11">
      <c r="A94" s="12">
        <v>2011</v>
      </c>
      <c r="B94" s="15" t="s">
        <v>160</v>
      </c>
      <c r="C94" s="15" t="s">
        <v>177</v>
      </c>
      <c r="D94" s="15" t="s">
        <v>178</v>
      </c>
      <c r="E94" s="19">
        <v>154477</v>
      </c>
      <c r="F94" s="19">
        <v>108492</v>
      </c>
      <c r="G94" s="20">
        <f t="shared" si="1"/>
        <v>0.41256573968794802</v>
      </c>
      <c r="H94" s="24" t="s">
        <v>548</v>
      </c>
      <c r="I94" s="24" t="s">
        <v>553</v>
      </c>
      <c r="J94" s="24" t="s">
        <v>554</v>
      </c>
      <c r="K94" s="24" t="s">
        <v>551</v>
      </c>
    </row>
    <row r="95" spans="1:11">
      <c r="A95" s="12">
        <v>2011</v>
      </c>
      <c r="B95" s="15" t="s">
        <v>160</v>
      </c>
      <c r="C95" s="15" t="s">
        <v>179</v>
      </c>
      <c r="D95" s="15" t="s">
        <v>180</v>
      </c>
      <c r="E95" s="19">
        <v>228961</v>
      </c>
      <c r="F95" s="19">
        <v>168429</v>
      </c>
      <c r="G95" s="20">
        <f t="shared" si="1"/>
        <v>0.4238380432320894</v>
      </c>
      <c r="H95" s="24" t="s">
        <v>548</v>
      </c>
      <c r="I95" s="24" t="s">
        <v>553</v>
      </c>
      <c r="J95" s="24" t="s">
        <v>554</v>
      </c>
      <c r="K95" s="24" t="s">
        <v>551</v>
      </c>
    </row>
    <row r="96" spans="1:11">
      <c r="A96" s="12">
        <v>2011</v>
      </c>
      <c r="B96" s="15" t="s">
        <v>160</v>
      </c>
      <c r="C96" s="15" t="s">
        <v>181</v>
      </c>
      <c r="D96" s="15" t="s">
        <v>182</v>
      </c>
      <c r="E96" s="19">
        <v>203467</v>
      </c>
      <c r="F96" s="19">
        <v>145406</v>
      </c>
      <c r="G96" s="20">
        <f t="shared" si="1"/>
        <v>0.41678777090803815</v>
      </c>
      <c r="H96" s="24" t="s">
        <v>548</v>
      </c>
      <c r="I96" s="24" t="s">
        <v>553</v>
      </c>
      <c r="J96" s="24" t="s">
        <v>554</v>
      </c>
      <c r="K96" s="24" t="s">
        <v>551</v>
      </c>
    </row>
    <row r="97" spans="1:11">
      <c r="A97" s="12">
        <v>2011</v>
      </c>
      <c r="B97" s="15" t="s">
        <v>160</v>
      </c>
      <c r="C97" s="15" t="s">
        <v>183</v>
      </c>
      <c r="D97" s="15" t="s">
        <v>184</v>
      </c>
      <c r="E97" s="19">
        <v>449412</v>
      </c>
      <c r="F97" s="19">
        <v>344918</v>
      </c>
      <c r="G97" s="20">
        <f t="shared" si="1"/>
        <v>0.43422507018493572</v>
      </c>
      <c r="H97" s="24" t="s">
        <v>548</v>
      </c>
      <c r="I97" s="24" t="s">
        <v>553</v>
      </c>
      <c r="J97" s="24" t="s">
        <v>554</v>
      </c>
      <c r="K97" s="24" t="s">
        <v>551</v>
      </c>
    </row>
    <row r="98" spans="1:11">
      <c r="A98" s="12">
        <v>2011</v>
      </c>
      <c r="B98" s="15" t="s">
        <v>160</v>
      </c>
      <c r="C98" s="15" t="s">
        <v>185</v>
      </c>
      <c r="D98" s="15" t="s">
        <v>186</v>
      </c>
      <c r="E98" s="19">
        <v>76690</v>
      </c>
      <c r="F98" s="19">
        <v>50634</v>
      </c>
      <c r="G98" s="20">
        <f t="shared" si="1"/>
        <v>0.39767836385913102</v>
      </c>
      <c r="H98" s="24" t="s">
        <v>548</v>
      </c>
      <c r="I98" s="24" t="s">
        <v>553</v>
      </c>
      <c r="J98" s="24" t="s">
        <v>554</v>
      </c>
      <c r="K98" s="24" t="s">
        <v>551</v>
      </c>
    </row>
    <row r="99" spans="1:11">
      <c r="A99" s="12">
        <v>2011</v>
      </c>
      <c r="B99" s="15" t="s">
        <v>160</v>
      </c>
      <c r="C99" s="15" t="s">
        <v>189</v>
      </c>
      <c r="D99" s="15" t="s">
        <v>190</v>
      </c>
      <c r="E99" s="19">
        <v>167714</v>
      </c>
      <c r="F99" s="19">
        <v>164136</v>
      </c>
      <c r="G99" s="20">
        <f t="shared" si="1"/>
        <v>0.49460901009492242</v>
      </c>
      <c r="H99" s="24" t="s">
        <v>548</v>
      </c>
      <c r="I99" s="24" t="s">
        <v>553</v>
      </c>
      <c r="J99" s="24" t="s">
        <v>554</v>
      </c>
      <c r="K99" s="24" t="s">
        <v>551</v>
      </c>
    </row>
    <row r="100" spans="1:11">
      <c r="A100" s="12">
        <v>2011</v>
      </c>
      <c r="B100" s="15" t="s">
        <v>160</v>
      </c>
      <c r="C100" s="15" t="s">
        <v>191</v>
      </c>
      <c r="D100" s="15" t="s">
        <v>192</v>
      </c>
      <c r="E100" s="19">
        <v>143427</v>
      </c>
      <c r="F100" s="19">
        <v>127531</v>
      </c>
      <c r="G100" s="20">
        <f t="shared" si="1"/>
        <v>0.47066704064836618</v>
      </c>
      <c r="H100" s="24" t="s">
        <v>548</v>
      </c>
      <c r="I100" s="24" t="s">
        <v>553</v>
      </c>
      <c r="J100" s="24" t="s">
        <v>554</v>
      </c>
      <c r="K100" s="24" t="s">
        <v>551</v>
      </c>
    </row>
    <row r="101" spans="1:11">
      <c r="A101" s="12">
        <v>2011</v>
      </c>
      <c r="B101" s="15" t="s">
        <v>160</v>
      </c>
      <c r="C101" s="15" t="s">
        <v>193</v>
      </c>
      <c r="D101" s="15" t="s">
        <v>194</v>
      </c>
      <c r="E101" s="19">
        <v>358995</v>
      </c>
      <c r="F101" s="19">
        <v>243937</v>
      </c>
      <c r="G101" s="20">
        <f t="shared" si="1"/>
        <v>0.40458459660459223</v>
      </c>
      <c r="H101" s="24" t="s">
        <v>548</v>
      </c>
      <c r="I101" s="24" t="s">
        <v>553</v>
      </c>
      <c r="J101" s="24" t="s">
        <v>554</v>
      </c>
      <c r="K101" s="24" t="s">
        <v>551</v>
      </c>
    </row>
    <row r="102" spans="1:11">
      <c r="A102" s="12">
        <v>2011</v>
      </c>
      <c r="B102" s="15" t="s">
        <v>160</v>
      </c>
      <c r="C102" s="15" t="s">
        <v>195</v>
      </c>
      <c r="D102" s="15" t="s">
        <v>196</v>
      </c>
      <c r="E102" s="19">
        <v>393185</v>
      </c>
      <c r="F102" s="19">
        <v>266180</v>
      </c>
      <c r="G102" s="20">
        <f t="shared" si="1"/>
        <v>0.40369143039136141</v>
      </c>
      <c r="H102" s="24" t="s">
        <v>548</v>
      </c>
      <c r="I102" s="24" t="s">
        <v>549</v>
      </c>
      <c r="J102" s="24" t="s">
        <v>550</v>
      </c>
      <c r="K102" s="24" t="s">
        <v>551</v>
      </c>
    </row>
    <row r="103" spans="1:11">
      <c r="A103" s="12">
        <v>2011</v>
      </c>
      <c r="B103" s="15" t="s">
        <v>160</v>
      </c>
      <c r="C103" s="15" t="s">
        <v>197</v>
      </c>
      <c r="D103" s="15" t="s">
        <v>198</v>
      </c>
      <c r="E103" s="19">
        <v>161474</v>
      </c>
      <c r="F103" s="19">
        <v>166358</v>
      </c>
      <c r="G103" s="20">
        <f t="shared" si="1"/>
        <v>0.50744893726054807</v>
      </c>
      <c r="H103" s="24" t="s">
        <v>548</v>
      </c>
      <c r="I103" s="24" t="s">
        <v>549</v>
      </c>
      <c r="J103" s="24" t="s">
        <v>550</v>
      </c>
      <c r="K103" s="24" t="s">
        <v>551</v>
      </c>
    </row>
    <row r="104" spans="1:11">
      <c r="A104" s="12">
        <v>2011</v>
      </c>
      <c r="B104" s="15" t="s">
        <v>160</v>
      </c>
      <c r="C104" s="15" t="s">
        <v>199</v>
      </c>
      <c r="D104" s="15" t="s">
        <v>200</v>
      </c>
      <c r="E104" s="19">
        <v>188268</v>
      </c>
      <c r="F104" s="19">
        <v>176320</v>
      </c>
      <c r="G104" s="20">
        <f t="shared" si="1"/>
        <v>0.48361438116449251</v>
      </c>
      <c r="H104" s="24" t="s">
        <v>548</v>
      </c>
      <c r="I104" s="24" t="s">
        <v>549</v>
      </c>
      <c r="J104" s="24" t="s">
        <v>550</v>
      </c>
      <c r="K104" s="24" t="s">
        <v>551</v>
      </c>
    </row>
    <row r="105" spans="1:11">
      <c r="A105" s="12">
        <v>2011</v>
      </c>
      <c r="B105" s="15" t="s">
        <v>160</v>
      </c>
      <c r="C105" s="15" t="s">
        <v>201</v>
      </c>
      <c r="D105" s="15" t="s">
        <v>202</v>
      </c>
      <c r="E105" s="19">
        <v>224569</v>
      </c>
      <c r="F105" s="19">
        <v>235027</v>
      </c>
      <c r="G105" s="20">
        <f t="shared" si="1"/>
        <v>0.51137738361517504</v>
      </c>
      <c r="H105" s="24" t="s">
        <v>548</v>
      </c>
      <c r="I105" s="24" t="s">
        <v>549</v>
      </c>
      <c r="J105" s="24" t="s">
        <v>550</v>
      </c>
      <c r="K105" s="24" t="s">
        <v>551</v>
      </c>
    </row>
    <row r="106" spans="1:11">
      <c r="A106" s="12">
        <v>2011</v>
      </c>
      <c r="B106" s="15" t="s">
        <v>160</v>
      </c>
      <c r="C106" s="15" t="s">
        <v>203</v>
      </c>
      <c r="D106" s="15" t="s">
        <v>204</v>
      </c>
      <c r="E106" s="19">
        <v>209922</v>
      </c>
      <c r="F106" s="19">
        <v>171359</v>
      </c>
      <c r="G106" s="20">
        <f t="shared" si="1"/>
        <v>0.44942968571735809</v>
      </c>
      <c r="H106" s="24" t="s">
        <v>548</v>
      </c>
      <c r="I106" s="24" t="s">
        <v>549</v>
      </c>
      <c r="J106" s="24" t="s">
        <v>550</v>
      </c>
      <c r="K106" s="24" t="s">
        <v>551</v>
      </c>
    </row>
    <row r="107" spans="1:11">
      <c r="A107" s="12">
        <v>2011</v>
      </c>
      <c r="B107" s="15" t="s">
        <v>160</v>
      </c>
      <c r="C107" s="15" t="s">
        <v>205</v>
      </c>
      <c r="D107" s="15" t="s">
        <v>206</v>
      </c>
      <c r="E107" s="19">
        <v>227884</v>
      </c>
      <c r="F107" s="19">
        <v>186152</v>
      </c>
      <c r="G107" s="20">
        <f t="shared" si="1"/>
        <v>0.44960341612806615</v>
      </c>
      <c r="H107" s="24" t="s">
        <v>548</v>
      </c>
      <c r="I107" s="24" t="s">
        <v>549</v>
      </c>
      <c r="J107" s="24" t="s">
        <v>550</v>
      </c>
      <c r="K107" s="24" t="s">
        <v>551</v>
      </c>
    </row>
    <row r="108" spans="1:11">
      <c r="A108" s="12">
        <v>2011</v>
      </c>
      <c r="B108" s="15" t="s">
        <v>160</v>
      </c>
      <c r="C108" s="15" t="s">
        <v>207</v>
      </c>
      <c r="D108" s="15" t="s">
        <v>208</v>
      </c>
      <c r="E108" s="19">
        <v>153553</v>
      </c>
      <c r="F108" s="19">
        <v>148121</v>
      </c>
      <c r="G108" s="20">
        <f t="shared" si="1"/>
        <v>0.4909969039426666</v>
      </c>
      <c r="H108" s="24" t="s">
        <v>548</v>
      </c>
      <c r="I108" s="24" t="s">
        <v>549</v>
      </c>
      <c r="J108" s="24" t="s">
        <v>550</v>
      </c>
      <c r="K108" s="24" t="s">
        <v>551</v>
      </c>
    </row>
    <row r="109" spans="1:11">
      <c r="A109" s="12">
        <v>2011</v>
      </c>
      <c r="B109" s="15" t="s">
        <v>160</v>
      </c>
      <c r="C109" s="15" t="s">
        <v>209</v>
      </c>
      <c r="D109" s="15" t="s">
        <v>210</v>
      </c>
      <c r="E109" s="19">
        <v>326874</v>
      </c>
      <c r="F109" s="19">
        <v>214746</v>
      </c>
      <c r="G109" s="20">
        <f t="shared" si="1"/>
        <v>0.39648831283926</v>
      </c>
      <c r="H109" s="24" t="s">
        <v>548</v>
      </c>
      <c r="I109" s="24" t="s">
        <v>553</v>
      </c>
      <c r="J109" s="24" t="s">
        <v>554</v>
      </c>
      <c r="K109" s="24" t="s">
        <v>551</v>
      </c>
    </row>
    <row r="110" spans="1:11">
      <c r="A110" s="12">
        <v>2011</v>
      </c>
      <c r="B110" s="15" t="s">
        <v>160</v>
      </c>
      <c r="C110" s="15" t="s">
        <v>211</v>
      </c>
      <c r="D110" s="15" t="s">
        <v>212</v>
      </c>
      <c r="E110" s="19">
        <v>285817</v>
      </c>
      <c r="F110" s="19">
        <v>163235</v>
      </c>
      <c r="G110" s="20">
        <f t="shared" si="1"/>
        <v>0.36351023934867233</v>
      </c>
      <c r="H110" s="24" t="s">
        <v>548</v>
      </c>
      <c r="I110" s="24" t="s">
        <v>553</v>
      </c>
      <c r="J110" s="24" t="s">
        <v>554</v>
      </c>
      <c r="K110" s="24" t="s">
        <v>551</v>
      </c>
    </row>
    <row r="111" spans="1:11">
      <c r="A111" s="12">
        <v>2011</v>
      </c>
      <c r="B111" s="15" t="s">
        <v>160</v>
      </c>
      <c r="C111" s="15" t="s">
        <v>213</v>
      </c>
      <c r="D111" s="15" t="s">
        <v>214</v>
      </c>
      <c r="E111" s="19">
        <v>284825</v>
      </c>
      <c r="F111" s="19">
        <v>250417</v>
      </c>
      <c r="G111" s="20">
        <f t="shared" si="1"/>
        <v>0.46785752986499562</v>
      </c>
      <c r="H111" s="24" t="s">
        <v>548</v>
      </c>
      <c r="I111" s="24" t="s">
        <v>553</v>
      </c>
      <c r="J111" s="24" t="s">
        <v>554</v>
      </c>
      <c r="K111" s="24" t="s">
        <v>551</v>
      </c>
    </row>
    <row r="112" spans="1:11">
      <c r="A112" s="12">
        <v>2011</v>
      </c>
      <c r="B112" s="15" t="s">
        <v>160</v>
      </c>
      <c r="C112" s="15" t="s">
        <v>215</v>
      </c>
      <c r="D112" s="15" t="s">
        <v>216</v>
      </c>
      <c r="E112" s="19">
        <v>147441</v>
      </c>
      <c r="F112" s="19">
        <v>101723</v>
      </c>
      <c r="G112" s="20">
        <f t="shared" si="1"/>
        <v>0.4082572121173203</v>
      </c>
      <c r="H112" s="24" t="s">
        <v>548</v>
      </c>
      <c r="I112" s="24" t="s">
        <v>553</v>
      </c>
      <c r="J112" s="24" t="s">
        <v>554</v>
      </c>
      <c r="K112" s="24" t="s">
        <v>551</v>
      </c>
    </row>
    <row r="113" spans="1:11">
      <c r="A113" s="12">
        <v>2011</v>
      </c>
      <c r="B113" s="15" t="s">
        <v>160</v>
      </c>
      <c r="C113" s="15" t="s">
        <v>217</v>
      </c>
      <c r="D113" s="15" t="s">
        <v>218</v>
      </c>
      <c r="E113" s="19">
        <v>280731</v>
      </c>
      <c r="F113" s="19">
        <v>207477</v>
      </c>
      <c r="G113" s="20">
        <f t="shared" si="1"/>
        <v>0.42497664929702095</v>
      </c>
      <c r="H113" s="24" t="s">
        <v>548</v>
      </c>
      <c r="I113" s="24" t="s">
        <v>549</v>
      </c>
      <c r="J113" s="24" t="s">
        <v>550</v>
      </c>
      <c r="K113" s="24" t="s">
        <v>551</v>
      </c>
    </row>
    <row r="114" spans="1:11">
      <c r="A114" s="12">
        <v>2011</v>
      </c>
      <c r="B114" s="15" t="s">
        <v>160</v>
      </c>
      <c r="C114" s="15" t="s">
        <v>219</v>
      </c>
      <c r="D114" s="15" t="s">
        <v>220</v>
      </c>
      <c r="E114" s="19">
        <v>196840</v>
      </c>
      <c r="F114" s="19">
        <v>166650</v>
      </c>
      <c r="G114" s="20">
        <f t="shared" si="1"/>
        <v>0.45847203499408512</v>
      </c>
      <c r="H114" s="24" t="s">
        <v>548</v>
      </c>
      <c r="I114" s="24" t="s">
        <v>549</v>
      </c>
      <c r="J114" s="24" t="s">
        <v>550</v>
      </c>
      <c r="K114" s="24" t="s">
        <v>551</v>
      </c>
    </row>
    <row r="115" spans="1:11">
      <c r="A115" s="12">
        <v>2011</v>
      </c>
      <c r="B115" s="15" t="s">
        <v>160</v>
      </c>
      <c r="C115" s="15" t="s">
        <v>221</v>
      </c>
      <c r="D115" s="15" t="s">
        <v>222</v>
      </c>
      <c r="E115" s="19">
        <v>143243</v>
      </c>
      <c r="F115" s="19">
        <v>140377</v>
      </c>
      <c r="G115" s="20">
        <f t="shared" si="1"/>
        <v>0.4949474649178478</v>
      </c>
      <c r="H115" s="24" t="s">
        <v>548</v>
      </c>
      <c r="I115" s="24" t="s">
        <v>553</v>
      </c>
      <c r="J115" s="24" t="s">
        <v>554</v>
      </c>
      <c r="K115" s="24" t="s">
        <v>551</v>
      </c>
    </row>
    <row r="116" spans="1:11">
      <c r="A116" s="12">
        <v>2011</v>
      </c>
      <c r="B116" s="15" t="s">
        <v>160</v>
      </c>
      <c r="C116" s="15" t="s">
        <v>223</v>
      </c>
      <c r="D116" s="15" t="s">
        <v>224</v>
      </c>
      <c r="E116" s="19">
        <v>71758</v>
      </c>
      <c r="F116" s="19">
        <v>62232</v>
      </c>
      <c r="G116" s="20">
        <f t="shared" si="1"/>
        <v>0.46445257108739457</v>
      </c>
      <c r="H116" s="24" t="s">
        <v>548</v>
      </c>
      <c r="I116" s="24" t="s">
        <v>553</v>
      </c>
      <c r="J116" s="24" t="s">
        <v>554</v>
      </c>
      <c r="K116" s="24" t="s">
        <v>551</v>
      </c>
    </row>
    <row r="117" spans="1:11">
      <c r="A117" s="12">
        <v>2011</v>
      </c>
      <c r="B117" s="15" t="s">
        <v>160</v>
      </c>
      <c r="C117" s="15" t="s">
        <v>225</v>
      </c>
      <c r="D117" s="15" t="s">
        <v>226</v>
      </c>
      <c r="E117" s="19">
        <v>82865</v>
      </c>
      <c r="F117" s="19">
        <v>62704</v>
      </c>
      <c r="G117" s="20">
        <f t="shared" si="1"/>
        <v>0.43075105276535525</v>
      </c>
      <c r="H117" s="24" t="s">
        <v>548</v>
      </c>
      <c r="I117" s="24" t="s">
        <v>553</v>
      </c>
      <c r="J117" s="24" t="s">
        <v>554</v>
      </c>
      <c r="K117" s="24" t="s">
        <v>551</v>
      </c>
    </row>
    <row r="118" spans="1:11">
      <c r="A118" s="12">
        <v>2011</v>
      </c>
      <c r="B118" s="15" t="s">
        <v>160</v>
      </c>
      <c r="C118" s="15" t="s">
        <v>229</v>
      </c>
      <c r="D118" s="15" t="s">
        <v>230</v>
      </c>
      <c r="E118" s="19">
        <v>32772</v>
      </c>
      <c r="F118" s="19">
        <v>30040</v>
      </c>
      <c r="G118" s="20">
        <f t="shared" si="1"/>
        <v>0.47825256320448323</v>
      </c>
      <c r="H118" s="24" t="s">
        <v>548</v>
      </c>
      <c r="I118" s="24" t="s">
        <v>553</v>
      </c>
      <c r="J118" s="24" t="s">
        <v>554</v>
      </c>
      <c r="K118" s="24" t="s">
        <v>551</v>
      </c>
    </row>
    <row r="119" spans="1:11">
      <c r="A119" s="12">
        <v>2011</v>
      </c>
      <c r="B119" s="15" t="s">
        <v>160</v>
      </c>
      <c r="C119" s="15" t="s">
        <v>231</v>
      </c>
      <c r="D119" s="15" t="s">
        <v>232</v>
      </c>
      <c r="E119" s="19">
        <v>152684</v>
      </c>
      <c r="F119" s="19">
        <v>109923</v>
      </c>
      <c r="G119" s="20">
        <f t="shared" si="1"/>
        <v>0.41858366304020839</v>
      </c>
      <c r="H119" s="24" t="s">
        <v>548</v>
      </c>
      <c r="I119" s="24" t="s">
        <v>553</v>
      </c>
      <c r="J119" s="24" t="s">
        <v>554</v>
      </c>
      <c r="K119" s="24" t="s">
        <v>551</v>
      </c>
    </row>
    <row r="120" spans="1:11">
      <c r="A120" s="12">
        <v>2011</v>
      </c>
      <c r="B120" s="15" t="s">
        <v>160</v>
      </c>
      <c r="C120" s="15" t="s">
        <v>233</v>
      </c>
      <c r="D120" s="15" t="s">
        <v>234</v>
      </c>
      <c r="E120" s="19">
        <v>691769</v>
      </c>
      <c r="F120" s="19">
        <v>558404</v>
      </c>
      <c r="G120" s="20">
        <f t="shared" si="1"/>
        <v>0.44666138206472222</v>
      </c>
      <c r="H120" s="24" t="s">
        <v>548</v>
      </c>
      <c r="I120" s="24" t="s">
        <v>553</v>
      </c>
      <c r="J120" s="24" t="s">
        <v>554</v>
      </c>
      <c r="K120" s="24" t="s">
        <v>551</v>
      </c>
    </row>
    <row r="121" spans="1:11">
      <c r="A121" s="12">
        <v>2011</v>
      </c>
      <c r="B121" s="15" t="s">
        <v>160</v>
      </c>
      <c r="C121" s="15" t="s">
        <v>241</v>
      </c>
      <c r="D121" s="15" t="s">
        <v>242</v>
      </c>
      <c r="E121" s="19">
        <v>99592</v>
      </c>
      <c r="F121" s="19">
        <v>113085</v>
      </c>
      <c r="G121" s="20">
        <f t="shared" si="1"/>
        <v>0.53172181288996934</v>
      </c>
      <c r="H121" s="24" t="s">
        <v>548</v>
      </c>
      <c r="I121" s="24" t="s">
        <v>553</v>
      </c>
      <c r="J121" s="24" t="s">
        <v>554</v>
      </c>
      <c r="K121" s="24" t="s">
        <v>551</v>
      </c>
    </row>
    <row r="122" spans="1:11">
      <c r="A122" s="12">
        <v>2011</v>
      </c>
      <c r="B122" s="15" t="s">
        <v>160</v>
      </c>
      <c r="C122" s="15" t="s">
        <v>243</v>
      </c>
      <c r="D122" s="15" t="s">
        <v>244</v>
      </c>
      <c r="E122" s="19">
        <v>349620</v>
      </c>
      <c r="F122" s="19">
        <v>204105</v>
      </c>
      <c r="G122" s="20">
        <f t="shared" si="1"/>
        <v>0.36860354869294326</v>
      </c>
      <c r="H122" s="24" t="s">
        <v>548</v>
      </c>
      <c r="I122" s="24" t="s">
        <v>549</v>
      </c>
      <c r="J122" s="24" t="s">
        <v>550</v>
      </c>
      <c r="K122" s="24" t="s">
        <v>551</v>
      </c>
    </row>
    <row r="123" spans="1:11">
      <c r="A123" s="12">
        <v>2011</v>
      </c>
      <c r="B123" s="15" t="s">
        <v>160</v>
      </c>
      <c r="C123" s="15" t="s">
        <v>245</v>
      </c>
      <c r="D123" s="15" t="s">
        <v>246</v>
      </c>
      <c r="E123" s="19">
        <v>169159</v>
      </c>
      <c r="F123" s="19">
        <v>100982</v>
      </c>
      <c r="G123" s="20">
        <f t="shared" si="1"/>
        <v>0.37381219437256841</v>
      </c>
      <c r="H123" s="24" t="s">
        <v>548</v>
      </c>
      <c r="I123" s="24" t="s">
        <v>553</v>
      </c>
      <c r="J123" s="24" t="s">
        <v>554</v>
      </c>
      <c r="K123" s="24" t="s">
        <v>551</v>
      </c>
    </row>
    <row r="124" spans="1:11">
      <c r="A124" s="12">
        <v>2011</v>
      </c>
      <c r="B124" s="15" t="s">
        <v>160</v>
      </c>
      <c r="C124" s="15" t="s">
        <v>247</v>
      </c>
      <c r="D124" s="15" t="s">
        <v>248</v>
      </c>
      <c r="E124" s="19">
        <v>290175</v>
      </c>
      <c r="F124" s="19">
        <v>225845</v>
      </c>
      <c r="G124" s="20">
        <f t="shared" si="1"/>
        <v>0.43766714468431456</v>
      </c>
      <c r="H124" s="24" t="s">
        <v>548</v>
      </c>
      <c r="I124" s="24" t="s">
        <v>553</v>
      </c>
      <c r="J124" s="24" t="s">
        <v>554</v>
      </c>
      <c r="K124" s="24" t="s">
        <v>551</v>
      </c>
    </row>
    <row r="125" spans="1:11">
      <c r="A125" s="12">
        <v>2011</v>
      </c>
      <c r="B125" s="15" t="s">
        <v>160</v>
      </c>
      <c r="C125" s="15" t="s">
        <v>249</v>
      </c>
      <c r="D125" s="15" t="s">
        <v>250</v>
      </c>
      <c r="E125" s="19">
        <v>358892</v>
      </c>
      <c r="F125" s="19">
        <v>185559</v>
      </c>
      <c r="G125" s="20">
        <f t="shared" si="1"/>
        <v>0.34081854932767136</v>
      </c>
      <c r="H125" s="24" t="s">
        <v>548</v>
      </c>
      <c r="I125" s="24" t="s">
        <v>553</v>
      </c>
      <c r="J125" s="24" t="s">
        <v>554</v>
      </c>
      <c r="K125" s="24" t="s">
        <v>551</v>
      </c>
    </row>
    <row r="126" spans="1:11">
      <c r="A126" s="12">
        <v>2011</v>
      </c>
      <c r="B126" s="15" t="s">
        <v>160</v>
      </c>
      <c r="C126" s="15" t="s">
        <v>251</v>
      </c>
      <c r="D126" s="15" t="s">
        <v>252</v>
      </c>
      <c r="E126" s="19">
        <v>124722</v>
      </c>
      <c r="F126" s="19">
        <v>86608</v>
      </c>
      <c r="G126" s="20">
        <f t="shared" si="1"/>
        <v>0.40982349879335639</v>
      </c>
      <c r="H126" s="24" t="s">
        <v>548</v>
      </c>
      <c r="I126" s="24" t="s">
        <v>553</v>
      </c>
      <c r="J126" s="24" t="s">
        <v>554</v>
      </c>
      <c r="K126" s="24" t="s">
        <v>551</v>
      </c>
    </row>
    <row r="127" spans="1:11">
      <c r="A127" s="12">
        <v>2011</v>
      </c>
      <c r="B127" s="15" t="s">
        <v>160</v>
      </c>
      <c r="C127" s="15" t="s">
        <v>253</v>
      </c>
      <c r="D127" s="15" t="s">
        <v>254</v>
      </c>
      <c r="E127" s="19">
        <v>108598</v>
      </c>
      <c r="F127" s="19">
        <v>94608</v>
      </c>
      <c r="G127" s="20">
        <f t="shared" si="1"/>
        <v>0.46557680383453243</v>
      </c>
      <c r="H127" s="24" t="s">
        <v>548</v>
      </c>
      <c r="I127" s="24" t="s">
        <v>553</v>
      </c>
      <c r="J127" s="24" t="s">
        <v>554</v>
      </c>
      <c r="K127" s="24" t="s">
        <v>551</v>
      </c>
    </row>
    <row r="128" spans="1:11">
      <c r="A128" s="12">
        <v>2011</v>
      </c>
      <c r="B128" s="15" t="s">
        <v>160</v>
      </c>
      <c r="C128" s="15" t="s">
        <v>255</v>
      </c>
      <c r="D128" s="15" t="s">
        <v>256</v>
      </c>
      <c r="E128" s="19">
        <v>410486</v>
      </c>
      <c r="F128" s="19">
        <v>337656</v>
      </c>
      <c r="G128" s="20">
        <f t="shared" si="1"/>
        <v>0.4513260851549572</v>
      </c>
      <c r="H128" s="24" t="s">
        <v>548</v>
      </c>
      <c r="I128" s="24" t="s">
        <v>553</v>
      </c>
      <c r="J128" s="24" t="s">
        <v>554</v>
      </c>
      <c r="K128" s="24" t="s">
        <v>551</v>
      </c>
    </row>
    <row r="129" spans="1:11">
      <c r="A129" s="12">
        <v>2011</v>
      </c>
      <c r="B129" s="15" t="s">
        <v>257</v>
      </c>
      <c r="C129" s="15" t="s">
        <v>22</v>
      </c>
      <c r="D129" s="15" t="s">
        <v>257</v>
      </c>
      <c r="E129" s="19">
        <v>1321845</v>
      </c>
      <c r="F129" s="19">
        <v>381139</v>
      </c>
      <c r="G129" s="20">
        <f t="shared" si="1"/>
        <v>0.22380656541693875</v>
      </c>
      <c r="H129" s="24" t="s">
        <v>548</v>
      </c>
      <c r="I129" s="24" t="s">
        <v>553</v>
      </c>
      <c r="J129" s="24" t="s">
        <v>554</v>
      </c>
      <c r="K129" s="24" t="s">
        <v>551</v>
      </c>
    </row>
    <row r="130" spans="1:11">
      <c r="A130" s="12">
        <v>2011</v>
      </c>
      <c r="B130" s="15" t="s">
        <v>257</v>
      </c>
      <c r="C130" s="15" t="s">
        <v>258</v>
      </c>
      <c r="D130" s="15" t="s">
        <v>259</v>
      </c>
      <c r="E130" s="19">
        <v>186075</v>
      </c>
      <c r="F130" s="19">
        <v>53410</v>
      </c>
      <c r="G130" s="20">
        <f t="shared" si="1"/>
        <v>0.22302023091216569</v>
      </c>
      <c r="H130" s="24" t="s">
        <v>548</v>
      </c>
      <c r="I130" s="24" t="s">
        <v>553</v>
      </c>
      <c r="J130" s="24" t="s">
        <v>554</v>
      </c>
      <c r="K130" s="24" t="s">
        <v>551</v>
      </c>
    </row>
    <row r="131" spans="1:11">
      <c r="A131" s="12">
        <v>2011</v>
      </c>
      <c r="B131" s="15" t="s">
        <v>257</v>
      </c>
      <c r="C131" s="15" t="s">
        <v>260</v>
      </c>
      <c r="D131" s="15" t="s">
        <v>261</v>
      </c>
      <c r="E131" s="19">
        <v>17526</v>
      </c>
      <c r="F131" s="19">
        <v>23603</v>
      </c>
      <c r="G131" s="20">
        <f t="shared" si="1"/>
        <v>0.57387731284495125</v>
      </c>
      <c r="H131" s="24" t="s">
        <v>548</v>
      </c>
      <c r="I131" s="24" t="s">
        <v>553</v>
      </c>
      <c r="J131" s="24" t="s">
        <v>554</v>
      </c>
      <c r="K131" s="24" t="s">
        <v>551</v>
      </c>
    </row>
    <row r="132" spans="1:11">
      <c r="A132" s="12">
        <v>2011</v>
      </c>
      <c r="B132" s="15" t="s">
        <v>257</v>
      </c>
      <c r="C132" s="15" t="s">
        <v>262</v>
      </c>
      <c r="D132" s="15" t="s">
        <v>263</v>
      </c>
      <c r="E132" s="19">
        <v>80297</v>
      </c>
      <c r="F132" s="19">
        <v>42303</v>
      </c>
      <c r="G132" s="20">
        <f t="shared" si="1"/>
        <v>0.34504893964110928</v>
      </c>
      <c r="H132" s="24" t="s">
        <v>548</v>
      </c>
      <c r="I132" s="24" t="s">
        <v>553</v>
      </c>
      <c r="J132" s="24" t="s">
        <v>554</v>
      </c>
      <c r="K132" s="24" t="s">
        <v>551</v>
      </c>
    </row>
    <row r="133" spans="1:11">
      <c r="A133" s="12">
        <v>2011</v>
      </c>
      <c r="B133" s="15" t="s">
        <v>257</v>
      </c>
      <c r="C133" s="15" t="s">
        <v>264</v>
      </c>
      <c r="D133" s="15" t="s">
        <v>265</v>
      </c>
      <c r="E133" s="19">
        <v>57593</v>
      </c>
      <c r="F133" s="19">
        <v>40838</v>
      </c>
      <c r="G133" s="20">
        <f t="shared" si="1"/>
        <v>0.41488961810811636</v>
      </c>
      <c r="H133" s="24" t="s">
        <v>548</v>
      </c>
      <c r="I133" s="24" t="s">
        <v>553</v>
      </c>
      <c r="J133" s="24" t="s">
        <v>554</v>
      </c>
      <c r="K133" s="24" t="s">
        <v>551</v>
      </c>
    </row>
    <row r="134" spans="1:11">
      <c r="A134" s="12">
        <v>2011</v>
      </c>
      <c r="B134" s="15" t="s">
        <v>257</v>
      </c>
      <c r="C134" s="15" t="s">
        <v>266</v>
      </c>
      <c r="D134" s="15" t="s">
        <v>267</v>
      </c>
      <c r="E134" s="19">
        <v>70561</v>
      </c>
      <c r="F134" s="19">
        <v>32473</v>
      </c>
      <c r="G134" s="20">
        <f t="shared" ref="G134:G197" si="2">IFERROR(F134/(E134+F134),"")</f>
        <v>0.31516780868451189</v>
      </c>
      <c r="H134" s="24" t="s">
        <v>548</v>
      </c>
      <c r="I134" s="24" t="s">
        <v>553</v>
      </c>
      <c r="J134" s="24" t="s">
        <v>554</v>
      </c>
      <c r="K134" s="24" t="s">
        <v>551</v>
      </c>
    </row>
    <row r="135" spans="1:11">
      <c r="A135" s="12">
        <v>2011</v>
      </c>
      <c r="B135" s="15" t="s">
        <v>257</v>
      </c>
      <c r="C135" s="15" t="s">
        <v>268</v>
      </c>
      <c r="D135" s="15" t="s">
        <v>269</v>
      </c>
      <c r="E135" s="19">
        <v>16375</v>
      </c>
      <c r="F135" s="19">
        <v>15414</v>
      </c>
      <c r="G135" s="20">
        <f t="shared" si="2"/>
        <v>0.48488470854698168</v>
      </c>
      <c r="H135" s="24" t="s">
        <v>548</v>
      </c>
      <c r="I135" s="24" t="s">
        <v>553</v>
      </c>
      <c r="J135" s="24" t="s">
        <v>554</v>
      </c>
      <c r="K135" s="24" t="s">
        <v>551</v>
      </c>
    </row>
    <row r="136" spans="1:11">
      <c r="A136" s="12">
        <v>2011</v>
      </c>
      <c r="B136" s="15" t="s">
        <v>257</v>
      </c>
      <c r="C136" s="15" t="s">
        <v>270</v>
      </c>
      <c r="D136" s="15" t="s">
        <v>271</v>
      </c>
      <c r="E136" s="19">
        <v>17555</v>
      </c>
      <c r="F136" s="19">
        <v>22622</v>
      </c>
      <c r="G136" s="20">
        <f t="shared" si="2"/>
        <v>0.56305846628668144</v>
      </c>
      <c r="H136" s="24" t="s">
        <v>548</v>
      </c>
      <c r="I136" s="24" t="s">
        <v>553</v>
      </c>
      <c r="J136" s="24" t="s">
        <v>554</v>
      </c>
      <c r="K136" s="24" t="s">
        <v>551</v>
      </c>
    </row>
    <row r="137" spans="1:11">
      <c r="A137" s="12">
        <v>2011</v>
      </c>
      <c r="B137" s="15" t="s">
        <v>257</v>
      </c>
      <c r="C137" s="15" t="s">
        <v>272</v>
      </c>
      <c r="D137" s="15" t="s">
        <v>273</v>
      </c>
      <c r="E137" s="19">
        <v>29941</v>
      </c>
      <c r="F137" s="19">
        <v>26349</v>
      </c>
      <c r="G137" s="20">
        <f t="shared" si="2"/>
        <v>0.4680937999644697</v>
      </c>
      <c r="H137" s="24" t="s">
        <v>548</v>
      </c>
      <c r="I137" s="24" t="s">
        <v>553</v>
      </c>
      <c r="J137" s="24" t="s">
        <v>554</v>
      </c>
      <c r="K137" s="24" t="s">
        <v>551</v>
      </c>
    </row>
    <row r="138" spans="1:11">
      <c r="A138" s="12">
        <v>2011</v>
      </c>
      <c r="B138" s="15" t="s">
        <v>257</v>
      </c>
      <c r="C138" s="15" t="s">
        <v>274</v>
      </c>
      <c r="D138" s="15" t="s">
        <v>275</v>
      </c>
      <c r="E138" s="19">
        <v>276268</v>
      </c>
      <c r="F138" s="19">
        <v>100809</v>
      </c>
      <c r="G138" s="20">
        <f t="shared" si="2"/>
        <v>0.26734327471577424</v>
      </c>
      <c r="H138" s="24" t="s">
        <v>548</v>
      </c>
      <c r="I138" s="24" t="s">
        <v>553</v>
      </c>
      <c r="J138" s="24" t="s">
        <v>554</v>
      </c>
      <c r="K138" s="24" t="s">
        <v>551</v>
      </c>
    </row>
    <row r="139" spans="1:11">
      <c r="A139" s="12">
        <v>2011</v>
      </c>
      <c r="B139" s="15" t="s">
        <v>257</v>
      </c>
      <c r="C139" s="15" t="s">
        <v>276</v>
      </c>
      <c r="D139" s="15" t="s">
        <v>277</v>
      </c>
      <c r="E139" s="19">
        <v>23925</v>
      </c>
      <c r="F139" s="19">
        <v>22902</v>
      </c>
      <c r="G139" s="20">
        <f t="shared" si="2"/>
        <v>0.48907681465821001</v>
      </c>
      <c r="H139" s="24" t="s">
        <v>548</v>
      </c>
      <c r="I139" s="24" t="s">
        <v>553</v>
      </c>
      <c r="J139" s="24" t="s">
        <v>554</v>
      </c>
      <c r="K139" s="24" t="s">
        <v>551</v>
      </c>
    </row>
    <row r="140" spans="1:11">
      <c r="A140" s="12">
        <v>2011</v>
      </c>
      <c r="B140" s="15" t="s">
        <v>257</v>
      </c>
      <c r="C140" s="15" t="s">
        <v>278</v>
      </c>
      <c r="D140" s="15" t="s">
        <v>279</v>
      </c>
      <c r="E140" s="19">
        <v>26782</v>
      </c>
      <c r="F140" s="19">
        <v>29230</v>
      </c>
      <c r="G140" s="20">
        <f t="shared" si="2"/>
        <v>0.52185246018710274</v>
      </c>
      <c r="H140" s="24" t="s">
        <v>548</v>
      </c>
      <c r="I140" s="24" t="s">
        <v>553</v>
      </c>
      <c r="J140" s="24" t="s">
        <v>554</v>
      </c>
      <c r="K140" s="24" t="s">
        <v>551</v>
      </c>
    </row>
    <row r="141" spans="1:11">
      <c r="A141" s="12">
        <v>2011</v>
      </c>
      <c r="B141" s="15" t="s">
        <v>257</v>
      </c>
      <c r="C141" s="15" t="s">
        <v>280</v>
      </c>
      <c r="D141" s="15" t="s">
        <v>281</v>
      </c>
      <c r="E141" s="19">
        <v>37090</v>
      </c>
      <c r="F141" s="19">
        <v>31136</v>
      </c>
      <c r="G141" s="20">
        <f t="shared" si="2"/>
        <v>0.45636560841907775</v>
      </c>
      <c r="H141" s="24" t="s">
        <v>548</v>
      </c>
      <c r="I141" s="24" t="s">
        <v>553</v>
      </c>
      <c r="J141" s="24" t="s">
        <v>554</v>
      </c>
      <c r="K141" s="24" t="s">
        <v>551</v>
      </c>
    </row>
    <row r="142" spans="1:11">
      <c r="A142" s="12">
        <v>2011</v>
      </c>
      <c r="B142" s="15" t="s">
        <v>257</v>
      </c>
      <c r="C142" s="15" t="s">
        <v>282</v>
      </c>
      <c r="D142" s="15" t="s">
        <v>283</v>
      </c>
      <c r="E142" s="19">
        <v>234938</v>
      </c>
      <c r="F142" s="19">
        <v>69257</v>
      </c>
      <c r="G142" s="20">
        <f t="shared" si="2"/>
        <v>0.22767303867584937</v>
      </c>
      <c r="H142" s="24" t="s">
        <v>548</v>
      </c>
      <c r="I142" s="24" t="s">
        <v>553</v>
      </c>
      <c r="J142" s="24" t="s">
        <v>554</v>
      </c>
      <c r="K142" s="24" t="s">
        <v>551</v>
      </c>
    </row>
    <row r="143" spans="1:11">
      <c r="A143" s="12">
        <v>2011</v>
      </c>
      <c r="B143" s="15" t="s">
        <v>257</v>
      </c>
      <c r="C143" s="15" t="s">
        <v>284</v>
      </c>
      <c r="D143" s="15" t="s">
        <v>285</v>
      </c>
      <c r="E143" s="19">
        <v>41068</v>
      </c>
      <c r="F143" s="19">
        <v>24243</v>
      </c>
      <c r="G143" s="20">
        <f t="shared" si="2"/>
        <v>0.37119321400682886</v>
      </c>
      <c r="H143" s="24" t="s">
        <v>548</v>
      </c>
      <c r="I143" s="24" t="s">
        <v>553</v>
      </c>
      <c r="J143" s="24" t="s">
        <v>554</v>
      </c>
      <c r="K143" s="24" t="s">
        <v>551</v>
      </c>
    </row>
    <row r="144" spans="1:11">
      <c r="A144" s="12">
        <v>2011</v>
      </c>
      <c r="B144" s="15" t="s">
        <v>257</v>
      </c>
      <c r="C144" s="15" t="s">
        <v>286</v>
      </c>
      <c r="D144" s="15" t="s">
        <v>287</v>
      </c>
      <c r="E144" s="19">
        <v>31022</v>
      </c>
      <c r="F144" s="19">
        <v>31502</v>
      </c>
      <c r="G144" s="20">
        <f t="shared" si="2"/>
        <v>0.50383852600601364</v>
      </c>
      <c r="H144" s="24" t="s">
        <v>548</v>
      </c>
      <c r="I144" s="24" t="s">
        <v>553</v>
      </c>
      <c r="J144" s="24" t="s">
        <v>554</v>
      </c>
      <c r="K144" s="24" t="s">
        <v>551</v>
      </c>
    </row>
    <row r="145" spans="1:11">
      <c r="A145" s="12">
        <v>2011</v>
      </c>
      <c r="B145" s="15" t="s">
        <v>257</v>
      </c>
      <c r="C145" s="15" t="s">
        <v>288</v>
      </c>
      <c r="D145" s="15" t="s">
        <v>289</v>
      </c>
      <c r="E145" s="19">
        <v>55486</v>
      </c>
      <c r="F145" s="19">
        <v>36461</v>
      </c>
      <c r="G145" s="20">
        <f t="shared" si="2"/>
        <v>0.39654366102211058</v>
      </c>
      <c r="H145" s="24" t="s">
        <v>548</v>
      </c>
      <c r="I145" s="24" t="s">
        <v>553</v>
      </c>
      <c r="J145" s="24" t="s">
        <v>554</v>
      </c>
      <c r="K145" s="24" t="s">
        <v>551</v>
      </c>
    </row>
    <row r="146" spans="1:11">
      <c r="A146" s="12">
        <v>2011</v>
      </c>
      <c r="B146" s="15" t="s">
        <v>257</v>
      </c>
      <c r="C146" s="15" t="s">
        <v>290</v>
      </c>
      <c r="D146" s="15" t="s">
        <v>291</v>
      </c>
      <c r="E146" s="19">
        <v>17179</v>
      </c>
      <c r="F146" s="19">
        <v>18801</v>
      </c>
      <c r="G146" s="20">
        <f t="shared" si="2"/>
        <v>0.52254030016675934</v>
      </c>
      <c r="H146" s="24" t="s">
        <v>548</v>
      </c>
      <c r="I146" s="24" t="s">
        <v>553</v>
      </c>
      <c r="J146" s="24" t="s">
        <v>554</v>
      </c>
      <c r="K146" s="24" t="s">
        <v>551</v>
      </c>
    </row>
    <row r="147" spans="1:11">
      <c r="A147" s="12">
        <v>2011</v>
      </c>
      <c r="B147" s="15" t="s">
        <v>257</v>
      </c>
      <c r="C147" s="15" t="s">
        <v>292</v>
      </c>
      <c r="D147" s="15" t="s">
        <v>293</v>
      </c>
      <c r="E147" s="19">
        <v>33344</v>
      </c>
      <c r="F147" s="19">
        <v>30838</v>
      </c>
      <c r="G147" s="20">
        <f t="shared" si="2"/>
        <v>0.48047739241531895</v>
      </c>
      <c r="H147" s="24" t="s">
        <v>548</v>
      </c>
      <c r="I147" s="24" t="s">
        <v>553</v>
      </c>
      <c r="J147" s="24" t="s">
        <v>554</v>
      </c>
      <c r="K147" s="24" t="s">
        <v>551</v>
      </c>
    </row>
    <row r="148" spans="1:11">
      <c r="A148" s="12">
        <v>2011</v>
      </c>
      <c r="B148" s="15" t="s">
        <v>294</v>
      </c>
      <c r="C148" s="15" t="s">
        <v>22</v>
      </c>
      <c r="D148" s="15" t="s">
        <v>294</v>
      </c>
      <c r="E148" s="19">
        <v>1380272</v>
      </c>
      <c r="F148" s="19">
        <v>442423</v>
      </c>
      <c r="G148" s="20">
        <f t="shared" si="2"/>
        <v>0.24273013312704539</v>
      </c>
      <c r="H148" s="24" t="s">
        <v>558</v>
      </c>
      <c r="I148" s="24" t="s">
        <v>556</v>
      </c>
      <c r="J148" s="24" t="s">
        <v>557</v>
      </c>
      <c r="K148" s="24" t="s">
        <v>551</v>
      </c>
    </row>
    <row r="149" spans="1:11">
      <c r="A149" s="12">
        <v>2011</v>
      </c>
      <c r="B149" s="15" t="s">
        <v>294</v>
      </c>
      <c r="C149" s="15" t="s">
        <v>295</v>
      </c>
      <c r="D149" s="15" t="s">
        <v>296</v>
      </c>
      <c r="E149" s="19">
        <v>25075</v>
      </c>
      <c r="F149" s="19">
        <v>29015</v>
      </c>
      <c r="G149" s="20">
        <f t="shared" si="2"/>
        <v>0.53642078018117956</v>
      </c>
      <c r="H149" s="24" t="s">
        <v>558</v>
      </c>
      <c r="I149" s="24" t="s">
        <v>556</v>
      </c>
      <c r="J149" s="24" t="s">
        <v>557</v>
      </c>
      <c r="K149" s="24" t="s">
        <v>551</v>
      </c>
    </row>
    <row r="150" spans="1:11">
      <c r="A150" s="12">
        <v>2011</v>
      </c>
      <c r="B150" s="15" t="s">
        <v>294</v>
      </c>
      <c r="C150" s="15" t="s">
        <v>297</v>
      </c>
      <c r="D150" s="15" t="s">
        <v>298</v>
      </c>
      <c r="E150" s="19">
        <v>22889</v>
      </c>
      <c r="F150" s="19">
        <v>24264</v>
      </c>
      <c r="G150" s="20">
        <f t="shared" si="2"/>
        <v>0.5145801963819906</v>
      </c>
      <c r="H150" s="24" t="s">
        <v>558</v>
      </c>
      <c r="I150" s="24" t="s">
        <v>556</v>
      </c>
      <c r="J150" s="24" t="s">
        <v>557</v>
      </c>
      <c r="K150" s="24" t="s">
        <v>551</v>
      </c>
    </row>
    <row r="151" spans="1:11">
      <c r="A151" s="12">
        <v>2011</v>
      </c>
      <c r="B151" s="15" t="s">
        <v>294</v>
      </c>
      <c r="C151" s="15" t="s">
        <v>299</v>
      </c>
      <c r="D151" s="15" t="s">
        <v>300</v>
      </c>
      <c r="E151" s="19">
        <v>27408</v>
      </c>
      <c r="F151" s="19">
        <v>22296</v>
      </c>
      <c r="G151" s="20">
        <f t="shared" si="2"/>
        <v>0.44857556735876386</v>
      </c>
      <c r="H151" s="24" t="s">
        <v>558</v>
      </c>
      <c r="I151" s="24" t="s">
        <v>556</v>
      </c>
      <c r="J151" s="24" t="s">
        <v>557</v>
      </c>
      <c r="K151" s="24" t="s">
        <v>551</v>
      </c>
    </row>
    <row r="152" spans="1:11">
      <c r="A152" s="12">
        <v>2011</v>
      </c>
      <c r="B152" s="15" t="s">
        <v>294</v>
      </c>
      <c r="C152" s="15" t="s">
        <v>301</v>
      </c>
      <c r="D152" s="15" t="s">
        <v>302</v>
      </c>
      <c r="E152" s="19">
        <v>40606</v>
      </c>
      <c r="F152" s="19">
        <v>31289</v>
      </c>
      <c r="G152" s="20">
        <f t="shared" si="2"/>
        <v>0.43520411711523749</v>
      </c>
      <c r="H152" s="24" t="s">
        <v>558</v>
      </c>
      <c r="I152" s="24" t="s">
        <v>556</v>
      </c>
      <c r="J152" s="24" t="s">
        <v>557</v>
      </c>
      <c r="K152" s="24" t="s">
        <v>551</v>
      </c>
    </row>
    <row r="153" spans="1:11">
      <c r="A153" s="12">
        <v>2011</v>
      </c>
      <c r="B153" s="15" t="s">
        <v>294</v>
      </c>
      <c r="C153" s="15" t="s">
        <v>303</v>
      </c>
      <c r="D153" s="15" t="s">
        <v>304</v>
      </c>
      <c r="E153" s="19">
        <v>44480</v>
      </c>
      <c r="F153" s="19">
        <v>32476</v>
      </c>
      <c r="G153" s="20">
        <f t="shared" si="2"/>
        <v>0.42200738084100003</v>
      </c>
      <c r="H153" s="24" t="s">
        <v>558</v>
      </c>
      <c r="I153" s="24" t="s">
        <v>556</v>
      </c>
      <c r="J153" s="24" t="s">
        <v>557</v>
      </c>
      <c r="K153" s="24" t="s">
        <v>551</v>
      </c>
    </row>
    <row r="154" spans="1:11">
      <c r="A154" s="12">
        <v>2011</v>
      </c>
      <c r="B154" s="15" t="s">
        <v>294</v>
      </c>
      <c r="C154" s="15" t="s">
        <v>305</v>
      </c>
      <c r="D154" s="15" t="s">
        <v>306</v>
      </c>
      <c r="E154" s="19">
        <v>74761</v>
      </c>
      <c r="F154" s="19">
        <v>62701</v>
      </c>
      <c r="G154" s="20">
        <f t="shared" si="2"/>
        <v>0.45613333139340329</v>
      </c>
      <c r="H154" s="24" t="s">
        <v>558</v>
      </c>
      <c r="I154" s="24" t="s">
        <v>556</v>
      </c>
      <c r="J154" s="24" t="s">
        <v>557</v>
      </c>
      <c r="K154" s="24" t="s">
        <v>551</v>
      </c>
    </row>
    <row r="155" spans="1:11">
      <c r="A155" s="12">
        <v>2011</v>
      </c>
      <c r="B155" s="15" t="s">
        <v>294</v>
      </c>
      <c r="C155" s="15" t="s">
        <v>307</v>
      </c>
      <c r="D155" s="15" t="s">
        <v>308</v>
      </c>
      <c r="E155" s="19">
        <v>118418</v>
      </c>
      <c r="F155" s="19">
        <v>53680</v>
      </c>
      <c r="G155" s="20">
        <f t="shared" si="2"/>
        <v>0.31191530407093632</v>
      </c>
      <c r="H155" s="24" t="s">
        <v>558</v>
      </c>
      <c r="I155" s="24" t="s">
        <v>556</v>
      </c>
      <c r="J155" s="24" t="s">
        <v>557</v>
      </c>
      <c r="K155" s="24" t="s">
        <v>551</v>
      </c>
    </row>
    <row r="156" spans="1:11">
      <c r="A156" s="12">
        <v>2011</v>
      </c>
      <c r="B156" s="15" t="s">
        <v>294</v>
      </c>
      <c r="C156" s="15" t="s">
        <v>309</v>
      </c>
      <c r="D156" s="15" t="s">
        <v>310</v>
      </c>
      <c r="E156" s="19">
        <v>26544</v>
      </c>
      <c r="F156" s="19">
        <v>23273</v>
      </c>
      <c r="G156" s="20">
        <f t="shared" si="2"/>
        <v>0.46716984162033043</v>
      </c>
      <c r="H156" s="24" t="s">
        <v>558</v>
      </c>
      <c r="I156" s="24" t="s">
        <v>556</v>
      </c>
      <c r="J156" s="24" t="s">
        <v>557</v>
      </c>
      <c r="K156" s="24" t="s">
        <v>551</v>
      </c>
    </row>
    <row r="157" spans="1:11">
      <c r="A157" s="12">
        <v>2011</v>
      </c>
      <c r="B157" s="15" t="s">
        <v>294</v>
      </c>
      <c r="C157" s="15" t="s">
        <v>311</v>
      </c>
      <c r="D157" s="15" t="s">
        <v>312</v>
      </c>
      <c r="E157" s="19">
        <v>51736</v>
      </c>
      <c r="F157" s="19">
        <v>39151</v>
      </c>
      <c r="G157" s="20">
        <f t="shared" si="2"/>
        <v>0.4307656760592824</v>
      </c>
      <c r="H157" s="24" t="s">
        <v>558</v>
      </c>
      <c r="I157" s="24" t="s">
        <v>556</v>
      </c>
      <c r="J157" s="24" t="s">
        <v>557</v>
      </c>
      <c r="K157" s="24" t="s">
        <v>551</v>
      </c>
    </row>
    <row r="158" spans="1:11">
      <c r="A158" s="12">
        <v>2011</v>
      </c>
      <c r="B158" s="15" t="s">
        <v>294</v>
      </c>
      <c r="C158" s="15" t="s">
        <v>313</v>
      </c>
      <c r="D158" s="15" t="s">
        <v>314</v>
      </c>
      <c r="E158" s="19">
        <v>93201</v>
      </c>
      <c r="F158" s="19">
        <v>128547</v>
      </c>
      <c r="G158" s="20">
        <f t="shared" si="2"/>
        <v>0.57969857676281189</v>
      </c>
      <c r="H158" s="24" t="s">
        <v>558</v>
      </c>
      <c r="I158" s="24" t="s">
        <v>556</v>
      </c>
      <c r="J158" s="24" t="s">
        <v>557</v>
      </c>
      <c r="K158" s="24" t="s">
        <v>551</v>
      </c>
    </row>
    <row r="159" spans="1:11">
      <c r="A159" s="12">
        <v>2011</v>
      </c>
      <c r="B159" s="15" t="s">
        <v>294</v>
      </c>
      <c r="C159" s="15" t="s">
        <v>315</v>
      </c>
      <c r="D159" s="15" t="s">
        <v>316</v>
      </c>
      <c r="E159" s="19">
        <v>205377</v>
      </c>
      <c r="F159" s="19">
        <v>138123</v>
      </c>
      <c r="G159" s="20">
        <f t="shared" si="2"/>
        <v>0.40210480349344979</v>
      </c>
      <c r="H159" s="24" t="s">
        <v>558</v>
      </c>
      <c r="I159" s="24" t="s">
        <v>556</v>
      </c>
      <c r="J159" s="24" t="s">
        <v>557</v>
      </c>
      <c r="K159" s="24" t="s">
        <v>551</v>
      </c>
    </row>
    <row r="160" spans="1:11">
      <c r="A160" s="12">
        <v>2011</v>
      </c>
      <c r="B160" s="15" t="s">
        <v>294</v>
      </c>
      <c r="C160" s="15" t="s">
        <v>321</v>
      </c>
      <c r="D160" s="15" t="s">
        <v>322</v>
      </c>
      <c r="E160" s="19">
        <v>357146</v>
      </c>
      <c r="F160" s="19">
        <v>227126</v>
      </c>
      <c r="G160" s="20">
        <f t="shared" si="2"/>
        <v>0.38873332968206586</v>
      </c>
      <c r="H160" s="24" t="s">
        <v>558</v>
      </c>
      <c r="I160" s="24" t="s">
        <v>556</v>
      </c>
      <c r="J160" s="24" t="s">
        <v>557</v>
      </c>
      <c r="K160" s="24" t="s">
        <v>551</v>
      </c>
    </row>
    <row r="161" spans="1:11">
      <c r="A161" s="12">
        <v>2011</v>
      </c>
      <c r="B161" s="15" t="s">
        <v>294</v>
      </c>
      <c r="C161" s="15" t="s">
        <v>323</v>
      </c>
      <c r="D161" s="15" t="s">
        <v>324</v>
      </c>
      <c r="E161" s="19">
        <v>180758</v>
      </c>
      <c r="F161" s="19">
        <v>69358</v>
      </c>
      <c r="G161" s="20">
        <f t="shared" si="2"/>
        <v>0.27730333125429801</v>
      </c>
      <c r="H161" s="24" t="s">
        <v>558</v>
      </c>
      <c r="I161" s="24" t="s">
        <v>556</v>
      </c>
      <c r="J161" s="24" t="s">
        <v>557</v>
      </c>
      <c r="K161" s="24" t="s">
        <v>551</v>
      </c>
    </row>
    <row r="162" spans="1:11">
      <c r="A162" s="12">
        <v>2011</v>
      </c>
      <c r="B162" s="15" t="s">
        <v>325</v>
      </c>
      <c r="C162" s="15" t="s">
        <v>22</v>
      </c>
      <c r="D162" s="15" t="s">
        <v>325</v>
      </c>
      <c r="E162" s="19">
        <v>1782013</v>
      </c>
      <c r="F162" s="19">
        <v>787657</v>
      </c>
      <c r="G162" s="20">
        <f t="shared" si="2"/>
        <v>0.30652068164394652</v>
      </c>
      <c r="H162" s="24" t="s">
        <v>558</v>
      </c>
      <c r="I162" s="24" t="s">
        <v>556</v>
      </c>
      <c r="J162" s="24" t="s">
        <v>557</v>
      </c>
      <c r="K162" s="24" t="s">
        <v>551</v>
      </c>
    </row>
    <row r="163" spans="1:11">
      <c r="A163" s="12">
        <v>2011</v>
      </c>
      <c r="B163" s="15" t="s">
        <v>325</v>
      </c>
      <c r="C163" s="15" t="s">
        <v>326</v>
      </c>
      <c r="D163" s="15" t="s">
        <v>327</v>
      </c>
      <c r="E163" s="19">
        <v>32535</v>
      </c>
      <c r="F163" s="19">
        <v>31730</v>
      </c>
      <c r="G163" s="20">
        <f t="shared" si="2"/>
        <v>0.49373687076947015</v>
      </c>
      <c r="H163" s="24" t="s">
        <v>558</v>
      </c>
      <c r="I163" s="24" t="s">
        <v>556</v>
      </c>
      <c r="J163" s="24" t="s">
        <v>557</v>
      </c>
      <c r="K163" s="24" t="s">
        <v>551</v>
      </c>
    </row>
    <row r="164" spans="1:11">
      <c r="A164" s="12">
        <v>2011</v>
      </c>
      <c r="B164" s="15" t="s">
        <v>325</v>
      </c>
      <c r="C164" s="15" t="s">
        <v>328</v>
      </c>
      <c r="D164" s="15" t="s">
        <v>329</v>
      </c>
      <c r="E164" s="19">
        <v>101319</v>
      </c>
      <c r="F164" s="19">
        <v>64799</v>
      </c>
      <c r="G164" s="20">
        <f t="shared" si="2"/>
        <v>0.39007813722775375</v>
      </c>
      <c r="H164" s="24" t="s">
        <v>558</v>
      </c>
      <c r="I164" s="24" t="s">
        <v>556</v>
      </c>
      <c r="J164" s="24" t="s">
        <v>557</v>
      </c>
      <c r="K164" s="24" t="s">
        <v>551</v>
      </c>
    </row>
    <row r="165" spans="1:11">
      <c r="A165" s="12">
        <v>2011</v>
      </c>
      <c r="B165" s="15" t="s">
        <v>325</v>
      </c>
      <c r="C165" s="15" t="s">
        <v>330</v>
      </c>
      <c r="D165" s="15" t="s">
        <v>331</v>
      </c>
      <c r="E165" s="19">
        <v>44838</v>
      </c>
      <c r="F165" s="19">
        <v>36737</v>
      </c>
      <c r="G165" s="20">
        <f t="shared" si="2"/>
        <v>0.45034630707937479</v>
      </c>
      <c r="H165" s="24" t="s">
        <v>558</v>
      </c>
      <c r="I165" s="24" t="s">
        <v>556</v>
      </c>
      <c r="J165" s="24" t="s">
        <v>557</v>
      </c>
      <c r="K165" s="24" t="s">
        <v>551</v>
      </c>
    </row>
    <row r="166" spans="1:11">
      <c r="A166" s="12">
        <v>2011</v>
      </c>
      <c r="B166" s="15" t="s">
        <v>325</v>
      </c>
      <c r="C166" s="15" t="s">
        <v>332</v>
      </c>
      <c r="D166" s="15" t="s">
        <v>333</v>
      </c>
      <c r="E166" s="19">
        <v>106232</v>
      </c>
      <c r="F166" s="19">
        <v>68684</v>
      </c>
      <c r="G166" s="20">
        <f t="shared" si="2"/>
        <v>0.39266848087081802</v>
      </c>
      <c r="H166" s="24" t="s">
        <v>558</v>
      </c>
      <c r="I166" s="24" t="s">
        <v>556</v>
      </c>
      <c r="J166" s="24" t="s">
        <v>557</v>
      </c>
      <c r="K166" s="24" t="s">
        <v>551</v>
      </c>
    </row>
    <row r="167" spans="1:11">
      <c r="A167" s="12">
        <v>2011</v>
      </c>
      <c r="B167" s="15" t="s">
        <v>325</v>
      </c>
      <c r="C167" s="15" t="s">
        <v>334</v>
      </c>
      <c r="D167" s="15" t="s">
        <v>335</v>
      </c>
      <c r="E167" s="19">
        <v>125209</v>
      </c>
      <c r="F167" s="19">
        <v>78555</v>
      </c>
      <c r="G167" s="20">
        <f t="shared" si="2"/>
        <v>0.3855195225849512</v>
      </c>
      <c r="H167" s="24" t="s">
        <v>558</v>
      </c>
      <c r="I167" s="24" t="s">
        <v>556</v>
      </c>
      <c r="J167" s="24" t="s">
        <v>557</v>
      </c>
      <c r="K167" s="24" t="s">
        <v>551</v>
      </c>
    </row>
    <row r="168" spans="1:11">
      <c r="A168" s="12">
        <v>2011</v>
      </c>
      <c r="B168" s="15" t="s">
        <v>325</v>
      </c>
      <c r="C168" s="15" t="s">
        <v>338</v>
      </c>
      <c r="D168" s="15" t="s">
        <v>339</v>
      </c>
      <c r="E168" s="19">
        <v>90714</v>
      </c>
      <c r="F168" s="19">
        <v>47624</v>
      </c>
      <c r="G168" s="20">
        <f t="shared" si="2"/>
        <v>0.34425826598620768</v>
      </c>
      <c r="H168" s="24" t="s">
        <v>558</v>
      </c>
      <c r="I168" s="24" t="s">
        <v>556</v>
      </c>
      <c r="J168" s="24" t="s">
        <v>557</v>
      </c>
      <c r="K168" s="24" t="s">
        <v>551</v>
      </c>
    </row>
    <row r="169" spans="1:11">
      <c r="A169" s="12">
        <v>2011</v>
      </c>
      <c r="B169" s="15" t="s">
        <v>325</v>
      </c>
      <c r="C169" s="15" t="s">
        <v>340</v>
      </c>
      <c r="D169" s="15" t="s">
        <v>341</v>
      </c>
      <c r="E169" s="19">
        <v>59372</v>
      </c>
      <c r="F169" s="19">
        <v>48028</v>
      </c>
      <c r="G169" s="20">
        <f t="shared" si="2"/>
        <v>0.4471880819366853</v>
      </c>
      <c r="H169" s="24" t="s">
        <v>558</v>
      </c>
      <c r="I169" s="24" t="s">
        <v>556</v>
      </c>
      <c r="J169" s="24" t="s">
        <v>557</v>
      </c>
      <c r="K169" s="24" t="s">
        <v>551</v>
      </c>
    </row>
    <row r="170" spans="1:11">
      <c r="A170" s="12">
        <v>2011</v>
      </c>
      <c r="B170" s="15" t="s">
        <v>325</v>
      </c>
      <c r="C170" s="15" t="s">
        <v>342</v>
      </c>
      <c r="D170" s="15" t="s">
        <v>343</v>
      </c>
      <c r="E170" s="19">
        <v>139293</v>
      </c>
      <c r="F170" s="19">
        <v>69425</v>
      </c>
      <c r="G170" s="20">
        <f t="shared" si="2"/>
        <v>0.33262583964967085</v>
      </c>
      <c r="H170" s="24" t="s">
        <v>558</v>
      </c>
      <c r="I170" s="24" t="s">
        <v>556</v>
      </c>
      <c r="J170" s="24" t="s">
        <v>557</v>
      </c>
      <c r="K170" s="24" t="s">
        <v>551</v>
      </c>
    </row>
    <row r="171" spans="1:11">
      <c r="A171" s="12">
        <v>2011</v>
      </c>
      <c r="B171" s="15" t="s">
        <v>325</v>
      </c>
      <c r="C171" s="15" t="s">
        <v>344</v>
      </c>
      <c r="D171" s="15" t="s">
        <v>345</v>
      </c>
      <c r="E171" s="19">
        <v>50249</v>
      </c>
      <c r="F171" s="19">
        <v>36432</v>
      </c>
      <c r="G171" s="20">
        <f t="shared" si="2"/>
        <v>0.42029971966174823</v>
      </c>
      <c r="H171" s="24" t="s">
        <v>558</v>
      </c>
      <c r="I171" s="24" t="s">
        <v>556</v>
      </c>
      <c r="J171" s="24" t="s">
        <v>557</v>
      </c>
      <c r="K171" s="24" t="s">
        <v>551</v>
      </c>
    </row>
    <row r="172" spans="1:11">
      <c r="A172" s="12">
        <v>2011</v>
      </c>
      <c r="B172" s="15" t="s">
        <v>325</v>
      </c>
      <c r="C172" s="15" t="s">
        <v>346</v>
      </c>
      <c r="D172" s="15" t="s">
        <v>347</v>
      </c>
      <c r="E172" s="19">
        <v>215311</v>
      </c>
      <c r="F172" s="19">
        <v>162369</v>
      </c>
      <c r="G172" s="20">
        <f t="shared" si="2"/>
        <v>0.42991156534632491</v>
      </c>
      <c r="H172" s="24" t="s">
        <v>558</v>
      </c>
      <c r="I172" s="24" t="s">
        <v>556</v>
      </c>
      <c r="J172" s="24" t="s">
        <v>557</v>
      </c>
      <c r="K172" s="24" t="s">
        <v>551</v>
      </c>
    </row>
    <row r="173" spans="1:11">
      <c r="A173" s="12">
        <v>2011</v>
      </c>
      <c r="B173" s="15" t="s">
        <v>325</v>
      </c>
      <c r="C173" s="15" t="s">
        <v>348</v>
      </c>
      <c r="D173" s="15" t="s">
        <v>349</v>
      </c>
      <c r="E173" s="19">
        <v>6324</v>
      </c>
      <c r="F173" s="19">
        <v>77378</v>
      </c>
      <c r="G173" s="20">
        <f t="shared" si="2"/>
        <v>0.92444624979092493</v>
      </c>
      <c r="H173" s="24" t="s">
        <v>558</v>
      </c>
      <c r="I173" s="24" t="s">
        <v>556</v>
      </c>
      <c r="J173" s="24" t="s">
        <v>557</v>
      </c>
      <c r="K173" s="24" t="s">
        <v>551</v>
      </c>
    </row>
    <row r="174" spans="1:11">
      <c r="A174" s="12">
        <v>2011</v>
      </c>
      <c r="B174" s="15" t="s">
        <v>325</v>
      </c>
      <c r="C174" s="15" t="s">
        <v>350</v>
      </c>
      <c r="D174" s="15" t="s">
        <v>351</v>
      </c>
      <c r="E174" s="19">
        <v>70114</v>
      </c>
      <c r="F174" s="19">
        <v>51124</v>
      </c>
      <c r="G174" s="20">
        <f t="shared" si="2"/>
        <v>0.42168297068575861</v>
      </c>
      <c r="H174" s="24" t="s">
        <v>558</v>
      </c>
      <c r="I174" s="24" t="s">
        <v>556</v>
      </c>
      <c r="J174" s="24" t="s">
        <v>557</v>
      </c>
      <c r="K174" s="24" t="s">
        <v>551</v>
      </c>
    </row>
    <row r="175" spans="1:11">
      <c r="A175" s="12">
        <v>2011</v>
      </c>
      <c r="B175" s="15" t="s">
        <v>325</v>
      </c>
      <c r="C175" s="15" t="s">
        <v>352</v>
      </c>
      <c r="D175" s="15" t="s">
        <v>353</v>
      </c>
      <c r="E175" s="19">
        <v>499096</v>
      </c>
      <c r="F175" s="19">
        <v>181968</v>
      </c>
      <c r="G175" s="20">
        <f t="shared" si="2"/>
        <v>0.26718193884862507</v>
      </c>
      <c r="H175" s="24" t="s">
        <v>558</v>
      </c>
      <c r="I175" s="24" t="s">
        <v>556</v>
      </c>
      <c r="J175" s="24" t="s">
        <v>557</v>
      </c>
      <c r="K175" s="24" t="s">
        <v>551</v>
      </c>
    </row>
    <row r="176" spans="1:11">
      <c r="A176" s="12">
        <v>2011</v>
      </c>
      <c r="B176" s="15" t="s">
        <v>325</v>
      </c>
      <c r="C176" s="15" t="s">
        <v>358</v>
      </c>
      <c r="D176" s="15" t="s">
        <v>359</v>
      </c>
      <c r="E176" s="19">
        <v>24698</v>
      </c>
      <c r="F176" s="19">
        <v>24304</v>
      </c>
      <c r="G176" s="20">
        <f t="shared" si="2"/>
        <v>0.49597975592832944</v>
      </c>
      <c r="H176" s="24" t="s">
        <v>558</v>
      </c>
      <c r="I176" s="24" t="s">
        <v>556</v>
      </c>
      <c r="J176" s="24" t="s">
        <v>557</v>
      </c>
      <c r="K176" s="24" t="s">
        <v>551</v>
      </c>
    </row>
    <row r="177" spans="1:11">
      <c r="A177" s="12">
        <v>2011</v>
      </c>
      <c r="B177" s="15" t="s">
        <v>325</v>
      </c>
      <c r="C177" s="15" t="s">
        <v>360</v>
      </c>
      <c r="D177" s="15" t="s">
        <v>361</v>
      </c>
      <c r="E177" s="19">
        <v>50801</v>
      </c>
      <c r="F177" s="19">
        <v>41522</v>
      </c>
      <c r="G177" s="20">
        <f t="shared" si="2"/>
        <v>0.44974708360863491</v>
      </c>
      <c r="H177" s="24" t="s">
        <v>558</v>
      </c>
      <c r="I177" s="24" t="s">
        <v>556</v>
      </c>
      <c r="J177" s="24" t="s">
        <v>557</v>
      </c>
      <c r="K177" s="24" t="s">
        <v>551</v>
      </c>
    </row>
    <row r="178" spans="1:11">
      <c r="A178" s="12">
        <v>2011</v>
      </c>
      <c r="B178" s="15" t="s">
        <v>325</v>
      </c>
      <c r="C178" s="15" t="s">
        <v>362</v>
      </c>
      <c r="D178" s="15" t="s">
        <v>363</v>
      </c>
      <c r="E178" s="19">
        <v>74953</v>
      </c>
      <c r="F178" s="19">
        <v>39843</v>
      </c>
      <c r="G178" s="20">
        <f t="shared" si="2"/>
        <v>0.34707655319000663</v>
      </c>
      <c r="H178" s="24" t="s">
        <v>558</v>
      </c>
      <c r="I178" s="24" t="s">
        <v>556</v>
      </c>
      <c r="J178" s="24" t="s">
        <v>557</v>
      </c>
      <c r="K178" s="24" t="s">
        <v>551</v>
      </c>
    </row>
    <row r="179" spans="1:11">
      <c r="A179" s="12">
        <v>2011</v>
      </c>
      <c r="B179" s="15" t="s">
        <v>364</v>
      </c>
      <c r="C179" s="15" t="s">
        <v>22</v>
      </c>
      <c r="D179" s="15" t="s">
        <v>364</v>
      </c>
      <c r="E179" s="19">
        <v>1690225</v>
      </c>
      <c r="F179" s="19">
        <v>370957</v>
      </c>
      <c r="G179" s="20">
        <f t="shared" si="2"/>
        <v>0.17997294756115664</v>
      </c>
      <c r="H179" s="24" t="s">
        <v>555</v>
      </c>
      <c r="I179" s="24" t="s">
        <v>556</v>
      </c>
      <c r="J179" s="24" t="s">
        <v>557</v>
      </c>
      <c r="K179" s="24" t="s">
        <v>551</v>
      </c>
    </row>
    <row r="180" spans="1:11">
      <c r="A180" s="12">
        <v>2011</v>
      </c>
      <c r="B180" s="15" t="s">
        <v>364</v>
      </c>
      <c r="C180" s="15" t="s">
        <v>365</v>
      </c>
      <c r="D180" s="15" t="s">
        <v>366</v>
      </c>
      <c r="E180" s="19">
        <v>48370</v>
      </c>
      <c r="F180" s="19">
        <v>39019</v>
      </c>
      <c r="G180" s="20">
        <f t="shared" si="2"/>
        <v>0.44649784297794914</v>
      </c>
      <c r="H180" s="24" t="s">
        <v>555</v>
      </c>
      <c r="I180" s="24" t="s">
        <v>556</v>
      </c>
      <c r="J180" s="24" t="s">
        <v>557</v>
      </c>
      <c r="K180" s="24" t="s">
        <v>551</v>
      </c>
    </row>
    <row r="181" spans="1:11">
      <c r="A181" s="12">
        <v>2011</v>
      </c>
      <c r="B181" s="15" t="s">
        <v>364</v>
      </c>
      <c r="C181" s="15" t="s">
        <v>367</v>
      </c>
      <c r="D181" s="15" t="s">
        <v>368</v>
      </c>
      <c r="E181" s="19">
        <v>242893</v>
      </c>
      <c r="F181" s="19">
        <v>97823</v>
      </c>
      <c r="G181" s="20">
        <f t="shared" si="2"/>
        <v>0.28711008581927472</v>
      </c>
      <c r="H181" s="24" t="s">
        <v>555</v>
      </c>
      <c r="I181" s="24" t="s">
        <v>556</v>
      </c>
      <c r="J181" s="24" t="s">
        <v>557</v>
      </c>
      <c r="K181" s="24" t="s">
        <v>551</v>
      </c>
    </row>
    <row r="182" spans="1:11">
      <c r="A182" s="12">
        <v>2011</v>
      </c>
      <c r="B182" s="15" t="s">
        <v>364</v>
      </c>
      <c r="C182" s="15" t="s">
        <v>369</v>
      </c>
      <c r="D182" s="15" t="s">
        <v>370</v>
      </c>
      <c r="E182" s="19">
        <v>70783</v>
      </c>
      <c r="F182" s="19">
        <v>62431</v>
      </c>
      <c r="G182" s="20">
        <f t="shared" si="2"/>
        <v>0.46865194348942302</v>
      </c>
      <c r="H182" s="24" t="s">
        <v>555</v>
      </c>
      <c r="I182" s="24" t="s">
        <v>556</v>
      </c>
      <c r="J182" s="24" t="s">
        <v>557</v>
      </c>
      <c r="K182" s="24" t="s">
        <v>551</v>
      </c>
    </row>
    <row r="183" spans="1:11">
      <c r="A183" s="12">
        <v>2011</v>
      </c>
      <c r="B183" s="15" t="s">
        <v>364</v>
      </c>
      <c r="C183" s="15" t="s">
        <v>371</v>
      </c>
      <c r="D183" s="15" t="s">
        <v>372</v>
      </c>
      <c r="E183" s="19">
        <v>75895</v>
      </c>
      <c r="F183" s="19">
        <v>36409</v>
      </c>
      <c r="G183" s="20">
        <f t="shared" si="2"/>
        <v>0.32420038467018092</v>
      </c>
      <c r="H183" s="24" t="s">
        <v>555</v>
      </c>
      <c r="I183" s="24" t="s">
        <v>556</v>
      </c>
      <c r="J183" s="24" t="s">
        <v>557</v>
      </c>
      <c r="K183" s="24" t="s">
        <v>551</v>
      </c>
    </row>
    <row r="184" spans="1:11">
      <c r="A184" s="12">
        <v>2011</v>
      </c>
      <c r="B184" s="15" t="s">
        <v>364</v>
      </c>
      <c r="C184" s="15" t="s">
        <v>373</v>
      </c>
      <c r="D184" s="15" t="s">
        <v>374</v>
      </c>
      <c r="E184" s="19">
        <v>20108</v>
      </c>
      <c r="F184" s="19">
        <v>18624</v>
      </c>
      <c r="G184" s="20">
        <f t="shared" si="2"/>
        <v>0.48084271403490653</v>
      </c>
      <c r="H184" s="24" t="s">
        <v>555</v>
      </c>
      <c r="I184" s="24" t="s">
        <v>556</v>
      </c>
      <c r="J184" s="24" t="s">
        <v>557</v>
      </c>
      <c r="K184" s="24" t="s">
        <v>551</v>
      </c>
    </row>
    <row r="185" spans="1:11">
      <c r="A185" s="12">
        <v>2011</v>
      </c>
      <c r="B185" s="15" t="s">
        <v>364</v>
      </c>
      <c r="C185" s="15" t="s">
        <v>375</v>
      </c>
      <c r="D185" s="15" t="s">
        <v>376</v>
      </c>
      <c r="E185" s="19">
        <v>48968</v>
      </c>
      <c r="F185" s="19">
        <v>32509</v>
      </c>
      <c r="G185" s="20">
        <f t="shared" si="2"/>
        <v>0.39899603569105391</v>
      </c>
      <c r="H185" s="24" t="s">
        <v>555</v>
      </c>
      <c r="I185" s="24" t="s">
        <v>556</v>
      </c>
      <c r="J185" s="24" t="s">
        <v>557</v>
      </c>
      <c r="K185" s="24" t="s">
        <v>551</v>
      </c>
    </row>
    <row r="186" spans="1:11">
      <c r="A186" s="12">
        <v>2011</v>
      </c>
      <c r="B186" s="15" t="s">
        <v>364</v>
      </c>
      <c r="C186" s="15" t="s">
        <v>377</v>
      </c>
      <c r="D186" s="15" t="s">
        <v>378</v>
      </c>
      <c r="E186" s="19">
        <v>22069</v>
      </c>
      <c r="F186" s="19">
        <v>23011</v>
      </c>
      <c r="G186" s="20">
        <f t="shared" si="2"/>
        <v>0.51044809228039045</v>
      </c>
      <c r="H186" s="24" t="s">
        <v>555</v>
      </c>
      <c r="I186" s="24" t="s">
        <v>556</v>
      </c>
      <c r="J186" s="24" t="s">
        <v>557</v>
      </c>
      <c r="K186" s="24" t="s">
        <v>551</v>
      </c>
    </row>
    <row r="187" spans="1:11">
      <c r="A187" s="12">
        <v>2011</v>
      </c>
      <c r="B187" s="15" t="s">
        <v>364</v>
      </c>
      <c r="C187" s="15" t="s">
        <v>379</v>
      </c>
      <c r="D187" s="15" t="s">
        <v>380</v>
      </c>
      <c r="E187" s="19">
        <v>55035</v>
      </c>
      <c r="F187" s="19">
        <v>70091</v>
      </c>
      <c r="G187" s="20">
        <f t="shared" si="2"/>
        <v>0.56016335533781947</v>
      </c>
      <c r="H187" s="24" t="s">
        <v>555</v>
      </c>
      <c r="I187" s="24" t="s">
        <v>556</v>
      </c>
      <c r="J187" s="24" t="s">
        <v>557</v>
      </c>
      <c r="K187" s="24" t="s">
        <v>551</v>
      </c>
    </row>
    <row r="188" spans="1:11">
      <c r="A188" s="12">
        <v>2011</v>
      </c>
      <c r="B188" s="15" t="s">
        <v>364</v>
      </c>
      <c r="C188" s="15" t="s">
        <v>381</v>
      </c>
      <c r="D188" s="15" t="s">
        <v>382</v>
      </c>
      <c r="E188" s="19">
        <v>268138</v>
      </c>
      <c r="F188" s="19">
        <v>99312</v>
      </c>
      <c r="G188" s="20">
        <f t="shared" si="2"/>
        <v>0.27027350659953736</v>
      </c>
      <c r="H188" s="24" t="s">
        <v>555</v>
      </c>
      <c r="I188" s="24" t="s">
        <v>556</v>
      </c>
      <c r="J188" s="24" t="s">
        <v>557</v>
      </c>
      <c r="K188" s="24" t="s">
        <v>551</v>
      </c>
    </row>
    <row r="189" spans="1:11">
      <c r="A189" s="12">
        <v>2011</v>
      </c>
      <c r="B189" s="15" t="s">
        <v>364</v>
      </c>
      <c r="C189" s="15" t="s">
        <v>383</v>
      </c>
      <c r="D189" s="15" t="s">
        <v>384</v>
      </c>
      <c r="E189" s="19">
        <v>21413</v>
      </c>
      <c r="F189" s="19">
        <v>24293</v>
      </c>
      <c r="G189" s="20">
        <f t="shared" si="2"/>
        <v>0.53150571041001182</v>
      </c>
      <c r="H189" s="24" t="s">
        <v>555</v>
      </c>
      <c r="I189" s="24" t="s">
        <v>556</v>
      </c>
      <c r="J189" s="24" t="s">
        <v>557</v>
      </c>
      <c r="K189" s="24" t="s">
        <v>551</v>
      </c>
    </row>
    <row r="190" spans="1:11">
      <c r="A190" s="12">
        <v>2011</v>
      </c>
      <c r="B190" s="15" t="s">
        <v>364</v>
      </c>
      <c r="C190" s="15" t="s">
        <v>385</v>
      </c>
      <c r="D190" s="15" t="s">
        <v>386</v>
      </c>
      <c r="E190" s="19">
        <v>17133</v>
      </c>
      <c r="F190" s="19">
        <v>18620</v>
      </c>
      <c r="G190" s="20">
        <f t="shared" si="2"/>
        <v>0.5207954577238274</v>
      </c>
      <c r="H190" s="24" t="s">
        <v>555</v>
      </c>
      <c r="I190" s="24" t="s">
        <v>556</v>
      </c>
      <c r="J190" s="24" t="s">
        <v>557</v>
      </c>
      <c r="K190" s="24" t="s">
        <v>551</v>
      </c>
    </row>
    <row r="191" spans="1:11">
      <c r="A191" s="12">
        <v>2011</v>
      </c>
      <c r="B191" s="15" t="s">
        <v>364</v>
      </c>
      <c r="C191" s="15" t="s">
        <v>387</v>
      </c>
      <c r="D191" s="15" t="s">
        <v>388</v>
      </c>
      <c r="E191" s="19">
        <v>238138</v>
      </c>
      <c r="F191" s="19">
        <v>165192</v>
      </c>
      <c r="G191" s="20">
        <f t="shared" si="2"/>
        <v>0.40957032702749607</v>
      </c>
      <c r="H191" s="24" t="s">
        <v>555</v>
      </c>
      <c r="I191" s="24" t="s">
        <v>556</v>
      </c>
      <c r="J191" s="24" t="s">
        <v>557</v>
      </c>
      <c r="K191" s="24" t="s">
        <v>551</v>
      </c>
    </row>
    <row r="192" spans="1:11">
      <c r="A192" s="12">
        <v>2011</v>
      </c>
      <c r="B192" s="15" t="s">
        <v>364</v>
      </c>
      <c r="C192" s="15" t="s">
        <v>389</v>
      </c>
      <c r="D192" s="15" t="s">
        <v>390</v>
      </c>
      <c r="E192" s="19">
        <v>311045</v>
      </c>
      <c r="F192" s="19">
        <v>188740</v>
      </c>
      <c r="G192" s="20">
        <f t="shared" si="2"/>
        <v>0.37764238622607721</v>
      </c>
      <c r="H192" s="24" t="s">
        <v>555</v>
      </c>
      <c r="I192" s="24" t="s">
        <v>556</v>
      </c>
      <c r="J192" s="24" t="s">
        <v>557</v>
      </c>
      <c r="K192" s="24" t="s">
        <v>551</v>
      </c>
    </row>
    <row r="193" spans="1:11">
      <c r="A193" s="12">
        <v>2011</v>
      </c>
      <c r="B193" s="15" t="s">
        <v>364</v>
      </c>
      <c r="C193" s="15" t="s">
        <v>391</v>
      </c>
      <c r="D193" s="15" t="s">
        <v>392</v>
      </c>
      <c r="E193" s="19">
        <v>102767</v>
      </c>
      <c r="F193" s="19">
        <v>58827</v>
      </c>
      <c r="G193" s="20">
        <f t="shared" si="2"/>
        <v>0.3640419817567484</v>
      </c>
      <c r="H193" s="24" t="s">
        <v>555</v>
      </c>
      <c r="I193" s="24" t="s">
        <v>556</v>
      </c>
      <c r="J193" s="24" t="s">
        <v>557</v>
      </c>
      <c r="K193" s="24" t="s">
        <v>551</v>
      </c>
    </row>
    <row r="194" spans="1:11">
      <c r="A194" s="12">
        <v>2011</v>
      </c>
      <c r="B194" s="15" t="s">
        <v>364</v>
      </c>
      <c r="C194" s="15" t="s">
        <v>393</v>
      </c>
      <c r="D194" s="15" t="s">
        <v>394</v>
      </c>
      <c r="E194" s="19">
        <v>19216</v>
      </c>
      <c r="F194" s="19">
        <v>22601</v>
      </c>
      <c r="G194" s="20">
        <f t="shared" si="2"/>
        <v>0.54047396991654117</v>
      </c>
      <c r="H194" s="24" t="s">
        <v>555</v>
      </c>
      <c r="I194" s="24" t="s">
        <v>556</v>
      </c>
      <c r="J194" s="24" t="s">
        <v>557</v>
      </c>
      <c r="K194" s="24" t="s">
        <v>551</v>
      </c>
    </row>
    <row r="195" spans="1:11">
      <c r="A195" s="12">
        <v>2011</v>
      </c>
      <c r="B195" s="15" t="s">
        <v>395</v>
      </c>
      <c r="C195" s="15" t="s">
        <v>22</v>
      </c>
      <c r="D195" s="15" t="s">
        <v>395</v>
      </c>
      <c r="E195" s="19">
        <v>1663190</v>
      </c>
      <c r="F195" s="19">
        <v>697529</v>
      </c>
      <c r="G195" s="20">
        <f t="shared" si="2"/>
        <v>0.29547311645308061</v>
      </c>
      <c r="H195" s="24" t="s">
        <v>555</v>
      </c>
      <c r="I195" s="24" t="s">
        <v>556</v>
      </c>
      <c r="J195" s="24" t="s">
        <v>557</v>
      </c>
      <c r="K195" s="24" t="s">
        <v>551</v>
      </c>
    </row>
    <row r="196" spans="1:11">
      <c r="A196" s="12">
        <v>2011</v>
      </c>
      <c r="B196" s="15" t="s">
        <v>395</v>
      </c>
      <c r="C196" s="15" t="s">
        <v>396</v>
      </c>
      <c r="D196" s="15" t="s">
        <v>397</v>
      </c>
      <c r="E196" s="19">
        <v>31487</v>
      </c>
      <c r="F196" s="19">
        <v>29348</v>
      </c>
      <c r="G196" s="20">
        <f t="shared" si="2"/>
        <v>0.48241965973534973</v>
      </c>
      <c r="H196" s="24" t="s">
        <v>555</v>
      </c>
      <c r="I196" s="24" t="s">
        <v>556</v>
      </c>
      <c r="J196" s="24" t="s">
        <v>557</v>
      </c>
      <c r="K196" s="24" t="s">
        <v>551</v>
      </c>
    </row>
    <row r="197" spans="1:11">
      <c r="A197" s="12">
        <v>2011</v>
      </c>
      <c r="B197" s="15" t="s">
        <v>395</v>
      </c>
      <c r="C197" s="15" t="s">
        <v>398</v>
      </c>
      <c r="D197" s="15" t="s">
        <v>399</v>
      </c>
      <c r="E197" s="19">
        <v>60065</v>
      </c>
      <c r="F197" s="19">
        <v>44739</v>
      </c>
      <c r="G197" s="20">
        <f t="shared" si="2"/>
        <v>0.42688256173428496</v>
      </c>
      <c r="H197" s="24" t="s">
        <v>555</v>
      </c>
      <c r="I197" s="24" t="s">
        <v>556</v>
      </c>
      <c r="J197" s="24" t="s">
        <v>557</v>
      </c>
      <c r="K197" s="24" t="s">
        <v>551</v>
      </c>
    </row>
    <row r="198" spans="1:11">
      <c r="A198" s="12">
        <v>2011</v>
      </c>
      <c r="B198" s="15" t="s">
        <v>395</v>
      </c>
      <c r="C198" s="15" t="s">
        <v>400</v>
      </c>
      <c r="D198" s="15" t="s">
        <v>401</v>
      </c>
      <c r="E198" s="19">
        <v>23528</v>
      </c>
      <c r="F198" s="19">
        <v>24834</v>
      </c>
      <c r="G198" s="20">
        <f t="shared" ref="G198:G261" si="3">IFERROR(F198/(E198+F198),"")</f>
        <v>0.51350233654522148</v>
      </c>
      <c r="H198" s="24" t="s">
        <v>555</v>
      </c>
      <c r="I198" s="24" t="s">
        <v>556</v>
      </c>
      <c r="J198" s="24" t="s">
        <v>557</v>
      </c>
      <c r="K198" s="24" t="s">
        <v>551</v>
      </c>
    </row>
    <row r="199" spans="1:11">
      <c r="A199" s="12">
        <v>2011</v>
      </c>
      <c r="B199" s="15" t="s">
        <v>395</v>
      </c>
      <c r="C199" s="15" t="s">
        <v>402</v>
      </c>
      <c r="D199" s="15" t="s">
        <v>403</v>
      </c>
      <c r="E199" s="19">
        <v>122364</v>
      </c>
      <c r="F199" s="19">
        <v>89347</v>
      </c>
      <c r="G199" s="20">
        <f t="shared" si="3"/>
        <v>0.42202341871702465</v>
      </c>
      <c r="H199" s="24" t="s">
        <v>555</v>
      </c>
      <c r="I199" s="24" t="s">
        <v>556</v>
      </c>
      <c r="J199" s="24" t="s">
        <v>557</v>
      </c>
      <c r="K199" s="24" t="s">
        <v>551</v>
      </c>
    </row>
    <row r="200" spans="1:11">
      <c r="A200" s="12">
        <v>2011</v>
      </c>
      <c r="B200" s="15" t="s">
        <v>395</v>
      </c>
      <c r="C200" s="15" t="s">
        <v>404</v>
      </c>
      <c r="D200" s="15" t="s">
        <v>405</v>
      </c>
      <c r="E200" s="19">
        <v>21588</v>
      </c>
      <c r="F200" s="19">
        <v>19894</v>
      </c>
      <c r="G200" s="20">
        <f t="shared" si="3"/>
        <v>0.47958150523118459</v>
      </c>
      <c r="H200" s="24" t="s">
        <v>555</v>
      </c>
      <c r="I200" s="24" t="s">
        <v>556</v>
      </c>
      <c r="J200" s="24" t="s">
        <v>557</v>
      </c>
      <c r="K200" s="24" t="s">
        <v>551</v>
      </c>
    </row>
    <row r="201" spans="1:11">
      <c r="A201" s="12">
        <v>2011</v>
      </c>
      <c r="B201" s="15" t="s">
        <v>395</v>
      </c>
      <c r="C201" s="15" t="s">
        <v>406</v>
      </c>
      <c r="D201" s="15" t="s">
        <v>407</v>
      </c>
      <c r="E201" s="19">
        <v>68860</v>
      </c>
      <c r="F201" s="19">
        <v>55394</v>
      </c>
      <c r="G201" s="20">
        <f t="shared" si="3"/>
        <v>0.44581260965441755</v>
      </c>
      <c r="H201" s="24" t="s">
        <v>555</v>
      </c>
      <c r="I201" s="24" t="s">
        <v>556</v>
      </c>
      <c r="J201" s="24" t="s">
        <v>557</v>
      </c>
      <c r="K201" s="24" t="s">
        <v>551</v>
      </c>
    </row>
    <row r="202" spans="1:11">
      <c r="A202" s="12">
        <v>2011</v>
      </c>
      <c r="B202" s="15" t="s">
        <v>395</v>
      </c>
      <c r="C202" s="15" t="s">
        <v>408</v>
      </c>
      <c r="D202" s="15" t="s">
        <v>409</v>
      </c>
      <c r="E202" s="19">
        <v>32899</v>
      </c>
      <c r="F202" s="19">
        <v>36000</v>
      </c>
      <c r="G202" s="20">
        <f t="shared" si="3"/>
        <v>0.52250395506465985</v>
      </c>
      <c r="H202" s="24" t="s">
        <v>555</v>
      </c>
      <c r="I202" s="24" t="s">
        <v>556</v>
      </c>
      <c r="J202" s="24" t="s">
        <v>557</v>
      </c>
      <c r="K202" s="24" t="s">
        <v>551</v>
      </c>
    </row>
    <row r="203" spans="1:11">
      <c r="A203" s="12">
        <v>2011</v>
      </c>
      <c r="B203" s="15" t="s">
        <v>395</v>
      </c>
      <c r="C203" s="15" t="s">
        <v>410</v>
      </c>
      <c r="D203" s="15" t="s">
        <v>411</v>
      </c>
      <c r="E203" s="19">
        <v>216480</v>
      </c>
      <c r="F203" s="19">
        <v>83862</v>
      </c>
      <c r="G203" s="20">
        <f t="shared" si="3"/>
        <v>0.27922168727650476</v>
      </c>
      <c r="H203" s="24" t="s">
        <v>555</v>
      </c>
      <c r="I203" s="24" t="s">
        <v>556</v>
      </c>
      <c r="J203" s="24" t="s">
        <v>557</v>
      </c>
      <c r="K203" s="24" t="s">
        <v>551</v>
      </c>
    </row>
    <row r="204" spans="1:11">
      <c r="A204" s="12">
        <v>2011</v>
      </c>
      <c r="B204" s="15" t="s">
        <v>395</v>
      </c>
      <c r="C204" s="15" t="s">
        <v>412</v>
      </c>
      <c r="D204" s="15" t="s">
        <v>413</v>
      </c>
      <c r="E204" s="19">
        <v>48993</v>
      </c>
      <c r="F204" s="19">
        <v>59985</v>
      </c>
      <c r="G204" s="20">
        <f t="shared" si="3"/>
        <v>0.55043219732423054</v>
      </c>
      <c r="H204" s="24" t="s">
        <v>555</v>
      </c>
      <c r="I204" s="24" t="s">
        <v>556</v>
      </c>
      <c r="J204" s="24" t="s">
        <v>557</v>
      </c>
      <c r="K204" s="24" t="s">
        <v>551</v>
      </c>
    </row>
    <row r="205" spans="1:11">
      <c r="A205" s="12">
        <v>2011</v>
      </c>
      <c r="B205" s="15" t="s">
        <v>395</v>
      </c>
      <c r="C205" s="15" t="s">
        <v>414</v>
      </c>
      <c r="D205" s="15" t="s">
        <v>415</v>
      </c>
      <c r="E205" s="19">
        <v>36348</v>
      </c>
      <c r="F205" s="19">
        <v>33354</v>
      </c>
      <c r="G205" s="20">
        <f t="shared" si="3"/>
        <v>0.47852285443746234</v>
      </c>
      <c r="H205" s="24" t="s">
        <v>555</v>
      </c>
      <c r="I205" s="24" t="s">
        <v>556</v>
      </c>
      <c r="J205" s="24" t="s">
        <v>557</v>
      </c>
      <c r="K205" s="24" t="s">
        <v>551</v>
      </c>
    </row>
    <row r="206" spans="1:11">
      <c r="A206" s="12">
        <v>2011</v>
      </c>
      <c r="B206" s="15" t="s">
        <v>395</v>
      </c>
      <c r="C206" s="15" t="s">
        <v>416</v>
      </c>
      <c r="D206" s="15" t="s">
        <v>417</v>
      </c>
      <c r="E206" s="19">
        <v>237707</v>
      </c>
      <c r="F206" s="19">
        <v>94932</v>
      </c>
      <c r="G206" s="20">
        <f t="shared" si="3"/>
        <v>0.28539046834556381</v>
      </c>
      <c r="H206" s="24" t="s">
        <v>555</v>
      </c>
      <c r="I206" s="24" t="s">
        <v>556</v>
      </c>
      <c r="J206" s="24" t="s">
        <v>557</v>
      </c>
      <c r="K206" s="24" t="s">
        <v>551</v>
      </c>
    </row>
    <row r="207" spans="1:11">
      <c r="A207" s="12">
        <v>2011</v>
      </c>
      <c r="B207" s="15" t="s">
        <v>395</v>
      </c>
      <c r="C207" s="15" t="s">
        <v>418</v>
      </c>
      <c r="D207" s="15" t="s">
        <v>419</v>
      </c>
      <c r="E207" s="19">
        <v>28761</v>
      </c>
      <c r="F207" s="19">
        <v>38090</v>
      </c>
      <c r="G207" s="20">
        <f t="shared" si="3"/>
        <v>0.56977457330481218</v>
      </c>
      <c r="H207" s="24" t="s">
        <v>555</v>
      </c>
      <c r="I207" s="24" t="s">
        <v>556</v>
      </c>
      <c r="J207" s="24" t="s">
        <v>557</v>
      </c>
      <c r="K207" s="24" t="s">
        <v>551</v>
      </c>
    </row>
    <row r="208" spans="1:11">
      <c r="A208" s="12">
        <v>2011</v>
      </c>
      <c r="B208" s="15" t="s">
        <v>395</v>
      </c>
      <c r="C208" s="15" t="s">
        <v>420</v>
      </c>
      <c r="D208" s="15" t="s">
        <v>421</v>
      </c>
      <c r="E208" s="19">
        <v>258329</v>
      </c>
      <c r="F208" s="19">
        <v>101489</v>
      </c>
      <c r="G208" s="20">
        <f t="shared" si="3"/>
        <v>0.28205648411141188</v>
      </c>
      <c r="H208" s="24" t="s">
        <v>555</v>
      </c>
      <c r="I208" s="24" t="s">
        <v>556</v>
      </c>
      <c r="J208" s="24" t="s">
        <v>557</v>
      </c>
      <c r="K208" s="24" t="s">
        <v>551</v>
      </c>
    </row>
    <row r="209" spans="1:11">
      <c r="A209" s="12">
        <v>2011</v>
      </c>
      <c r="B209" s="15" t="s">
        <v>395</v>
      </c>
      <c r="C209" s="15" t="s">
        <v>422</v>
      </c>
      <c r="D209" s="15" t="s">
        <v>423</v>
      </c>
      <c r="E209" s="19">
        <v>46844</v>
      </c>
      <c r="F209" s="19">
        <v>31373</v>
      </c>
      <c r="G209" s="20">
        <f t="shared" si="3"/>
        <v>0.40110206221153971</v>
      </c>
      <c r="H209" s="24" t="s">
        <v>555</v>
      </c>
      <c r="I209" s="24" t="s">
        <v>556</v>
      </c>
      <c r="J209" s="24" t="s">
        <v>557</v>
      </c>
      <c r="K209" s="24" t="s">
        <v>551</v>
      </c>
    </row>
    <row r="210" spans="1:11">
      <c r="A210" s="12">
        <v>2011</v>
      </c>
      <c r="B210" s="15" t="s">
        <v>395</v>
      </c>
      <c r="C210" s="15" t="s">
        <v>424</v>
      </c>
      <c r="D210" s="15" t="s">
        <v>425</v>
      </c>
      <c r="E210" s="19">
        <v>45117</v>
      </c>
      <c r="F210" s="19">
        <v>49474</v>
      </c>
      <c r="G210" s="20">
        <f t="shared" si="3"/>
        <v>0.52303073231068498</v>
      </c>
      <c r="H210" s="24" t="s">
        <v>555</v>
      </c>
      <c r="I210" s="24" t="s">
        <v>556</v>
      </c>
      <c r="J210" s="24" t="s">
        <v>557</v>
      </c>
      <c r="K210" s="24" t="s">
        <v>551</v>
      </c>
    </row>
    <row r="211" spans="1:11">
      <c r="A211" s="12">
        <v>2011</v>
      </c>
      <c r="B211" s="15" t="s">
        <v>395</v>
      </c>
      <c r="C211" s="15" t="s">
        <v>426</v>
      </c>
      <c r="D211" s="15" t="s">
        <v>427</v>
      </c>
      <c r="E211" s="19">
        <v>44271</v>
      </c>
      <c r="F211" s="19">
        <v>39441</v>
      </c>
      <c r="G211" s="20">
        <f t="shared" si="3"/>
        <v>0.47115108944954126</v>
      </c>
      <c r="H211" s="24" t="s">
        <v>555</v>
      </c>
      <c r="I211" s="24" t="s">
        <v>556</v>
      </c>
      <c r="J211" s="24" t="s">
        <v>557</v>
      </c>
      <c r="K211" s="24" t="s">
        <v>551</v>
      </c>
    </row>
    <row r="212" spans="1:11">
      <c r="A212" s="12">
        <v>2011</v>
      </c>
      <c r="B212" s="15" t="s">
        <v>395</v>
      </c>
      <c r="C212" s="15" t="s">
        <v>428</v>
      </c>
      <c r="D212" s="15" t="s">
        <v>429</v>
      </c>
      <c r="E212" s="19">
        <v>31940</v>
      </c>
      <c r="F212" s="19">
        <v>35029</v>
      </c>
      <c r="G212" s="20">
        <f t="shared" si="3"/>
        <v>0.5230629097044901</v>
      </c>
      <c r="H212" s="24" t="s">
        <v>555</v>
      </c>
      <c r="I212" s="24" t="s">
        <v>556</v>
      </c>
      <c r="J212" s="24" t="s">
        <v>557</v>
      </c>
      <c r="K212" s="24" t="s">
        <v>551</v>
      </c>
    </row>
    <row r="213" spans="1:11">
      <c r="A213" s="12">
        <v>2011</v>
      </c>
      <c r="B213" s="15" t="s">
        <v>395</v>
      </c>
      <c r="C213" s="15" t="s">
        <v>430</v>
      </c>
      <c r="D213" s="15" t="s">
        <v>431</v>
      </c>
      <c r="E213" s="19">
        <v>34282</v>
      </c>
      <c r="F213" s="19">
        <v>26135</v>
      </c>
      <c r="G213" s="20">
        <f t="shared" si="3"/>
        <v>0.43257692371352435</v>
      </c>
      <c r="H213" s="24" t="s">
        <v>555</v>
      </c>
      <c r="I213" s="24" t="s">
        <v>556</v>
      </c>
      <c r="J213" s="24" t="s">
        <v>557</v>
      </c>
      <c r="K213" s="24" t="s">
        <v>551</v>
      </c>
    </row>
    <row r="214" spans="1:11">
      <c r="A214" s="12">
        <v>2011</v>
      </c>
      <c r="B214" s="15" t="s">
        <v>395</v>
      </c>
      <c r="C214" s="15" t="s">
        <v>432</v>
      </c>
      <c r="D214" s="15" t="s">
        <v>433</v>
      </c>
      <c r="E214" s="19">
        <v>26522</v>
      </c>
      <c r="F214" s="19">
        <v>25248</v>
      </c>
      <c r="G214" s="20">
        <f t="shared" si="3"/>
        <v>0.48769557658875795</v>
      </c>
      <c r="H214" s="24" t="s">
        <v>555</v>
      </c>
      <c r="I214" s="24" t="s">
        <v>556</v>
      </c>
      <c r="J214" s="24" t="s">
        <v>557</v>
      </c>
      <c r="K214" s="24" t="s">
        <v>551</v>
      </c>
    </row>
    <row r="215" spans="1:11">
      <c r="A215" s="12">
        <v>2011</v>
      </c>
      <c r="B215" s="15" t="s">
        <v>395</v>
      </c>
      <c r="C215" s="15" t="s">
        <v>434</v>
      </c>
      <c r="D215" s="15" t="s">
        <v>435</v>
      </c>
      <c r="E215" s="19">
        <v>26739</v>
      </c>
      <c r="F215" s="19">
        <v>28359</v>
      </c>
      <c r="G215" s="20">
        <f t="shared" si="3"/>
        <v>0.51470107807905918</v>
      </c>
      <c r="H215" s="24" t="s">
        <v>555</v>
      </c>
      <c r="I215" s="24" t="s">
        <v>556</v>
      </c>
      <c r="J215" s="24" t="s">
        <v>557</v>
      </c>
      <c r="K215" s="24" t="s">
        <v>551</v>
      </c>
    </row>
    <row r="216" spans="1:11">
      <c r="A216" s="12">
        <v>2011</v>
      </c>
      <c r="B216" s="15" t="s">
        <v>395</v>
      </c>
      <c r="C216" s="15" t="s">
        <v>436</v>
      </c>
      <c r="D216" s="15" t="s">
        <v>437</v>
      </c>
      <c r="E216" s="19">
        <v>64578</v>
      </c>
      <c r="F216" s="19">
        <v>44992</v>
      </c>
      <c r="G216" s="20">
        <f t="shared" si="3"/>
        <v>0.41062334580633386</v>
      </c>
      <c r="H216" s="24" t="s">
        <v>555</v>
      </c>
      <c r="I216" s="24" t="s">
        <v>556</v>
      </c>
      <c r="J216" s="24" t="s">
        <v>557</v>
      </c>
      <c r="K216" s="24" t="s">
        <v>551</v>
      </c>
    </row>
    <row r="217" spans="1:11">
      <c r="A217" s="12">
        <v>2011</v>
      </c>
      <c r="B217" s="15" t="s">
        <v>395</v>
      </c>
      <c r="C217" s="15" t="s">
        <v>438</v>
      </c>
      <c r="D217" s="15" t="s">
        <v>439</v>
      </c>
      <c r="E217" s="19">
        <v>54147</v>
      </c>
      <c r="F217" s="19">
        <v>42352</v>
      </c>
      <c r="G217" s="20">
        <f t="shared" si="3"/>
        <v>0.43888537705053937</v>
      </c>
      <c r="H217" s="24" t="s">
        <v>555</v>
      </c>
      <c r="I217" s="24" t="s">
        <v>556</v>
      </c>
      <c r="J217" s="24" t="s">
        <v>557</v>
      </c>
      <c r="K217" s="24" t="s">
        <v>551</v>
      </c>
    </row>
    <row r="218" spans="1:11">
      <c r="A218" s="12">
        <v>2011</v>
      </c>
      <c r="B218" s="15" t="s">
        <v>440</v>
      </c>
      <c r="C218" s="15" t="s">
        <v>22</v>
      </c>
      <c r="D218" s="15" t="s">
        <v>440</v>
      </c>
      <c r="E218" s="19">
        <v>2340199</v>
      </c>
      <c r="F218" s="19">
        <v>925319</v>
      </c>
      <c r="G218" s="20">
        <f t="shared" si="3"/>
        <v>0.28336055719184522</v>
      </c>
      <c r="H218" s="24" t="s">
        <v>552</v>
      </c>
      <c r="I218" s="24" t="s">
        <v>553</v>
      </c>
      <c r="J218" s="24" t="s">
        <v>554</v>
      </c>
      <c r="K218" s="24" t="s">
        <v>551</v>
      </c>
    </row>
    <row r="219" spans="1:11">
      <c r="A219" s="12">
        <v>2011</v>
      </c>
      <c r="B219" s="15" t="s">
        <v>440</v>
      </c>
      <c r="C219" s="15" t="s">
        <v>441</v>
      </c>
      <c r="D219" s="15" t="s">
        <v>442</v>
      </c>
      <c r="E219" s="19">
        <v>198137</v>
      </c>
      <c r="F219" s="19">
        <v>141533</v>
      </c>
      <c r="G219" s="20">
        <f t="shared" si="3"/>
        <v>0.41667795213000852</v>
      </c>
      <c r="H219" s="24" t="s">
        <v>552</v>
      </c>
      <c r="I219" s="24" t="s">
        <v>559</v>
      </c>
      <c r="J219" s="24" t="s">
        <v>560</v>
      </c>
      <c r="K219" s="24" t="s">
        <v>551</v>
      </c>
    </row>
    <row r="220" spans="1:11">
      <c r="A220" s="12">
        <v>2011</v>
      </c>
      <c r="B220" s="15" t="s">
        <v>440</v>
      </c>
      <c r="C220" s="15" t="s">
        <v>443</v>
      </c>
      <c r="D220" s="15" t="s">
        <v>444</v>
      </c>
      <c r="E220" s="19">
        <v>222245</v>
      </c>
      <c r="F220" s="19">
        <v>111204</v>
      </c>
      <c r="G220" s="20">
        <f t="shared" si="3"/>
        <v>0.33349627679195321</v>
      </c>
      <c r="H220" s="24" t="s">
        <v>552</v>
      </c>
      <c r="I220" s="24" t="s">
        <v>553</v>
      </c>
      <c r="J220" s="24" t="s">
        <v>554</v>
      </c>
      <c r="K220" s="24" t="s">
        <v>551</v>
      </c>
    </row>
    <row r="221" spans="1:11">
      <c r="A221" s="12">
        <v>2011</v>
      </c>
      <c r="B221" s="15" t="s">
        <v>440</v>
      </c>
      <c r="C221" s="15" t="s">
        <v>445</v>
      </c>
      <c r="D221" s="15" t="s">
        <v>446</v>
      </c>
      <c r="E221" s="19">
        <v>22843</v>
      </c>
      <c r="F221" s="19">
        <v>27811</v>
      </c>
      <c r="G221" s="20">
        <f t="shared" si="3"/>
        <v>0.54903857543333201</v>
      </c>
      <c r="H221" s="24" t="s">
        <v>552</v>
      </c>
      <c r="I221" s="24" t="s">
        <v>559</v>
      </c>
      <c r="J221" s="24" t="s">
        <v>560</v>
      </c>
      <c r="K221" s="24" t="s">
        <v>551</v>
      </c>
    </row>
    <row r="222" spans="1:11">
      <c r="A222" s="12">
        <v>2011</v>
      </c>
      <c r="B222" s="15" t="s">
        <v>440</v>
      </c>
      <c r="C222" s="15" t="s">
        <v>447</v>
      </c>
      <c r="D222" s="15" t="s">
        <v>448</v>
      </c>
      <c r="E222" s="19">
        <v>360144</v>
      </c>
      <c r="F222" s="19">
        <v>142325</v>
      </c>
      <c r="G222" s="20">
        <f t="shared" si="3"/>
        <v>0.28325130505563528</v>
      </c>
      <c r="H222" s="24" t="s">
        <v>552</v>
      </c>
      <c r="I222" s="24" t="s">
        <v>559</v>
      </c>
      <c r="J222" s="24" t="s">
        <v>560</v>
      </c>
      <c r="K222" s="24" t="s">
        <v>551</v>
      </c>
    </row>
    <row r="223" spans="1:11">
      <c r="A223" s="12">
        <v>2011</v>
      </c>
      <c r="B223" s="15" t="s">
        <v>440</v>
      </c>
      <c r="C223" s="15" t="s">
        <v>105</v>
      </c>
      <c r="D223" s="15" t="s">
        <v>449</v>
      </c>
      <c r="E223" s="19">
        <v>16924</v>
      </c>
      <c r="F223" s="19">
        <v>18958</v>
      </c>
      <c r="G223" s="20">
        <f t="shared" si="3"/>
        <v>0.52834290173345966</v>
      </c>
      <c r="H223" s="24" t="s">
        <v>552</v>
      </c>
      <c r="I223" s="24" t="s">
        <v>559</v>
      </c>
      <c r="J223" s="24" t="s">
        <v>560</v>
      </c>
      <c r="K223" s="24" t="s">
        <v>551</v>
      </c>
    </row>
    <row r="224" spans="1:11">
      <c r="A224" s="12">
        <v>2011</v>
      </c>
      <c r="B224" s="15" t="s">
        <v>440</v>
      </c>
      <c r="C224" s="15" t="s">
        <v>450</v>
      </c>
      <c r="D224" s="15" t="s">
        <v>451</v>
      </c>
      <c r="E224" s="19">
        <v>110982</v>
      </c>
      <c r="F224" s="19">
        <v>63238</v>
      </c>
      <c r="G224" s="20">
        <f t="shared" si="3"/>
        <v>0.36297784410515438</v>
      </c>
      <c r="H224" s="24" t="s">
        <v>552</v>
      </c>
      <c r="I224" s="24" t="s">
        <v>553</v>
      </c>
      <c r="J224" s="24" t="s">
        <v>554</v>
      </c>
      <c r="K224" s="24" t="s">
        <v>551</v>
      </c>
    </row>
    <row r="225" spans="1:11">
      <c r="A225" s="12">
        <v>2011</v>
      </c>
      <c r="B225" s="15" t="s">
        <v>440</v>
      </c>
      <c r="C225" s="15" t="s">
        <v>452</v>
      </c>
      <c r="D225" s="15" t="s">
        <v>453</v>
      </c>
      <c r="E225" s="19">
        <v>64084</v>
      </c>
      <c r="F225" s="19">
        <v>37738</v>
      </c>
      <c r="G225" s="20">
        <f t="shared" si="3"/>
        <v>0.3706271729095873</v>
      </c>
      <c r="H225" s="24" t="s">
        <v>552</v>
      </c>
      <c r="I225" s="24" t="s">
        <v>559</v>
      </c>
      <c r="J225" s="24" t="s">
        <v>560</v>
      </c>
      <c r="K225" s="24" t="s">
        <v>551</v>
      </c>
    </row>
    <row r="226" spans="1:11">
      <c r="A226" s="12">
        <v>2011</v>
      </c>
      <c r="B226" s="15" t="s">
        <v>440</v>
      </c>
      <c r="C226" s="15" t="s">
        <v>454</v>
      </c>
      <c r="D226" s="15" t="s">
        <v>455</v>
      </c>
      <c r="E226" s="19">
        <v>23767</v>
      </c>
      <c r="F226" s="19">
        <v>26995</v>
      </c>
      <c r="G226" s="20">
        <f t="shared" si="3"/>
        <v>0.53179543753201208</v>
      </c>
      <c r="H226" s="24" t="s">
        <v>552</v>
      </c>
      <c r="I226" s="24" t="s">
        <v>559</v>
      </c>
      <c r="J226" s="24" t="s">
        <v>560</v>
      </c>
      <c r="K226" s="24" t="s">
        <v>551</v>
      </c>
    </row>
    <row r="227" spans="1:11">
      <c r="A227" s="12">
        <v>2011</v>
      </c>
      <c r="B227" s="15" t="s">
        <v>440</v>
      </c>
      <c r="C227" s="15" t="s">
        <v>456</v>
      </c>
      <c r="D227" s="15" t="s">
        <v>457</v>
      </c>
      <c r="E227" s="19">
        <v>87458</v>
      </c>
      <c r="F227" s="19">
        <v>53591</v>
      </c>
      <c r="G227" s="20">
        <f t="shared" si="3"/>
        <v>0.37994597622102955</v>
      </c>
      <c r="H227" s="24" t="s">
        <v>552</v>
      </c>
      <c r="I227" s="24" t="s">
        <v>559</v>
      </c>
      <c r="J227" s="24" t="s">
        <v>560</v>
      </c>
      <c r="K227" s="24" t="s">
        <v>551</v>
      </c>
    </row>
    <row r="228" spans="1:11">
      <c r="A228" s="12">
        <v>2011</v>
      </c>
      <c r="B228" s="15" t="s">
        <v>440</v>
      </c>
      <c r="C228" s="15" t="s">
        <v>458</v>
      </c>
      <c r="D228" s="15" t="s">
        <v>459</v>
      </c>
      <c r="E228" s="19">
        <v>31613</v>
      </c>
      <c r="F228" s="19">
        <v>34330</v>
      </c>
      <c r="G228" s="20">
        <f t="shared" si="3"/>
        <v>0.5206011252142001</v>
      </c>
      <c r="H228" s="24" t="s">
        <v>552</v>
      </c>
      <c r="I228" s="24" t="s">
        <v>559</v>
      </c>
      <c r="J228" s="24" t="s">
        <v>560</v>
      </c>
      <c r="K228" s="24" t="s">
        <v>551</v>
      </c>
    </row>
    <row r="229" spans="1:11">
      <c r="A229" s="12">
        <v>2011</v>
      </c>
      <c r="B229" s="15" t="s">
        <v>440</v>
      </c>
      <c r="C229" s="15" t="s">
        <v>460</v>
      </c>
      <c r="D229" s="15" t="s">
        <v>461</v>
      </c>
      <c r="E229" s="19">
        <v>146551</v>
      </c>
      <c r="F229" s="19">
        <v>51807</v>
      </c>
      <c r="G229" s="20">
        <f t="shared" si="3"/>
        <v>0.2611792819044354</v>
      </c>
      <c r="H229" s="24" t="s">
        <v>552</v>
      </c>
      <c r="I229" s="24" t="s">
        <v>553</v>
      </c>
      <c r="J229" s="24" t="s">
        <v>554</v>
      </c>
      <c r="K229" s="24" t="s">
        <v>551</v>
      </c>
    </row>
    <row r="230" spans="1:11">
      <c r="A230" s="12">
        <v>2011</v>
      </c>
      <c r="B230" s="15" t="s">
        <v>440</v>
      </c>
      <c r="C230" s="15" t="s">
        <v>462</v>
      </c>
      <c r="D230" s="15" t="s">
        <v>463</v>
      </c>
      <c r="E230" s="19">
        <v>32052</v>
      </c>
      <c r="F230" s="19">
        <v>31100</v>
      </c>
      <c r="G230" s="20">
        <f t="shared" si="3"/>
        <v>0.49246262984545225</v>
      </c>
      <c r="H230" s="24" t="s">
        <v>552</v>
      </c>
      <c r="I230" s="24" t="s">
        <v>559</v>
      </c>
      <c r="J230" s="24" t="s">
        <v>560</v>
      </c>
      <c r="K230" s="24" t="s">
        <v>551</v>
      </c>
    </row>
    <row r="231" spans="1:11">
      <c r="A231" s="12">
        <v>2011</v>
      </c>
      <c r="B231" s="15" t="s">
        <v>440</v>
      </c>
      <c r="C231" s="15" t="s">
        <v>464</v>
      </c>
      <c r="D231" s="15" t="s">
        <v>465</v>
      </c>
      <c r="E231" s="19">
        <v>12855</v>
      </c>
      <c r="F231" s="19">
        <v>14578</v>
      </c>
      <c r="G231" s="20">
        <f t="shared" si="3"/>
        <v>0.53140378376407971</v>
      </c>
      <c r="H231" s="24" t="s">
        <v>552</v>
      </c>
      <c r="I231" s="24" t="s">
        <v>559</v>
      </c>
      <c r="J231" s="24" t="s">
        <v>560</v>
      </c>
      <c r="K231" s="24" t="s">
        <v>551</v>
      </c>
    </row>
    <row r="232" spans="1:11">
      <c r="A232" s="12">
        <v>2011</v>
      </c>
      <c r="B232" s="15" t="s">
        <v>440</v>
      </c>
      <c r="C232" s="15" t="s">
        <v>466</v>
      </c>
      <c r="D232" s="15" t="s">
        <v>467</v>
      </c>
      <c r="E232" s="19">
        <v>96455</v>
      </c>
      <c r="F232" s="19">
        <v>55769</v>
      </c>
      <c r="G232" s="20">
        <f t="shared" si="3"/>
        <v>0.36636141475719991</v>
      </c>
      <c r="H232" s="24" t="s">
        <v>552</v>
      </c>
      <c r="I232" s="24" t="s">
        <v>559</v>
      </c>
      <c r="J232" s="24" t="s">
        <v>560</v>
      </c>
      <c r="K232" s="24" t="s">
        <v>551</v>
      </c>
    </row>
    <row r="233" spans="1:11">
      <c r="A233" s="12">
        <v>2011</v>
      </c>
      <c r="B233" s="15" t="s">
        <v>440</v>
      </c>
      <c r="C233" s="15" t="s">
        <v>468</v>
      </c>
      <c r="D233" s="15" t="s">
        <v>469</v>
      </c>
      <c r="E233" s="19">
        <v>83276</v>
      </c>
      <c r="F233" s="19">
        <v>57349</v>
      </c>
      <c r="G233" s="20">
        <f t="shared" si="3"/>
        <v>0.40781511111111113</v>
      </c>
      <c r="H233" s="24" t="s">
        <v>552</v>
      </c>
      <c r="I233" s="24" t="s">
        <v>559</v>
      </c>
      <c r="J233" s="24" t="s">
        <v>560</v>
      </c>
      <c r="K233" s="24" t="s">
        <v>551</v>
      </c>
    </row>
    <row r="234" spans="1:11">
      <c r="A234" s="12">
        <v>2011</v>
      </c>
      <c r="B234" s="15" t="s">
        <v>440</v>
      </c>
      <c r="C234" s="15" t="s">
        <v>470</v>
      </c>
      <c r="D234" s="15" t="s">
        <v>471</v>
      </c>
      <c r="E234" s="19">
        <v>34869</v>
      </c>
      <c r="F234" s="19">
        <v>34190</v>
      </c>
      <c r="G234" s="20">
        <f t="shared" si="3"/>
        <v>0.49508391375490524</v>
      </c>
      <c r="H234" s="24" t="s">
        <v>552</v>
      </c>
      <c r="I234" s="24" t="s">
        <v>559</v>
      </c>
      <c r="J234" s="24" t="s">
        <v>560</v>
      </c>
      <c r="K234" s="24" t="s">
        <v>551</v>
      </c>
    </row>
    <row r="235" spans="1:11">
      <c r="A235" s="12">
        <v>2011</v>
      </c>
      <c r="B235" s="15" t="s">
        <v>440</v>
      </c>
      <c r="C235" s="15" t="s">
        <v>472</v>
      </c>
      <c r="D235" s="15" t="s">
        <v>473</v>
      </c>
      <c r="E235" s="19">
        <v>7141</v>
      </c>
      <c r="F235" s="19">
        <v>7958</v>
      </c>
      <c r="G235" s="20">
        <f t="shared" si="3"/>
        <v>0.52705477183919469</v>
      </c>
      <c r="H235" s="24" t="s">
        <v>552</v>
      </c>
      <c r="I235" s="24" t="s">
        <v>559</v>
      </c>
      <c r="J235" s="24" t="s">
        <v>560</v>
      </c>
      <c r="K235" s="24" t="s">
        <v>551</v>
      </c>
    </row>
    <row r="236" spans="1:11">
      <c r="A236" s="12">
        <v>2011</v>
      </c>
      <c r="B236" s="15" t="s">
        <v>440</v>
      </c>
      <c r="C236" s="15" t="s">
        <v>474</v>
      </c>
      <c r="D236" s="15" t="s">
        <v>475</v>
      </c>
      <c r="E236" s="19">
        <v>42975</v>
      </c>
      <c r="F236" s="19">
        <v>30980</v>
      </c>
      <c r="G236" s="20">
        <f t="shared" si="3"/>
        <v>0.41890338719491582</v>
      </c>
      <c r="H236" s="24" t="s">
        <v>552</v>
      </c>
      <c r="I236" s="24" t="s">
        <v>559</v>
      </c>
      <c r="J236" s="24" t="s">
        <v>560</v>
      </c>
      <c r="K236" s="24" t="s">
        <v>551</v>
      </c>
    </row>
    <row r="237" spans="1:11">
      <c r="A237" s="12">
        <v>2011</v>
      </c>
      <c r="B237" s="15" t="s">
        <v>440</v>
      </c>
      <c r="C237" s="15" t="s">
        <v>476</v>
      </c>
      <c r="D237" s="15" t="s">
        <v>477</v>
      </c>
      <c r="E237" s="19">
        <v>45304</v>
      </c>
      <c r="F237" s="19">
        <v>40669</v>
      </c>
      <c r="G237" s="20">
        <f t="shared" si="3"/>
        <v>0.47304386260802811</v>
      </c>
      <c r="H237" s="24" t="s">
        <v>552</v>
      </c>
      <c r="I237" s="24" t="s">
        <v>559</v>
      </c>
      <c r="J237" s="24" t="s">
        <v>560</v>
      </c>
      <c r="K237" s="24" t="s">
        <v>551</v>
      </c>
    </row>
    <row r="238" spans="1:11">
      <c r="A238" s="12">
        <v>2011</v>
      </c>
      <c r="B238" s="15" t="s">
        <v>440</v>
      </c>
      <c r="C238" s="15" t="s">
        <v>478</v>
      </c>
      <c r="D238" s="15" t="s">
        <v>479</v>
      </c>
      <c r="E238" s="19">
        <v>33102</v>
      </c>
      <c r="F238" s="19">
        <v>31267</v>
      </c>
      <c r="G238" s="20">
        <f t="shared" si="3"/>
        <v>0.48574624431014929</v>
      </c>
      <c r="H238" s="24" t="s">
        <v>552</v>
      </c>
      <c r="I238" s="24" t="s">
        <v>559</v>
      </c>
      <c r="J238" s="24" t="s">
        <v>560</v>
      </c>
      <c r="K238" s="24" t="s">
        <v>551</v>
      </c>
    </row>
    <row r="239" spans="1:11">
      <c r="A239" s="12">
        <v>2011</v>
      </c>
      <c r="B239" s="15" t="s">
        <v>440</v>
      </c>
      <c r="C239" s="15" t="s">
        <v>480</v>
      </c>
      <c r="D239" s="15" t="s">
        <v>481</v>
      </c>
      <c r="E239" s="19">
        <v>19300</v>
      </c>
      <c r="F239" s="19">
        <v>20722</v>
      </c>
      <c r="G239" s="20">
        <f t="shared" si="3"/>
        <v>0.51776522912398182</v>
      </c>
      <c r="H239" s="24" t="s">
        <v>552</v>
      </c>
      <c r="I239" s="24" t="s">
        <v>559</v>
      </c>
      <c r="J239" s="24" t="s">
        <v>560</v>
      </c>
      <c r="K239" s="24" t="s">
        <v>551</v>
      </c>
    </row>
    <row r="240" spans="1:11">
      <c r="A240" s="12">
        <v>2011</v>
      </c>
      <c r="B240" s="15" t="s">
        <v>440</v>
      </c>
      <c r="C240" s="15" t="s">
        <v>482</v>
      </c>
      <c r="D240" s="15" t="s">
        <v>483</v>
      </c>
      <c r="E240" s="19">
        <v>88611</v>
      </c>
      <c r="F240" s="19">
        <v>83086</v>
      </c>
      <c r="G240" s="20">
        <f t="shared" si="3"/>
        <v>0.48391060996988883</v>
      </c>
      <c r="H240" s="24" t="s">
        <v>552</v>
      </c>
      <c r="I240" s="24" t="s">
        <v>559</v>
      </c>
      <c r="J240" s="24" t="s">
        <v>560</v>
      </c>
      <c r="K240" s="24" t="s">
        <v>551</v>
      </c>
    </row>
    <row r="241" spans="1:11">
      <c r="A241" s="12">
        <v>2011</v>
      </c>
      <c r="B241" s="15" t="s">
        <v>440</v>
      </c>
      <c r="C241" s="15" t="s">
        <v>484</v>
      </c>
      <c r="D241" s="15" t="s">
        <v>485</v>
      </c>
      <c r="E241" s="19">
        <v>202455</v>
      </c>
      <c r="F241" s="19">
        <v>167818</v>
      </c>
      <c r="G241" s="20">
        <f t="shared" si="3"/>
        <v>0.45322775357641526</v>
      </c>
      <c r="H241" s="24" t="s">
        <v>552</v>
      </c>
      <c r="I241" s="24" t="s">
        <v>553</v>
      </c>
      <c r="J241" s="24" t="s">
        <v>554</v>
      </c>
      <c r="K241" s="24" t="s">
        <v>551</v>
      </c>
    </row>
    <row r="242" spans="1:11">
      <c r="A242" s="12">
        <v>2011</v>
      </c>
      <c r="B242" s="15" t="s">
        <v>440</v>
      </c>
      <c r="C242" s="15" t="s">
        <v>486</v>
      </c>
      <c r="D242" s="15" t="s">
        <v>487</v>
      </c>
      <c r="E242" s="19">
        <v>221416</v>
      </c>
      <c r="F242" s="19">
        <v>145023</v>
      </c>
      <c r="G242" s="20">
        <f t="shared" si="3"/>
        <v>0.39576300557527994</v>
      </c>
      <c r="H242" s="24" t="s">
        <v>552</v>
      </c>
      <c r="I242" s="24" t="s">
        <v>553</v>
      </c>
      <c r="J242" s="24" t="s">
        <v>554</v>
      </c>
      <c r="K242" s="24" t="s">
        <v>551</v>
      </c>
    </row>
    <row r="243" spans="1:11">
      <c r="A243" s="12">
        <v>2011</v>
      </c>
      <c r="B243" s="15" t="s">
        <v>488</v>
      </c>
      <c r="C243" s="15" t="s">
        <v>22</v>
      </c>
      <c r="D243" s="15" t="s">
        <v>488</v>
      </c>
      <c r="E243" s="19">
        <v>2957974</v>
      </c>
      <c r="F243" s="19">
        <v>841053</v>
      </c>
      <c r="G243" s="20">
        <f t="shared" si="3"/>
        <v>0.22138642341841741</v>
      </c>
      <c r="H243" s="24" t="s">
        <v>552</v>
      </c>
      <c r="I243" s="24" t="s">
        <v>559</v>
      </c>
      <c r="J243" s="24" t="s">
        <v>560</v>
      </c>
      <c r="K243" s="24" t="s">
        <v>551</v>
      </c>
    </row>
    <row r="244" spans="1:11">
      <c r="A244" s="12">
        <v>2011</v>
      </c>
      <c r="B244" s="15" t="s">
        <v>488</v>
      </c>
      <c r="C244" s="15" t="s">
        <v>489</v>
      </c>
      <c r="D244" s="15" t="s">
        <v>490</v>
      </c>
      <c r="E244" s="19">
        <v>205236</v>
      </c>
      <c r="F244" s="19">
        <v>102441</v>
      </c>
      <c r="G244" s="20">
        <f t="shared" si="3"/>
        <v>0.33294981425325909</v>
      </c>
      <c r="H244" s="24" t="s">
        <v>552</v>
      </c>
      <c r="I244" s="24" t="s">
        <v>559</v>
      </c>
      <c r="J244" s="24" t="s">
        <v>560</v>
      </c>
      <c r="K244" s="24" t="s">
        <v>551</v>
      </c>
    </row>
    <row r="245" spans="1:11">
      <c r="A245" s="12">
        <v>2011</v>
      </c>
      <c r="B245" s="15" t="s">
        <v>488</v>
      </c>
      <c r="C245" s="15" t="s">
        <v>491</v>
      </c>
      <c r="D245" s="15" t="s">
        <v>492</v>
      </c>
      <c r="E245" s="19">
        <v>54006</v>
      </c>
      <c r="F245" s="19">
        <v>30217</v>
      </c>
      <c r="G245" s="20">
        <f t="shared" si="3"/>
        <v>0.35877373164100068</v>
      </c>
      <c r="H245" s="24" t="s">
        <v>552</v>
      </c>
      <c r="I245" s="24" t="s">
        <v>559</v>
      </c>
      <c r="J245" s="24" t="s">
        <v>560</v>
      </c>
      <c r="K245" s="24" t="s">
        <v>551</v>
      </c>
    </row>
    <row r="246" spans="1:11">
      <c r="A246" s="12">
        <v>2011</v>
      </c>
      <c r="B246" s="15" t="s">
        <v>488</v>
      </c>
      <c r="C246" s="15" t="s">
        <v>260</v>
      </c>
      <c r="D246" s="15" t="s">
        <v>493</v>
      </c>
      <c r="E246" s="19">
        <v>44387</v>
      </c>
      <c r="F246" s="19">
        <v>40617</v>
      </c>
      <c r="G246" s="20">
        <f t="shared" si="3"/>
        <v>0.4778245729612724</v>
      </c>
      <c r="H246" s="24" t="s">
        <v>552</v>
      </c>
      <c r="I246" s="24" t="s">
        <v>559</v>
      </c>
      <c r="J246" s="24" t="s">
        <v>560</v>
      </c>
      <c r="K246" s="24" t="s">
        <v>551</v>
      </c>
    </row>
    <row r="247" spans="1:11">
      <c r="A247" s="12">
        <v>2011</v>
      </c>
      <c r="B247" s="15" t="s">
        <v>488</v>
      </c>
      <c r="C247" s="15" t="s">
        <v>494</v>
      </c>
      <c r="D247" s="15" t="s">
        <v>495</v>
      </c>
      <c r="E247" s="19">
        <v>438212</v>
      </c>
      <c r="F247" s="19">
        <v>216446</v>
      </c>
      <c r="G247" s="20">
        <f t="shared" si="3"/>
        <v>0.3306245398360671</v>
      </c>
      <c r="H247" s="24" t="s">
        <v>552</v>
      </c>
      <c r="I247" s="24" t="s">
        <v>559</v>
      </c>
      <c r="J247" s="24" t="s">
        <v>560</v>
      </c>
      <c r="K247" s="24" t="s">
        <v>551</v>
      </c>
    </row>
    <row r="248" spans="1:11">
      <c r="A248" s="12">
        <v>2011</v>
      </c>
      <c r="B248" s="15" t="s">
        <v>488</v>
      </c>
      <c r="C248" s="15" t="s">
        <v>496</v>
      </c>
      <c r="D248" s="15" t="s">
        <v>497</v>
      </c>
      <c r="E248" s="19">
        <v>39177</v>
      </c>
      <c r="F248" s="19">
        <v>34006</v>
      </c>
      <c r="G248" s="20">
        <f t="shared" si="3"/>
        <v>0.46467075686976483</v>
      </c>
      <c r="H248" s="24" t="s">
        <v>552</v>
      </c>
      <c r="I248" s="24" t="s">
        <v>559</v>
      </c>
      <c r="J248" s="24" t="s">
        <v>560</v>
      </c>
      <c r="K248" s="24" t="s">
        <v>551</v>
      </c>
    </row>
    <row r="249" spans="1:11">
      <c r="A249" s="12">
        <v>2011</v>
      </c>
      <c r="B249" s="15" t="s">
        <v>488</v>
      </c>
      <c r="C249" s="15" t="s">
        <v>498</v>
      </c>
      <c r="D249" s="15" t="s">
        <v>499</v>
      </c>
      <c r="E249" s="19">
        <v>90221</v>
      </c>
      <c r="F249" s="19">
        <v>57514</v>
      </c>
      <c r="G249" s="20">
        <f t="shared" si="3"/>
        <v>0.38930517480624088</v>
      </c>
      <c r="H249" s="24" t="s">
        <v>552</v>
      </c>
      <c r="I249" s="24" t="s">
        <v>559</v>
      </c>
      <c r="J249" s="24" t="s">
        <v>560</v>
      </c>
      <c r="K249" s="24" t="s">
        <v>551</v>
      </c>
    </row>
    <row r="250" spans="1:11">
      <c r="A250" s="12">
        <v>2011</v>
      </c>
      <c r="B250" s="15" t="s">
        <v>488</v>
      </c>
      <c r="C250" s="15" t="s">
        <v>500</v>
      </c>
      <c r="D250" s="15" t="s">
        <v>501</v>
      </c>
      <c r="E250" s="19">
        <v>94043</v>
      </c>
      <c r="F250" s="19">
        <v>65680</v>
      </c>
      <c r="G250" s="20">
        <f t="shared" si="3"/>
        <v>0.4112119106202613</v>
      </c>
      <c r="H250" s="24" t="s">
        <v>552</v>
      </c>
      <c r="I250" s="24" t="s">
        <v>559</v>
      </c>
      <c r="J250" s="24" t="s">
        <v>560</v>
      </c>
      <c r="K250" s="24" t="s">
        <v>551</v>
      </c>
    </row>
    <row r="251" spans="1:11">
      <c r="A251" s="12">
        <v>2011</v>
      </c>
      <c r="B251" s="15" t="s">
        <v>488</v>
      </c>
      <c r="C251" s="15" t="s">
        <v>502</v>
      </c>
      <c r="D251" s="15" t="s">
        <v>503</v>
      </c>
      <c r="E251" s="19">
        <v>25165</v>
      </c>
      <c r="F251" s="19">
        <v>28971</v>
      </c>
      <c r="G251" s="20">
        <f t="shared" si="3"/>
        <v>0.53515220925077578</v>
      </c>
      <c r="H251" s="24" t="s">
        <v>552</v>
      </c>
      <c r="I251" s="24" t="s">
        <v>559</v>
      </c>
      <c r="J251" s="24" t="s">
        <v>560</v>
      </c>
      <c r="K251" s="24" t="s">
        <v>551</v>
      </c>
    </row>
    <row r="252" spans="1:11">
      <c r="A252" s="12">
        <v>2011</v>
      </c>
      <c r="B252" s="15" t="s">
        <v>488</v>
      </c>
      <c r="C252" s="15" t="s">
        <v>504</v>
      </c>
      <c r="D252" s="15" t="s">
        <v>505</v>
      </c>
      <c r="E252" s="19">
        <v>221984</v>
      </c>
      <c r="F252" s="19">
        <v>127719</v>
      </c>
      <c r="G252" s="20">
        <f t="shared" si="3"/>
        <v>0.36522134496987446</v>
      </c>
      <c r="H252" s="24" t="s">
        <v>552</v>
      </c>
      <c r="I252" s="24" t="s">
        <v>559</v>
      </c>
      <c r="J252" s="24" t="s">
        <v>560</v>
      </c>
      <c r="K252" s="24" t="s">
        <v>551</v>
      </c>
    </row>
    <row r="253" spans="1:11">
      <c r="A253" s="12">
        <v>2011</v>
      </c>
      <c r="B253" s="15" t="s">
        <v>488</v>
      </c>
      <c r="C253" s="15" t="s">
        <v>506</v>
      </c>
      <c r="D253" s="15" t="s">
        <v>507</v>
      </c>
      <c r="E253" s="19">
        <v>21844</v>
      </c>
      <c r="F253" s="19">
        <v>23423</v>
      </c>
      <c r="G253" s="20">
        <f t="shared" si="3"/>
        <v>0.51744096140676432</v>
      </c>
      <c r="H253" s="24" t="s">
        <v>552</v>
      </c>
      <c r="I253" s="24" t="s">
        <v>559</v>
      </c>
      <c r="J253" s="24" t="s">
        <v>560</v>
      </c>
      <c r="K253" s="24" t="s">
        <v>551</v>
      </c>
    </row>
    <row r="254" spans="1:11">
      <c r="A254" s="12">
        <v>2011</v>
      </c>
      <c r="B254" s="15" t="s">
        <v>488</v>
      </c>
      <c r="C254" s="15" t="s">
        <v>508</v>
      </c>
      <c r="D254" s="15" t="s">
        <v>509</v>
      </c>
      <c r="E254" s="19">
        <v>294830</v>
      </c>
      <c r="F254" s="19">
        <v>87101</v>
      </c>
      <c r="G254" s="20">
        <f t="shared" si="3"/>
        <v>0.22805428205618292</v>
      </c>
      <c r="H254" s="24" t="s">
        <v>552</v>
      </c>
      <c r="I254" s="24" t="s">
        <v>559</v>
      </c>
      <c r="J254" s="24" t="s">
        <v>560</v>
      </c>
      <c r="K254" s="24" t="s">
        <v>551</v>
      </c>
    </row>
    <row r="255" spans="1:11">
      <c r="A255" s="12">
        <v>2011</v>
      </c>
      <c r="B255" s="15" t="s">
        <v>488</v>
      </c>
      <c r="C255" s="15" t="s">
        <v>510</v>
      </c>
      <c r="D255" s="15" t="s">
        <v>511</v>
      </c>
      <c r="E255" s="19">
        <v>48292</v>
      </c>
      <c r="F255" s="19">
        <v>45107</v>
      </c>
      <c r="G255" s="20">
        <f t="shared" si="3"/>
        <v>0.48294949624728317</v>
      </c>
      <c r="H255" s="24" t="s">
        <v>552</v>
      </c>
      <c r="I255" s="24" t="s">
        <v>559</v>
      </c>
      <c r="J255" s="24" t="s">
        <v>560</v>
      </c>
      <c r="K255" s="24" t="s">
        <v>551</v>
      </c>
    </row>
    <row r="256" spans="1:11">
      <c r="A256" s="12">
        <v>2011</v>
      </c>
      <c r="B256" s="15" t="s">
        <v>488</v>
      </c>
      <c r="C256" s="15" t="s">
        <v>512</v>
      </c>
      <c r="D256" s="15" t="s">
        <v>513</v>
      </c>
      <c r="E256" s="19">
        <v>148909</v>
      </c>
      <c r="F256" s="19">
        <v>113636</v>
      </c>
      <c r="G256" s="20">
        <f t="shared" si="3"/>
        <v>0.43282484907349217</v>
      </c>
      <c r="H256" s="24" t="s">
        <v>552</v>
      </c>
      <c r="I256" s="24" t="s">
        <v>559</v>
      </c>
      <c r="J256" s="24" t="s">
        <v>560</v>
      </c>
      <c r="K256" s="24" t="s">
        <v>551</v>
      </c>
    </row>
    <row r="257" spans="1:11">
      <c r="A257" s="12">
        <v>2011</v>
      </c>
      <c r="B257" s="15" t="s">
        <v>488</v>
      </c>
      <c r="C257" s="15" t="s">
        <v>514</v>
      </c>
      <c r="D257" s="15" t="s">
        <v>515</v>
      </c>
      <c r="E257" s="19">
        <v>179437</v>
      </c>
      <c r="F257" s="19">
        <v>135939</v>
      </c>
      <c r="G257" s="20">
        <f t="shared" si="3"/>
        <v>0.43103787225407131</v>
      </c>
      <c r="H257" s="24" t="s">
        <v>552</v>
      </c>
      <c r="I257" s="24" t="s">
        <v>559</v>
      </c>
      <c r="J257" s="24" t="s">
        <v>560</v>
      </c>
      <c r="K257" s="24" t="s">
        <v>551</v>
      </c>
    </row>
    <row r="258" spans="1:11">
      <c r="A258" s="12">
        <v>2011</v>
      </c>
      <c r="B258" s="15" t="s">
        <v>488</v>
      </c>
      <c r="C258" s="15" t="s">
        <v>516</v>
      </c>
      <c r="D258" s="15" t="s">
        <v>517</v>
      </c>
      <c r="E258" s="19">
        <v>201091</v>
      </c>
      <c r="F258" s="19">
        <v>150410</v>
      </c>
      <c r="G258" s="20">
        <f t="shared" si="3"/>
        <v>0.42790774421694389</v>
      </c>
      <c r="H258" s="24" t="s">
        <v>552</v>
      </c>
      <c r="I258" s="24" t="s">
        <v>559</v>
      </c>
      <c r="J258" s="24" t="s">
        <v>560</v>
      </c>
      <c r="K258" s="24" t="s">
        <v>551</v>
      </c>
    </row>
    <row r="259" spans="1:11">
      <c r="A259" s="12">
        <v>2011</v>
      </c>
      <c r="B259" s="15" t="s">
        <v>488</v>
      </c>
      <c r="C259" s="15" t="s">
        <v>518</v>
      </c>
      <c r="D259" s="15" t="s">
        <v>519</v>
      </c>
      <c r="E259" s="19">
        <v>195976</v>
      </c>
      <c r="F259" s="19">
        <v>171050</v>
      </c>
      <c r="G259" s="20">
        <f t="shared" si="3"/>
        <v>0.46604327758796382</v>
      </c>
      <c r="H259" s="24" t="s">
        <v>552</v>
      </c>
      <c r="I259" s="24" t="s">
        <v>559</v>
      </c>
      <c r="J259" s="24" t="s">
        <v>560</v>
      </c>
      <c r="K259" s="24" t="s">
        <v>551</v>
      </c>
    </row>
    <row r="260" spans="1:11">
      <c r="A260" s="12">
        <v>2011</v>
      </c>
      <c r="B260" s="15" t="s">
        <v>488</v>
      </c>
      <c r="C260" s="15" t="s">
        <v>520</v>
      </c>
      <c r="D260" s="15" t="s">
        <v>521</v>
      </c>
      <c r="E260" s="19">
        <v>151507</v>
      </c>
      <c r="F260" s="19">
        <v>97735</v>
      </c>
      <c r="G260" s="20">
        <f t="shared" si="3"/>
        <v>0.39212893493070994</v>
      </c>
      <c r="H260" s="24" t="s">
        <v>552</v>
      </c>
      <c r="I260" s="24" t="s">
        <v>559</v>
      </c>
      <c r="J260" s="24" t="s">
        <v>560</v>
      </c>
      <c r="K260" s="24" t="s">
        <v>551</v>
      </c>
    </row>
    <row r="261" spans="1:11">
      <c r="A261" s="12">
        <v>2011</v>
      </c>
      <c r="B261" s="15" t="s">
        <v>488</v>
      </c>
      <c r="C261" s="15" t="s">
        <v>522</v>
      </c>
      <c r="D261" s="15" t="s">
        <v>523</v>
      </c>
      <c r="E261" s="19">
        <v>123216</v>
      </c>
      <c r="F261" s="19">
        <v>61423</v>
      </c>
      <c r="G261" s="20">
        <f t="shared" si="3"/>
        <v>0.33266536322228779</v>
      </c>
      <c r="H261" s="24" t="s">
        <v>552</v>
      </c>
      <c r="I261" s="24" t="s">
        <v>559</v>
      </c>
      <c r="J261" s="24" t="s">
        <v>560</v>
      </c>
      <c r="K261" s="24" t="s">
        <v>551</v>
      </c>
    </row>
    <row r="262" spans="1:11">
      <c r="A262" s="12">
        <v>2011</v>
      </c>
      <c r="B262" s="15" t="s">
        <v>488</v>
      </c>
      <c r="C262" s="15" t="s">
        <v>524</v>
      </c>
      <c r="D262" s="15" t="s">
        <v>525</v>
      </c>
      <c r="E262" s="19">
        <v>38296</v>
      </c>
      <c r="F262" s="19">
        <v>40252</v>
      </c>
      <c r="G262" s="20">
        <f t="shared" ref="G262:G325" si="4">IFERROR(F262/(E262+F262),"")</f>
        <v>0.51245098538473288</v>
      </c>
      <c r="H262" s="24" t="s">
        <v>552</v>
      </c>
      <c r="I262" s="24" t="s">
        <v>559</v>
      </c>
      <c r="J262" s="24" t="s">
        <v>560</v>
      </c>
      <c r="K262" s="24" t="s">
        <v>551</v>
      </c>
    </row>
    <row r="263" spans="1:11">
      <c r="A263" s="12">
        <v>2011</v>
      </c>
      <c r="B263" s="15" t="s">
        <v>488</v>
      </c>
      <c r="C263" s="15" t="s">
        <v>526</v>
      </c>
      <c r="D263" s="15" t="s">
        <v>527</v>
      </c>
      <c r="E263" s="19">
        <v>46553</v>
      </c>
      <c r="F263" s="19">
        <v>53346</v>
      </c>
      <c r="G263" s="20">
        <f t="shared" si="4"/>
        <v>0.53399933933272603</v>
      </c>
      <c r="H263" s="24" t="s">
        <v>552</v>
      </c>
      <c r="I263" s="24" t="s">
        <v>559</v>
      </c>
      <c r="J263" s="24" t="s">
        <v>560</v>
      </c>
      <c r="K263" s="24" t="s">
        <v>551</v>
      </c>
    </row>
    <row r="264" spans="1:11">
      <c r="A264" s="12">
        <v>2011</v>
      </c>
      <c r="B264" s="15" t="s">
        <v>488</v>
      </c>
      <c r="C264" s="15" t="s">
        <v>528</v>
      </c>
      <c r="D264" s="15" t="s">
        <v>529</v>
      </c>
      <c r="E264" s="19">
        <v>33950</v>
      </c>
      <c r="F264" s="19">
        <v>28760</v>
      </c>
      <c r="G264" s="20">
        <f t="shared" si="4"/>
        <v>0.45861904002551429</v>
      </c>
      <c r="H264" s="24" t="s">
        <v>552</v>
      </c>
      <c r="I264" s="24" t="s">
        <v>559</v>
      </c>
      <c r="J264" s="24" t="s">
        <v>560</v>
      </c>
      <c r="K264" s="24" t="s">
        <v>551</v>
      </c>
    </row>
    <row r="265" spans="1:11">
      <c r="A265" s="12">
        <v>2011</v>
      </c>
      <c r="B265" s="15" t="s">
        <v>488</v>
      </c>
      <c r="C265" s="15" t="s">
        <v>530</v>
      </c>
      <c r="D265" s="15" t="s">
        <v>531</v>
      </c>
      <c r="E265" s="19">
        <v>38183</v>
      </c>
      <c r="F265" s="19">
        <v>35708</v>
      </c>
      <c r="G265" s="20">
        <f t="shared" si="4"/>
        <v>0.48325235820329948</v>
      </c>
      <c r="H265" s="24" t="s">
        <v>552</v>
      </c>
      <c r="I265" s="24" t="s">
        <v>559</v>
      </c>
      <c r="J265" s="24" t="s">
        <v>560</v>
      </c>
      <c r="K265" s="24" t="s">
        <v>551</v>
      </c>
    </row>
    <row r="266" spans="1:11">
      <c r="A266" s="12">
        <v>2011</v>
      </c>
      <c r="B266" s="15" t="s">
        <v>532</v>
      </c>
      <c r="C266" s="15" t="s">
        <v>22</v>
      </c>
      <c r="D266" s="15" t="s">
        <v>532</v>
      </c>
      <c r="E266" s="19">
        <v>516844</v>
      </c>
      <c r="F266" s="19">
        <v>80895</v>
      </c>
      <c r="G266" s="20">
        <f t="shared" si="4"/>
        <v>0.13533498734397453</v>
      </c>
      <c r="H266" s="24" t="s">
        <v>555</v>
      </c>
      <c r="I266" s="24" t="s">
        <v>556</v>
      </c>
      <c r="J266" s="24" t="s">
        <v>557</v>
      </c>
      <c r="K266" s="24" t="s">
        <v>551</v>
      </c>
    </row>
    <row r="267" spans="1:11">
      <c r="A267" s="12">
        <v>2011</v>
      </c>
      <c r="B267" s="15" t="s">
        <v>532</v>
      </c>
      <c r="C267" s="15" t="s">
        <v>533</v>
      </c>
      <c r="D267" s="15" t="s">
        <v>534</v>
      </c>
      <c r="E267" s="19">
        <v>124962</v>
      </c>
      <c r="F267" s="19">
        <v>88496</v>
      </c>
      <c r="G267" s="20">
        <f t="shared" si="4"/>
        <v>0.41458272821819747</v>
      </c>
      <c r="H267" s="24" t="s">
        <v>555</v>
      </c>
      <c r="I267" s="24" t="s">
        <v>556</v>
      </c>
      <c r="J267" s="24" t="s">
        <v>557</v>
      </c>
      <c r="K267" s="24" t="s">
        <v>551</v>
      </c>
    </row>
    <row r="268" spans="1:11">
      <c r="A268" s="12">
        <v>2011</v>
      </c>
      <c r="B268" s="15" t="s">
        <v>532</v>
      </c>
      <c r="C268" s="15" t="s">
        <v>535</v>
      </c>
      <c r="D268" s="15" t="s">
        <v>536</v>
      </c>
      <c r="E268" s="19">
        <v>376908</v>
      </c>
      <c r="F268" s="19">
        <v>74729</v>
      </c>
      <c r="G268" s="20">
        <f t="shared" si="4"/>
        <v>0.16546252853508459</v>
      </c>
      <c r="H268" s="24" t="s">
        <v>555</v>
      </c>
      <c r="I268" s="24" t="s">
        <v>556</v>
      </c>
      <c r="J268" s="24" t="s">
        <v>557</v>
      </c>
      <c r="K268" s="24" t="s">
        <v>551</v>
      </c>
    </row>
    <row r="269" spans="1:11">
      <c r="A269" s="12">
        <v>2012</v>
      </c>
      <c r="B269" s="15" t="s">
        <v>21</v>
      </c>
      <c r="C269" s="15" t="s">
        <v>22</v>
      </c>
      <c r="D269" s="15" t="s">
        <v>21</v>
      </c>
      <c r="E269" s="19">
        <v>8978848</v>
      </c>
      <c r="F269" s="19">
        <v>2150852</v>
      </c>
      <c r="G269" s="20">
        <f t="shared" si="4"/>
        <v>0.19325336711681357</v>
      </c>
      <c r="H269" s="24" t="s">
        <v>558</v>
      </c>
      <c r="I269" s="24" t="s">
        <v>561</v>
      </c>
      <c r="J269" s="24" t="s">
        <v>562</v>
      </c>
      <c r="K269" s="24" t="s">
        <v>563</v>
      </c>
    </row>
    <row r="270" spans="1:11">
      <c r="A270" s="12">
        <v>2012</v>
      </c>
      <c r="B270" s="15" t="s">
        <v>21</v>
      </c>
      <c r="C270" s="15" t="s">
        <v>23</v>
      </c>
      <c r="D270" s="15" t="s">
        <v>24</v>
      </c>
      <c r="E270" s="19">
        <v>434124</v>
      </c>
      <c r="F270" s="19">
        <v>354540</v>
      </c>
      <c r="G270" s="20">
        <f t="shared" si="4"/>
        <v>0.44954505340677398</v>
      </c>
      <c r="H270" s="24" t="s">
        <v>558</v>
      </c>
      <c r="I270" s="24" t="s">
        <v>561</v>
      </c>
      <c r="J270" s="24" t="s">
        <v>562</v>
      </c>
      <c r="K270" s="24" t="s">
        <v>563</v>
      </c>
    </row>
    <row r="271" spans="1:11">
      <c r="A271" s="12">
        <v>2012</v>
      </c>
      <c r="B271" s="15" t="s">
        <v>21</v>
      </c>
      <c r="C271" s="15" t="s">
        <v>25</v>
      </c>
      <c r="D271" s="15" t="s">
        <v>26</v>
      </c>
      <c r="E271" s="19">
        <v>393167</v>
      </c>
      <c r="F271" s="19">
        <v>256522</v>
      </c>
      <c r="G271" s="20">
        <f t="shared" si="4"/>
        <v>0.39483814563583497</v>
      </c>
      <c r="H271" s="24" t="s">
        <v>558</v>
      </c>
      <c r="I271" s="24" t="s">
        <v>561</v>
      </c>
      <c r="J271" s="24" t="s">
        <v>562</v>
      </c>
      <c r="K271" s="24" t="s">
        <v>563</v>
      </c>
    </row>
    <row r="272" spans="1:11">
      <c r="A272" s="12">
        <v>2012</v>
      </c>
      <c r="B272" s="15" t="s">
        <v>21</v>
      </c>
      <c r="C272" s="15" t="s">
        <v>27</v>
      </c>
      <c r="D272" s="15" t="s">
        <v>28</v>
      </c>
      <c r="E272" s="19">
        <v>257246</v>
      </c>
      <c r="F272" s="19">
        <v>224935</v>
      </c>
      <c r="G272" s="20">
        <f t="shared" si="4"/>
        <v>0.46649494691827342</v>
      </c>
      <c r="H272" s="24" t="s">
        <v>558</v>
      </c>
      <c r="I272" s="24" t="s">
        <v>561</v>
      </c>
      <c r="J272" s="24" t="s">
        <v>562</v>
      </c>
      <c r="K272" s="24" t="s">
        <v>563</v>
      </c>
    </row>
    <row r="273" spans="1:11">
      <c r="A273" s="12">
        <v>2012</v>
      </c>
      <c r="B273" s="15" t="s">
        <v>21</v>
      </c>
      <c r="C273" s="15" t="s">
        <v>29</v>
      </c>
      <c r="D273" s="15" t="s">
        <v>30</v>
      </c>
      <c r="E273" s="19">
        <v>439319</v>
      </c>
      <c r="F273" s="19">
        <v>360041</v>
      </c>
      <c r="G273" s="20">
        <f t="shared" si="4"/>
        <v>0.45041157926341074</v>
      </c>
      <c r="H273" s="24" t="s">
        <v>558</v>
      </c>
      <c r="I273" s="24" t="s">
        <v>561</v>
      </c>
      <c r="J273" s="24" t="s">
        <v>562</v>
      </c>
      <c r="K273" s="24" t="s">
        <v>563</v>
      </c>
    </row>
    <row r="274" spans="1:11">
      <c r="A274" s="12">
        <v>2012</v>
      </c>
      <c r="B274" s="15" t="s">
        <v>21</v>
      </c>
      <c r="C274" s="15" t="s">
        <v>31</v>
      </c>
      <c r="D274" s="15" t="s">
        <v>32</v>
      </c>
      <c r="E274" s="19">
        <v>380095</v>
      </c>
      <c r="F274" s="19">
        <v>349973</v>
      </c>
      <c r="G274" s="20">
        <f t="shared" si="4"/>
        <v>0.47937041481067516</v>
      </c>
      <c r="H274" s="24" t="s">
        <v>558</v>
      </c>
      <c r="I274" s="24" t="s">
        <v>561</v>
      </c>
      <c r="J274" s="24" t="s">
        <v>562</v>
      </c>
      <c r="K274" s="24" t="s">
        <v>563</v>
      </c>
    </row>
    <row r="275" spans="1:11">
      <c r="A275" s="12">
        <v>2012</v>
      </c>
      <c r="B275" s="15" t="s">
        <v>21</v>
      </c>
      <c r="C275" s="15" t="s">
        <v>33</v>
      </c>
      <c r="D275" s="15" t="s">
        <v>34</v>
      </c>
      <c r="E275" s="19">
        <v>282767</v>
      </c>
      <c r="F275" s="19">
        <v>228896</v>
      </c>
      <c r="G275" s="20">
        <f t="shared" si="4"/>
        <v>0.44735695174362811</v>
      </c>
      <c r="H275" s="24" t="s">
        <v>558</v>
      </c>
      <c r="I275" s="24" t="s">
        <v>561</v>
      </c>
      <c r="J275" s="24" t="s">
        <v>562</v>
      </c>
      <c r="K275" s="24" t="s">
        <v>563</v>
      </c>
    </row>
    <row r="276" spans="1:11">
      <c r="A276" s="12">
        <v>2012</v>
      </c>
      <c r="B276" s="15" t="s">
        <v>21</v>
      </c>
      <c r="C276" s="15" t="s">
        <v>35</v>
      </c>
      <c r="D276" s="15" t="s">
        <v>36</v>
      </c>
      <c r="E276" s="19">
        <v>327848</v>
      </c>
      <c r="F276" s="19">
        <v>281535</v>
      </c>
      <c r="G276" s="20">
        <f t="shared" si="4"/>
        <v>0.46200008861422126</v>
      </c>
      <c r="H276" s="24" t="s">
        <v>558</v>
      </c>
      <c r="I276" s="24" t="s">
        <v>561</v>
      </c>
      <c r="J276" s="24" t="s">
        <v>562</v>
      </c>
      <c r="K276" s="24" t="s">
        <v>563</v>
      </c>
    </row>
    <row r="277" spans="1:11">
      <c r="A277" s="12">
        <v>2012</v>
      </c>
      <c r="B277" s="15" t="s">
        <v>21</v>
      </c>
      <c r="C277" s="15" t="s">
        <v>37</v>
      </c>
      <c r="D277" s="15" t="s">
        <v>38</v>
      </c>
      <c r="E277" s="19">
        <v>181184</v>
      </c>
      <c r="F277" s="19">
        <v>161999</v>
      </c>
      <c r="G277" s="20">
        <f t="shared" si="4"/>
        <v>0.47204844062788659</v>
      </c>
      <c r="H277" s="24" t="s">
        <v>558</v>
      </c>
      <c r="I277" s="24" t="s">
        <v>561</v>
      </c>
      <c r="J277" s="24" t="s">
        <v>562</v>
      </c>
      <c r="K277" s="24" t="s">
        <v>563</v>
      </c>
    </row>
    <row r="278" spans="1:11">
      <c r="A278" s="12">
        <v>2012</v>
      </c>
      <c r="B278" s="15" t="s">
        <v>21</v>
      </c>
      <c r="C278" s="15" t="s">
        <v>39</v>
      </c>
      <c r="D278" s="15" t="s">
        <v>40</v>
      </c>
      <c r="E278" s="19">
        <v>471008</v>
      </c>
      <c r="F278" s="19">
        <v>338306</v>
      </c>
      <c r="G278" s="20">
        <f t="shared" si="4"/>
        <v>0.41801575161185894</v>
      </c>
      <c r="H278" s="24" t="s">
        <v>558</v>
      </c>
      <c r="I278" s="24" t="s">
        <v>561</v>
      </c>
      <c r="J278" s="24" t="s">
        <v>562</v>
      </c>
      <c r="K278" s="24" t="s">
        <v>563</v>
      </c>
    </row>
    <row r="279" spans="1:11">
      <c r="A279" s="12">
        <v>2012</v>
      </c>
      <c r="B279" s="15" t="s">
        <v>21</v>
      </c>
      <c r="C279" s="15" t="s">
        <v>41</v>
      </c>
      <c r="D279" s="15" t="s">
        <v>42</v>
      </c>
      <c r="E279" s="19">
        <v>273467</v>
      </c>
      <c r="F279" s="19">
        <v>239492</v>
      </c>
      <c r="G279" s="20">
        <f t="shared" si="4"/>
        <v>0.46688331815993089</v>
      </c>
      <c r="H279" s="24" t="s">
        <v>558</v>
      </c>
      <c r="I279" s="24" t="s">
        <v>561</v>
      </c>
      <c r="J279" s="24" t="s">
        <v>562</v>
      </c>
      <c r="K279" s="24" t="s">
        <v>563</v>
      </c>
    </row>
    <row r="280" spans="1:11">
      <c r="A280" s="12">
        <v>2012</v>
      </c>
      <c r="B280" s="15" t="s">
        <v>21</v>
      </c>
      <c r="C280" s="15" t="s">
        <v>43</v>
      </c>
      <c r="D280" s="15" t="s">
        <v>44</v>
      </c>
      <c r="E280" s="19">
        <v>274678</v>
      </c>
      <c r="F280" s="19">
        <v>216526</v>
      </c>
      <c r="G280" s="20">
        <f t="shared" si="4"/>
        <v>0.44080667095544823</v>
      </c>
      <c r="H280" s="24" t="s">
        <v>558</v>
      </c>
      <c r="I280" s="24" t="s">
        <v>561</v>
      </c>
      <c r="J280" s="24" t="s">
        <v>562</v>
      </c>
      <c r="K280" s="24" t="s">
        <v>563</v>
      </c>
    </row>
    <row r="281" spans="1:11">
      <c r="A281" s="12">
        <v>2012</v>
      </c>
      <c r="B281" s="15" t="s">
        <v>21</v>
      </c>
      <c r="C281" s="15" t="s">
        <v>45</v>
      </c>
      <c r="D281" s="15" t="s">
        <v>46</v>
      </c>
      <c r="E281" s="19">
        <v>292607</v>
      </c>
      <c r="F281" s="19">
        <v>280727</v>
      </c>
      <c r="G281" s="20">
        <f t="shared" si="4"/>
        <v>0.4896395469307594</v>
      </c>
      <c r="H281" s="24" t="s">
        <v>558</v>
      </c>
      <c r="I281" s="24" t="s">
        <v>561</v>
      </c>
      <c r="J281" s="24" t="s">
        <v>562</v>
      </c>
      <c r="K281" s="24" t="s">
        <v>563</v>
      </c>
    </row>
    <row r="282" spans="1:11">
      <c r="A282" s="12">
        <v>2012</v>
      </c>
      <c r="B282" s="15" t="s">
        <v>21</v>
      </c>
      <c r="C282" s="15" t="s">
        <v>47</v>
      </c>
      <c r="D282" s="15" t="s">
        <v>48</v>
      </c>
      <c r="E282" s="19">
        <v>285588</v>
      </c>
      <c r="F282" s="19">
        <v>266750</v>
      </c>
      <c r="G282" s="20">
        <f t="shared" si="4"/>
        <v>0.4829470360540104</v>
      </c>
      <c r="H282" s="24" t="s">
        <v>558</v>
      </c>
      <c r="I282" s="24" t="s">
        <v>561</v>
      </c>
      <c r="J282" s="24" t="s">
        <v>562</v>
      </c>
      <c r="K282" s="24" t="s">
        <v>563</v>
      </c>
    </row>
    <row r="283" spans="1:11">
      <c r="A283" s="12">
        <v>2012</v>
      </c>
      <c r="B283" s="15" t="s">
        <v>21</v>
      </c>
      <c r="C283" s="15" t="s">
        <v>49</v>
      </c>
      <c r="D283" s="15" t="s">
        <v>50</v>
      </c>
      <c r="E283" s="19">
        <v>220608</v>
      </c>
      <c r="F283" s="19">
        <v>223516</v>
      </c>
      <c r="G283" s="20">
        <f t="shared" si="4"/>
        <v>0.50327386045338685</v>
      </c>
      <c r="H283" s="24" t="s">
        <v>558</v>
      </c>
      <c r="I283" s="24" t="s">
        <v>561</v>
      </c>
      <c r="J283" s="24" t="s">
        <v>562</v>
      </c>
      <c r="K283" s="24" t="s">
        <v>563</v>
      </c>
    </row>
    <row r="284" spans="1:11">
      <c r="A284" s="12">
        <v>2012</v>
      </c>
      <c r="B284" s="15" t="s">
        <v>21</v>
      </c>
      <c r="C284" s="15" t="s">
        <v>51</v>
      </c>
      <c r="D284" s="15" t="s">
        <v>52</v>
      </c>
      <c r="E284" s="19">
        <v>312507</v>
      </c>
      <c r="F284" s="19">
        <v>314543</v>
      </c>
      <c r="G284" s="20">
        <f t="shared" si="4"/>
        <v>0.50162347500199345</v>
      </c>
      <c r="H284" s="24" t="s">
        <v>558</v>
      </c>
      <c r="I284" s="24" t="s">
        <v>561</v>
      </c>
      <c r="J284" s="24" t="s">
        <v>562</v>
      </c>
      <c r="K284" s="24" t="s">
        <v>563</v>
      </c>
    </row>
    <row r="285" spans="1:11">
      <c r="A285" s="12">
        <v>2012</v>
      </c>
      <c r="B285" s="15" t="s">
        <v>21</v>
      </c>
      <c r="C285" s="15" t="s">
        <v>53</v>
      </c>
      <c r="D285" s="15" t="s">
        <v>54</v>
      </c>
      <c r="E285" s="19">
        <v>213848</v>
      </c>
      <c r="F285" s="19">
        <v>204596</v>
      </c>
      <c r="G285" s="20">
        <f t="shared" si="4"/>
        <v>0.48894475724350211</v>
      </c>
      <c r="H285" s="24" t="s">
        <v>558</v>
      </c>
      <c r="I285" s="24" t="s">
        <v>561</v>
      </c>
      <c r="J285" s="24" t="s">
        <v>562</v>
      </c>
      <c r="K285" s="24" t="s">
        <v>563</v>
      </c>
    </row>
    <row r="286" spans="1:11">
      <c r="A286" s="12">
        <v>2012</v>
      </c>
      <c r="B286" s="15" t="s">
        <v>21</v>
      </c>
      <c r="C286" s="15" t="s">
        <v>55</v>
      </c>
      <c r="D286" s="15" t="s">
        <v>56</v>
      </c>
      <c r="E286" s="19">
        <v>355085</v>
      </c>
      <c r="F286" s="19">
        <v>325688</v>
      </c>
      <c r="G286" s="20">
        <f t="shared" si="4"/>
        <v>0.47840910259366926</v>
      </c>
      <c r="H286" s="24" t="s">
        <v>558</v>
      </c>
      <c r="I286" s="24" t="s">
        <v>561</v>
      </c>
      <c r="J286" s="24" t="s">
        <v>562</v>
      </c>
      <c r="K286" s="24" t="s">
        <v>563</v>
      </c>
    </row>
    <row r="287" spans="1:11">
      <c r="A287" s="12">
        <v>2012</v>
      </c>
      <c r="B287" s="15" t="s">
        <v>21</v>
      </c>
      <c r="C287" s="15" t="s">
        <v>57</v>
      </c>
      <c r="D287" s="15" t="s">
        <v>58</v>
      </c>
      <c r="E287" s="19">
        <v>526450</v>
      </c>
      <c r="F287" s="19">
        <v>410993</v>
      </c>
      <c r="G287" s="20">
        <f t="shared" si="4"/>
        <v>0.43841918922003792</v>
      </c>
      <c r="H287" s="24" t="s">
        <v>558</v>
      </c>
      <c r="I287" s="24" t="s">
        <v>561</v>
      </c>
      <c r="J287" s="24" t="s">
        <v>562</v>
      </c>
      <c r="K287" s="24" t="s">
        <v>563</v>
      </c>
    </row>
    <row r="288" spans="1:11">
      <c r="A288" s="12">
        <v>2012</v>
      </c>
      <c r="B288" s="15" t="s">
        <v>21</v>
      </c>
      <c r="C288" s="15" t="s">
        <v>59</v>
      </c>
      <c r="D288" s="15" t="s">
        <v>60</v>
      </c>
      <c r="E288" s="19">
        <v>376042</v>
      </c>
      <c r="F288" s="19">
        <v>326490</v>
      </c>
      <c r="G288" s="20">
        <f t="shared" si="4"/>
        <v>0.46473327905348083</v>
      </c>
      <c r="H288" s="24" t="s">
        <v>558</v>
      </c>
      <c r="I288" s="24" t="s">
        <v>561</v>
      </c>
      <c r="J288" s="24" t="s">
        <v>562</v>
      </c>
      <c r="K288" s="24" t="s">
        <v>563</v>
      </c>
    </row>
    <row r="289" spans="1:11">
      <c r="A289" s="12">
        <v>2012</v>
      </c>
      <c r="B289" s="15" t="s">
        <v>21</v>
      </c>
      <c r="C289" s="15" t="s">
        <v>61</v>
      </c>
      <c r="D289" s="15" t="s">
        <v>62</v>
      </c>
      <c r="E289" s="19">
        <v>303430</v>
      </c>
      <c r="F289" s="19">
        <v>256775</v>
      </c>
      <c r="G289" s="20">
        <f t="shared" si="4"/>
        <v>0.45835899358270632</v>
      </c>
      <c r="H289" s="24" t="s">
        <v>558</v>
      </c>
      <c r="I289" s="24" t="s">
        <v>561</v>
      </c>
      <c r="J289" s="24" t="s">
        <v>562</v>
      </c>
      <c r="K289" s="24" t="s">
        <v>563</v>
      </c>
    </row>
    <row r="290" spans="1:11">
      <c r="A290" s="12">
        <v>2012</v>
      </c>
      <c r="B290" s="15" t="s">
        <v>21</v>
      </c>
      <c r="C290" s="15" t="s">
        <v>63</v>
      </c>
      <c r="D290" s="15" t="s">
        <v>64</v>
      </c>
      <c r="E290" s="19">
        <v>159200</v>
      </c>
      <c r="F290" s="19">
        <v>176431</v>
      </c>
      <c r="G290" s="20">
        <f t="shared" si="4"/>
        <v>0.52566955972481688</v>
      </c>
      <c r="H290" s="24" t="s">
        <v>558</v>
      </c>
      <c r="I290" s="24" t="s">
        <v>561</v>
      </c>
      <c r="J290" s="24" t="s">
        <v>562</v>
      </c>
      <c r="K290" s="24" t="s">
        <v>563</v>
      </c>
    </row>
    <row r="291" spans="1:11">
      <c r="A291" s="12">
        <v>2012</v>
      </c>
      <c r="B291" s="15" t="s">
        <v>21</v>
      </c>
      <c r="C291" s="15" t="s">
        <v>65</v>
      </c>
      <c r="D291" s="15" t="s">
        <v>66</v>
      </c>
      <c r="E291" s="19">
        <v>386192</v>
      </c>
      <c r="F291" s="19">
        <v>306707</v>
      </c>
      <c r="G291" s="20">
        <f t="shared" si="4"/>
        <v>0.44264315578460928</v>
      </c>
      <c r="H291" s="24" t="s">
        <v>558</v>
      </c>
      <c r="I291" s="24" t="s">
        <v>561</v>
      </c>
      <c r="J291" s="24" t="s">
        <v>562</v>
      </c>
      <c r="K291" s="24" t="s">
        <v>563</v>
      </c>
    </row>
    <row r="292" spans="1:11">
      <c r="A292" s="12">
        <v>2012</v>
      </c>
      <c r="B292" s="15" t="s">
        <v>21</v>
      </c>
      <c r="C292" s="15" t="s">
        <v>67</v>
      </c>
      <c r="D292" s="15" t="s">
        <v>68</v>
      </c>
      <c r="E292" s="19">
        <v>116114</v>
      </c>
      <c r="F292" s="19">
        <v>119289</v>
      </c>
      <c r="G292" s="20">
        <f t="shared" si="4"/>
        <v>0.50674375432768481</v>
      </c>
      <c r="H292" s="24" t="s">
        <v>558</v>
      </c>
      <c r="I292" s="24" t="s">
        <v>561</v>
      </c>
      <c r="J292" s="24" t="s">
        <v>562</v>
      </c>
      <c r="K292" s="24" t="s">
        <v>563</v>
      </c>
    </row>
    <row r="293" spans="1:11">
      <c r="A293" s="12">
        <v>2012</v>
      </c>
      <c r="B293" s="15" t="s">
        <v>21</v>
      </c>
      <c r="C293" s="15" t="s">
        <v>69</v>
      </c>
      <c r="D293" s="15" t="s">
        <v>70</v>
      </c>
      <c r="E293" s="19">
        <v>96805</v>
      </c>
      <c r="F293" s="19">
        <v>93886</v>
      </c>
      <c r="G293" s="20">
        <f t="shared" si="4"/>
        <v>0.4923462565092217</v>
      </c>
      <c r="H293" s="24" t="s">
        <v>558</v>
      </c>
      <c r="I293" s="24" t="s">
        <v>561</v>
      </c>
      <c r="J293" s="24" t="s">
        <v>562</v>
      </c>
      <c r="K293" s="24" t="s">
        <v>563</v>
      </c>
    </row>
    <row r="294" spans="1:11">
      <c r="A294" s="12">
        <v>2012</v>
      </c>
      <c r="B294" s="15" t="s">
        <v>21</v>
      </c>
      <c r="C294" s="15" t="s">
        <v>71</v>
      </c>
      <c r="D294" s="15" t="s">
        <v>72</v>
      </c>
      <c r="E294" s="19">
        <v>319899</v>
      </c>
      <c r="F294" s="19">
        <v>259942</v>
      </c>
      <c r="G294" s="20">
        <f t="shared" si="4"/>
        <v>0.44829875776290395</v>
      </c>
      <c r="H294" s="24" t="s">
        <v>558</v>
      </c>
      <c r="I294" s="24" t="s">
        <v>561</v>
      </c>
      <c r="J294" s="24" t="s">
        <v>562</v>
      </c>
      <c r="K294" s="24" t="s">
        <v>563</v>
      </c>
    </row>
    <row r="295" spans="1:11">
      <c r="A295" s="12">
        <v>2012</v>
      </c>
      <c r="B295" s="15" t="s">
        <v>73</v>
      </c>
      <c r="C295" s="15" t="s">
        <v>22</v>
      </c>
      <c r="D295" s="15" t="s">
        <v>73</v>
      </c>
      <c r="E295" s="19">
        <v>3171229</v>
      </c>
      <c r="F295" s="19">
        <v>639287</v>
      </c>
      <c r="G295" s="20">
        <f t="shared" si="4"/>
        <v>0.16776914202695908</v>
      </c>
      <c r="H295" s="24" t="s">
        <v>548</v>
      </c>
      <c r="I295" s="24" t="s">
        <v>553</v>
      </c>
      <c r="J295" s="24" t="s">
        <v>554</v>
      </c>
      <c r="K295" s="24" t="s">
        <v>563</v>
      </c>
    </row>
    <row r="296" spans="1:11">
      <c r="A296" s="12">
        <v>2012</v>
      </c>
      <c r="B296" s="15" t="s">
        <v>73</v>
      </c>
      <c r="C296" s="15" t="s">
        <v>29</v>
      </c>
      <c r="D296" s="15" t="s">
        <v>74</v>
      </c>
      <c r="E296" s="19">
        <v>34011</v>
      </c>
      <c r="F296" s="19">
        <v>59386</v>
      </c>
      <c r="G296" s="20">
        <f t="shared" si="4"/>
        <v>0.63584483441652306</v>
      </c>
      <c r="H296" s="24" t="s">
        <v>548</v>
      </c>
      <c r="I296" s="24" t="s">
        <v>553</v>
      </c>
      <c r="J296" s="24" t="s">
        <v>554</v>
      </c>
      <c r="K296" s="24" t="s">
        <v>563</v>
      </c>
    </row>
    <row r="297" spans="1:11">
      <c r="A297" s="12">
        <v>2012</v>
      </c>
      <c r="B297" s="15" t="s">
        <v>73</v>
      </c>
      <c r="C297" s="15" t="s">
        <v>75</v>
      </c>
      <c r="D297" s="15" t="s">
        <v>76</v>
      </c>
      <c r="E297" s="19">
        <v>199560</v>
      </c>
      <c r="F297" s="19">
        <v>166223</v>
      </c>
      <c r="G297" s="20">
        <f t="shared" si="4"/>
        <v>0.45443063236946496</v>
      </c>
      <c r="H297" s="24" t="s">
        <v>548</v>
      </c>
      <c r="I297" s="24" t="s">
        <v>553</v>
      </c>
      <c r="J297" s="24" t="s">
        <v>554</v>
      </c>
      <c r="K297" s="24" t="s">
        <v>563</v>
      </c>
    </row>
    <row r="298" spans="1:11">
      <c r="A298" s="12">
        <v>2012</v>
      </c>
      <c r="B298" s="15" t="s">
        <v>73</v>
      </c>
      <c r="C298" s="15" t="s">
        <v>77</v>
      </c>
      <c r="D298" s="15" t="s">
        <v>78</v>
      </c>
      <c r="E298" s="19">
        <v>85736</v>
      </c>
      <c r="F298" s="19">
        <v>78825</v>
      </c>
      <c r="G298" s="20">
        <f t="shared" si="4"/>
        <v>0.47900170757348337</v>
      </c>
      <c r="H298" s="24" t="s">
        <v>548</v>
      </c>
      <c r="I298" s="24" t="s">
        <v>553</v>
      </c>
      <c r="J298" s="24" t="s">
        <v>554</v>
      </c>
      <c r="K298" s="24" t="s">
        <v>563</v>
      </c>
    </row>
    <row r="299" spans="1:11">
      <c r="A299" s="12">
        <v>2012</v>
      </c>
      <c r="B299" s="15" t="s">
        <v>73</v>
      </c>
      <c r="C299" s="15" t="s">
        <v>79</v>
      </c>
      <c r="D299" s="15" t="s">
        <v>80</v>
      </c>
      <c r="E299" s="19">
        <v>224112</v>
      </c>
      <c r="F299" s="19">
        <v>197658</v>
      </c>
      <c r="G299" s="20">
        <f t="shared" si="4"/>
        <v>0.46863930578277257</v>
      </c>
      <c r="H299" s="24" t="s">
        <v>548</v>
      </c>
      <c r="I299" s="24" t="s">
        <v>553</v>
      </c>
      <c r="J299" s="24" t="s">
        <v>554</v>
      </c>
      <c r="K299" s="24" t="s">
        <v>563</v>
      </c>
    </row>
    <row r="300" spans="1:11">
      <c r="A300" s="12">
        <v>2012</v>
      </c>
      <c r="B300" s="15" t="s">
        <v>73</v>
      </c>
      <c r="C300" s="15" t="s">
        <v>81</v>
      </c>
      <c r="D300" s="15" t="s">
        <v>82</v>
      </c>
      <c r="E300" s="19">
        <v>73587</v>
      </c>
      <c r="F300" s="19">
        <v>69177</v>
      </c>
      <c r="G300" s="20">
        <f t="shared" si="4"/>
        <v>0.48455492981423887</v>
      </c>
      <c r="H300" s="24" t="s">
        <v>548</v>
      </c>
      <c r="I300" s="24" t="s">
        <v>553</v>
      </c>
      <c r="J300" s="24" t="s">
        <v>554</v>
      </c>
      <c r="K300" s="24" t="s">
        <v>563</v>
      </c>
    </row>
    <row r="301" spans="1:11">
      <c r="A301" s="12">
        <v>2012</v>
      </c>
      <c r="B301" s="15" t="s">
        <v>73</v>
      </c>
      <c r="C301" s="15" t="s">
        <v>83</v>
      </c>
      <c r="D301" s="15" t="s">
        <v>84</v>
      </c>
      <c r="E301" s="19">
        <v>215697</v>
      </c>
      <c r="F301" s="19">
        <v>189602</v>
      </c>
      <c r="G301" s="20">
        <f t="shared" si="4"/>
        <v>0.46780771726552495</v>
      </c>
      <c r="H301" s="24" t="s">
        <v>548</v>
      </c>
      <c r="I301" s="24" t="s">
        <v>553</v>
      </c>
      <c r="J301" s="24" t="s">
        <v>554</v>
      </c>
      <c r="K301" s="24" t="s">
        <v>563</v>
      </c>
    </row>
    <row r="302" spans="1:11">
      <c r="A302" s="12">
        <v>2012</v>
      </c>
      <c r="B302" s="15" t="s">
        <v>73</v>
      </c>
      <c r="C302" s="15" t="s">
        <v>85</v>
      </c>
      <c r="D302" s="15" t="s">
        <v>86</v>
      </c>
      <c r="E302" s="19">
        <v>313387</v>
      </c>
      <c r="F302" s="19">
        <v>244643</v>
      </c>
      <c r="G302" s="20">
        <f t="shared" si="4"/>
        <v>0.4384047452645915</v>
      </c>
      <c r="H302" s="24" t="s">
        <v>548</v>
      </c>
      <c r="I302" s="24" t="s">
        <v>553</v>
      </c>
      <c r="J302" s="24" t="s">
        <v>554</v>
      </c>
      <c r="K302" s="24" t="s">
        <v>563</v>
      </c>
    </row>
    <row r="303" spans="1:11">
      <c r="A303" s="12">
        <v>2012</v>
      </c>
      <c r="B303" s="15" t="s">
        <v>73</v>
      </c>
      <c r="C303" s="15" t="s">
        <v>87</v>
      </c>
      <c r="D303" s="15" t="s">
        <v>88</v>
      </c>
      <c r="E303" s="19">
        <v>255510</v>
      </c>
      <c r="F303" s="19">
        <v>177759</v>
      </c>
      <c r="G303" s="20">
        <f t="shared" si="4"/>
        <v>0.41027398683035249</v>
      </c>
      <c r="H303" s="24" t="s">
        <v>548</v>
      </c>
      <c r="I303" s="24" t="s">
        <v>553</v>
      </c>
      <c r="J303" s="24" t="s">
        <v>554</v>
      </c>
      <c r="K303" s="24" t="s">
        <v>563</v>
      </c>
    </row>
    <row r="304" spans="1:11">
      <c r="A304" s="12">
        <v>2012</v>
      </c>
      <c r="B304" s="15" t="s">
        <v>73</v>
      </c>
      <c r="C304" s="15" t="s">
        <v>89</v>
      </c>
      <c r="D304" s="15" t="s">
        <v>90</v>
      </c>
      <c r="E304" s="19">
        <v>192447</v>
      </c>
      <c r="F304" s="19">
        <v>173433</v>
      </c>
      <c r="G304" s="20">
        <f t="shared" si="4"/>
        <v>0.47401607084289932</v>
      </c>
      <c r="H304" s="24" t="s">
        <v>548</v>
      </c>
      <c r="I304" s="24" t="s">
        <v>553</v>
      </c>
      <c r="J304" s="24" t="s">
        <v>554</v>
      </c>
      <c r="K304" s="24" t="s">
        <v>563</v>
      </c>
    </row>
    <row r="305" spans="1:11">
      <c r="A305" s="12">
        <v>2012</v>
      </c>
      <c r="B305" s="15" t="s">
        <v>73</v>
      </c>
      <c r="C305" s="15" t="s">
        <v>91</v>
      </c>
      <c r="D305" s="15" t="s">
        <v>92</v>
      </c>
      <c r="E305" s="19">
        <v>292474</v>
      </c>
      <c r="F305" s="19">
        <v>207026</v>
      </c>
      <c r="G305" s="20">
        <f t="shared" si="4"/>
        <v>0.41446646646646645</v>
      </c>
      <c r="H305" s="24" t="s">
        <v>548</v>
      </c>
      <c r="I305" s="24" t="s">
        <v>553</v>
      </c>
      <c r="J305" s="24" t="s">
        <v>554</v>
      </c>
      <c r="K305" s="24" t="s">
        <v>563</v>
      </c>
    </row>
    <row r="306" spans="1:11">
      <c r="A306" s="12">
        <v>2012</v>
      </c>
      <c r="B306" s="15" t="s">
        <v>73</v>
      </c>
      <c r="C306" s="15" t="s">
        <v>93</v>
      </c>
      <c r="D306" s="15" t="s">
        <v>94</v>
      </c>
      <c r="E306" s="19">
        <v>89851</v>
      </c>
      <c r="F306" s="19">
        <v>86159</v>
      </c>
      <c r="G306" s="20">
        <f t="shared" si="4"/>
        <v>0.48951195954775295</v>
      </c>
      <c r="H306" s="24" t="s">
        <v>548</v>
      </c>
      <c r="I306" s="24" t="s">
        <v>553</v>
      </c>
      <c r="J306" s="24" t="s">
        <v>554</v>
      </c>
      <c r="K306" s="24" t="s">
        <v>563</v>
      </c>
    </row>
    <row r="307" spans="1:11">
      <c r="A307" s="12">
        <v>2012</v>
      </c>
      <c r="B307" s="15" t="s">
        <v>73</v>
      </c>
      <c r="C307" s="15" t="s">
        <v>95</v>
      </c>
      <c r="D307" s="15" t="s">
        <v>96</v>
      </c>
      <c r="E307" s="19">
        <v>132743</v>
      </c>
      <c r="F307" s="19">
        <v>125721</v>
      </c>
      <c r="G307" s="20">
        <f t="shared" si="4"/>
        <v>0.48641590318187444</v>
      </c>
      <c r="H307" s="24" t="s">
        <v>548</v>
      </c>
      <c r="I307" s="24" t="s">
        <v>553</v>
      </c>
      <c r="J307" s="24" t="s">
        <v>554</v>
      </c>
      <c r="K307" s="24" t="s">
        <v>563</v>
      </c>
    </row>
    <row r="308" spans="1:11">
      <c r="A308" s="12">
        <v>2012</v>
      </c>
      <c r="B308" s="15" t="s">
        <v>73</v>
      </c>
      <c r="C308" s="15" t="s">
        <v>97</v>
      </c>
      <c r="D308" s="15" t="s">
        <v>98</v>
      </c>
      <c r="E308" s="19">
        <v>157608</v>
      </c>
      <c r="F308" s="19">
        <v>155437</v>
      </c>
      <c r="G308" s="20">
        <f t="shared" si="4"/>
        <v>0.49653244741171398</v>
      </c>
      <c r="H308" s="24" t="s">
        <v>548</v>
      </c>
      <c r="I308" s="24" t="s">
        <v>553</v>
      </c>
      <c r="J308" s="24" t="s">
        <v>554</v>
      </c>
      <c r="K308" s="24" t="s">
        <v>563</v>
      </c>
    </row>
    <row r="309" spans="1:11">
      <c r="A309" s="12">
        <v>2012</v>
      </c>
      <c r="B309" s="15" t="s">
        <v>73</v>
      </c>
      <c r="C309" s="15" t="s">
        <v>99</v>
      </c>
      <c r="D309" s="15" t="s">
        <v>100</v>
      </c>
      <c r="E309" s="19">
        <v>113140</v>
      </c>
      <c r="F309" s="19">
        <v>85737</v>
      </c>
      <c r="G309" s="20">
        <f t="shared" si="4"/>
        <v>0.43110565827119274</v>
      </c>
      <c r="H309" s="24" t="s">
        <v>548</v>
      </c>
      <c r="I309" s="24" t="s">
        <v>553</v>
      </c>
      <c r="J309" s="24" t="s">
        <v>554</v>
      </c>
      <c r="K309" s="24" t="s">
        <v>563</v>
      </c>
    </row>
    <row r="310" spans="1:11">
      <c r="A310" s="12">
        <v>2012</v>
      </c>
      <c r="B310" s="15" t="s">
        <v>73</v>
      </c>
      <c r="C310" s="15" t="s">
        <v>69</v>
      </c>
      <c r="D310" s="15" t="s">
        <v>101</v>
      </c>
      <c r="E310" s="19">
        <v>34549</v>
      </c>
      <c r="F310" s="19">
        <v>34083</v>
      </c>
      <c r="G310" s="20">
        <f t="shared" si="4"/>
        <v>0.49660508217740995</v>
      </c>
      <c r="H310" s="24" t="s">
        <v>548</v>
      </c>
      <c r="I310" s="24" t="s">
        <v>553</v>
      </c>
      <c r="J310" s="24" t="s">
        <v>554</v>
      </c>
      <c r="K310" s="24" t="s">
        <v>563</v>
      </c>
    </row>
    <row r="311" spans="1:11">
      <c r="A311" s="12">
        <v>2012</v>
      </c>
      <c r="B311" s="15" t="s">
        <v>73</v>
      </c>
      <c r="C311" s="15" t="s">
        <v>102</v>
      </c>
      <c r="D311" s="15" t="s">
        <v>103</v>
      </c>
      <c r="E311" s="19">
        <v>343898</v>
      </c>
      <c r="F311" s="19">
        <v>267053</v>
      </c>
      <c r="G311" s="20">
        <f t="shared" si="4"/>
        <v>0.43711034109118407</v>
      </c>
      <c r="H311" s="24" t="s">
        <v>548</v>
      </c>
      <c r="I311" s="24" t="s">
        <v>553</v>
      </c>
      <c r="J311" s="24" t="s">
        <v>554</v>
      </c>
      <c r="K311" s="24" t="s">
        <v>563</v>
      </c>
    </row>
    <row r="312" spans="1:11">
      <c r="A312" s="12">
        <v>2012</v>
      </c>
      <c r="B312" s="15" t="s">
        <v>104</v>
      </c>
      <c r="C312" s="15" t="s">
        <v>22</v>
      </c>
      <c r="D312" s="15" t="s">
        <v>104</v>
      </c>
      <c r="E312" s="19">
        <v>2263497</v>
      </c>
      <c r="F312" s="19">
        <v>440789</v>
      </c>
      <c r="G312" s="20">
        <f t="shared" si="4"/>
        <v>0.16299644342351363</v>
      </c>
      <c r="H312" s="24" t="s">
        <v>548</v>
      </c>
      <c r="I312" s="24" t="s">
        <v>553</v>
      </c>
      <c r="J312" s="24" t="s">
        <v>554</v>
      </c>
      <c r="K312" s="24" t="s">
        <v>563</v>
      </c>
    </row>
    <row r="313" spans="1:11">
      <c r="A313" s="12">
        <v>2012</v>
      </c>
      <c r="B313" s="15" t="s">
        <v>104</v>
      </c>
      <c r="C313" s="15" t="s">
        <v>79</v>
      </c>
      <c r="D313" s="15" t="s">
        <v>107</v>
      </c>
      <c r="E313" s="19">
        <v>119592</v>
      </c>
      <c r="F313" s="19">
        <v>127684</v>
      </c>
      <c r="G313" s="20">
        <f t="shared" si="4"/>
        <v>0.51636228344036628</v>
      </c>
      <c r="H313" s="24" t="s">
        <v>548</v>
      </c>
      <c r="I313" s="24" t="s">
        <v>553</v>
      </c>
      <c r="J313" s="24" t="s">
        <v>554</v>
      </c>
      <c r="K313" s="24" t="s">
        <v>563</v>
      </c>
    </row>
    <row r="314" spans="1:11">
      <c r="A314" s="12">
        <v>2012</v>
      </c>
      <c r="B314" s="15" t="s">
        <v>104</v>
      </c>
      <c r="C314" s="15" t="s">
        <v>108</v>
      </c>
      <c r="D314" s="15" t="s">
        <v>109</v>
      </c>
      <c r="E314" s="19">
        <v>510362</v>
      </c>
      <c r="F314" s="19">
        <v>359101</v>
      </c>
      <c r="G314" s="20">
        <f t="shared" si="4"/>
        <v>0.41301469987797068</v>
      </c>
      <c r="H314" s="24" t="s">
        <v>548</v>
      </c>
      <c r="I314" s="24" t="s">
        <v>553</v>
      </c>
      <c r="J314" s="24" t="s">
        <v>554</v>
      </c>
      <c r="K314" s="24" t="s">
        <v>563</v>
      </c>
    </row>
    <row r="315" spans="1:11">
      <c r="A315" s="12">
        <v>2012</v>
      </c>
      <c r="B315" s="15" t="s">
        <v>104</v>
      </c>
      <c r="C315" s="15" t="s">
        <v>110</v>
      </c>
      <c r="D315" s="15" t="s">
        <v>111</v>
      </c>
      <c r="E315" s="19">
        <v>141826</v>
      </c>
      <c r="F315" s="19">
        <v>134447</v>
      </c>
      <c r="G315" s="20">
        <f t="shared" si="4"/>
        <v>0.48664545576295909</v>
      </c>
      <c r="H315" s="24" t="s">
        <v>548</v>
      </c>
      <c r="I315" s="24" t="s">
        <v>553</v>
      </c>
      <c r="J315" s="24" t="s">
        <v>554</v>
      </c>
      <c r="K315" s="24" t="s">
        <v>563</v>
      </c>
    </row>
    <row r="316" spans="1:11">
      <c r="A316" s="12">
        <v>2012</v>
      </c>
      <c r="B316" s="15" t="s">
        <v>104</v>
      </c>
      <c r="C316" s="15" t="s">
        <v>81</v>
      </c>
      <c r="D316" s="15" t="s">
        <v>112</v>
      </c>
      <c r="E316" s="19">
        <v>269853</v>
      </c>
      <c r="F316" s="19">
        <v>222921</v>
      </c>
      <c r="G316" s="20">
        <f t="shared" si="4"/>
        <v>0.45237979276504037</v>
      </c>
      <c r="H316" s="24" t="s">
        <v>548</v>
      </c>
      <c r="I316" s="24" t="s">
        <v>553</v>
      </c>
      <c r="J316" s="24" t="s">
        <v>554</v>
      </c>
      <c r="K316" s="24" t="s">
        <v>563</v>
      </c>
    </row>
    <row r="317" spans="1:11">
      <c r="A317" s="12">
        <v>2012</v>
      </c>
      <c r="B317" s="15" t="s">
        <v>104</v>
      </c>
      <c r="C317" s="15" t="s">
        <v>87</v>
      </c>
      <c r="D317" s="15" t="s">
        <v>113</v>
      </c>
      <c r="E317" s="19">
        <v>374479</v>
      </c>
      <c r="F317" s="19">
        <v>257856</v>
      </c>
      <c r="G317" s="20">
        <f t="shared" si="4"/>
        <v>0.40778384875105761</v>
      </c>
      <c r="H317" s="24" t="s">
        <v>548</v>
      </c>
      <c r="I317" s="24" t="s">
        <v>553</v>
      </c>
      <c r="J317" s="24" t="s">
        <v>554</v>
      </c>
      <c r="K317" s="24" t="s">
        <v>563</v>
      </c>
    </row>
    <row r="318" spans="1:11">
      <c r="A318" s="12">
        <v>2012</v>
      </c>
      <c r="B318" s="15" t="s">
        <v>104</v>
      </c>
      <c r="C318" s="15" t="s">
        <v>93</v>
      </c>
      <c r="D318" s="15" t="s">
        <v>114</v>
      </c>
      <c r="E318" s="19">
        <v>162798</v>
      </c>
      <c r="F318" s="19">
        <v>160157</v>
      </c>
      <c r="G318" s="20">
        <f t="shared" si="4"/>
        <v>0.49591119505813502</v>
      </c>
      <c r="H318" s="24" t="s">
        <v>548</v>
      </c>
      <c r="I318" s="24" t="s">
        <v>553</v>
      </c>
      <c r="J318" s="24" t="s">
        <v>554</v>
      </c>
      <c r="K318" s="24" t="s">
        <v>563</v>
      </c>
    </row>
    <row r="319" spans="1:11">
      <c r="A319" s="12">
        <v>2012</v>
      </c>
      <c r="B319" s="15" t="s">
        <v>104</v>
      </c>
      <c r="C319" s="15" t="s">
        <v>115</v>
      </c>
      <c r="D319" s="15" t="s">
        <v>116</v>
      </c>
      <c r="E319" s="19">
        <v>373929</v>
      </c>
      <c r="F319" s="19">
        <v>293809</v>
      </c>
      <c r="G319" s="20">
        <f t="shared" si="4"/>
        <v>0.44000640969961274</v>
      </c>
      <c r="H319" s="24" t="s">
        <v>548</v>
      </c>
      <c r="I319" s="24" t="s">
        <v>553</v>
      </c>
      <c r="J319" s="24" t="s">
        <v>554</v>
      </c>
      <c r="K319" s="24" t="s">
        <v>563</v>
      </c>
    </row>
    <row r="320" spans="1:11">
      <c r="A320" s="12">
        <v>2012</v>
      </c>
      <c r="B320" s="15" t="s">
        <v>104</v>
      </c>
      <c r="C320" s="15" t="s">
        <v>69</v>
      </c>
      <c r="D320" s="15" t="s">
        <v>117</v>
      </c>
      <c r="E320" s="19">
        <v>55318</v>
      </c>
      <c r="F320" s="19">
        <v>55872</v>
      </c>
      <c r="G320" s="20">
        <f t="shared" si="4"/>
        <v>0.50249123122582962</v>
      </c>
      <c r="H320" s="24" t="s">
        <v>548</v>
      </c>
      <c r="I320" s="24" t="s">
        <v>553</v>
      </c>
      <c r="J320" s="24" t="s">
        <v>554</v>
      </c>
      <c r="K320" s="24" t="s">
        <v>563</v>
      </c>
    </row>
    <row r="321" spans="1:11">
      <c r="A321" s="12">
        <v>2012</v>
      </c>
      <c r="B321" s="15" t="s">
        <v>118</v>
      </c>
      <c r="C321" s="15" t="s">
        <v>22</v>
      </c>
      <c r="D321" s="15" t="s">
        <v>118</v>
      </c>
      <c r="E321" s="19">
        <v>2451430</v>
      </c>
      <c r="F321" s="19">
        <v>924351</v>
      </c>
      <c r="G321" s="20">
        <f t="shared" si="4"/>
        <v>0.27381841416845465</v>
      </c>
      <c r="H321" s="24" t="s">
        <v>558</v>
      </c>
      <c r="I321" s="24" t="s">
        <v>561</v>
      </c>
      <c r="J321" s="24" t="s">
        <v>562</v>
      </c>
      <c r="K321" s="24" t="s">
        <v>563</v>
      </c>
    </row>
    <row r="322" spans="1:11">
      <c r="A322" s="12">
        <v>2012</v>
      </c>
      <c r="B322" s="15" t="s">
        <v>118</v>
      </c>
      <c r="C322" s="15" t="s">
        <v>119</v>
      </c>
      <c r="D322" s="15" t="s">
        <v>120</v>
      </c>
      <c r="E322" s="19">
        <v>50298</v>
      </c>
      <c r="F322" s="19">
        <v>43080</v>
      </c>
      <c r="G322" s="20">
        <f t="shared" si="4"/>
        <v>0.4613506393368888</v>
      </c>
      <c r="H322" s="24" t="s">
        <v>558</v>
      </c>
      <c r="I322" s="24" t="s">
        <v>561</v>
      </c>
      <c r="J322" s="24" t="s">
        <v>562</v>
      </c>
      <c r="K322" s="24" t="s">
        <v>563</v>
      </c>
    </row>
    <row r="323" spans="1:11">
      <c r="A323" s="12">
        <v>2012</v>
      </c>
      <c r="B323" s="15" t="s">
        <v>118</v>
      </c>
      <c r="C323" s="15" t="s">
        <v>121</v>
      </c>
      <c r="D323" s="15" t="s">
        <v>122</v>
      </c>
      <c r="E323" s="19">
        <v>272763</v>
      </c>
      <c r="F323" s="19">
        <v>198722</v>
      </c>
      <c r="G323" s="20">
        <f t="shared" si="4"/>
        <v>0.42148106514523259</v>
      </c>
      <c r="H323" s="24" t="s">
        <v>558</v>
      </c>
      <c r="I323" s="24" t="s">
        <v>561</v>
      </c>
      <c r="J323" s="24" t="s">
        <v>562</v>
      </c>
      <c r="K323" s="24" t="s">
        <v>563</v>
      </c>
    </row>
    <row r="324" spans="1:11">
      <c r="A324" s="12">
        <v>2012</v>
      </c>
      <c r="B324" s="15" t="s">
        <v>118</v>
      </c>
      <c r="C324" s="15" t="s">
        <v>79</v>
      </c>
      <c r="D324" s="15" t="s">
        <v>123</v>
      </c>
      <c r="E324" s="19">
        <v>314866</v>
      </c>
      <c r="F324" s="19">
        <v>267158</v>
      </c>
      <c r="G324" s="20">
        <f t="shared" si="4"/>
        <v>0.45901543578958942</v>
      </c>
      <c r="H324" s="24" t="s">
        <v>558</v>
      </c>
      <c r="I324" s="24" t="s">
        <v>561</v>
      </c>
      <c r="J324" s="24" t="s">
        <v>562</v>
      </c>
      <c r="K324" s="24" t="s">
        <v>563</v>
      </c>
    </row>
    <row r="325" spans="1:11">
      <c r="A325" s="12">
        <v>2012</v>
      </c>
      <c r="B325" s="15" t="s">
        <v>118</v>
      </c>
      <c r="C325" s="15" t="s">
        <v>124</v>
      </c>
      <c r="D325" s="15" t="s">
        <v>125</v>
      </c>
      <c r="E325" s="19">
        <v>407115</v>
      </c>
      <c r="F325" s="19">
        <v>290724</v>
      </c>
      <c r="G325" s="20">
        <f t="shared" si="4"/>
        <v>0.41660612261567498</v>
      </c>
      <c r="H325" s="24" t="s">
        <v>558</v>
      </c>
      <c r="I325" s="24" t="s">
        <v>561</v>
      </c>
      <c r="J325" s="24" t="s">
        <v>562</v>
      </c>
      <c r="K325" s="24" t="s">
        <v>563</v>
      </c>
    </row>
    <row r="326" spans="1:11">
      <c r="A326" s="12">
        <v>2012</v>
      </c>
      <c r="B326" s="15" t="s">
        <v>118</v>
      </c>
      <c r="C326" s="15" t="s">
        <v>81</v>
      </c>
      <c r="D326" s="15" t="s">
        <v>126</v>
      </c>
      <c r="E326" s="19">
        <v>56698</v>
      </c>
      <c r="F326" s="19">
        <v>55598</v>
      </c>
      <c r="G326" s="20">
        <f t="shared" ref="G326:G389" si="5">IFERROR(F326/(E326+F326),"")</f>
        <v>0.49510222982118685</v>
      </c>
      <c r="H326" s="24" t="s">
        <v>558</v>
      </c>
      <c r="I326" s="24" t="s">
        <v>561</v>
      </c>
      <c r="J326" s="24" t="s">
        <v>562</v>
      </c>
      <c r="K326" s="24" t="s">
        <v>563</v>
      </c>
    </row>
    <row r="327" spans="1:11">
      <c r="A327" s="12">
        <v>2012</v>
      </c>
      <c r="B327" s="15" t="s">
        <v>118</v>
      </c>
      <c r="C327" s="15" t="s">
        <v>129</v>
      </c>
      <c r="D327" s="15" t="s">
        <v>130</v>
      </c>
      <c r="E327" s="19">
        <v>446249</v>
      </c>
      <c r="F327" s="19">
        <v>315071</v>
      </c>
      <c r="G327" s="20">
        <f t="shared" si="5"/>
        <v>0.41384831608259337</v>
      </c>
      <c r="H327" s="24" t="s">
        <v>558</v>
      </c>
      <c r="I327" s="24" t="s">
        <v>561</v>
      </c>
      <c r="J327" s="24" t="s">
        <v>562</v>
      </c>
      <c r="K327" s="24" t="s">
        <v>563</v>
      </c>
    </row>
    <row r="328" spans="1:11">
      <c r="A328" s="12">
        <v>2012</v>
      </c>
      <c r="B328" s="15" t="s">
        <v>118</v>
      </c>
      <c r="C328" s="15" t="s">
        <v>93</v>
      </c>
      <c r="D328" s="15" t="s">
        <v>131</v>
      </c>
      <c r="E328" s="19">
        <v>371018</v>
      </c>
      <c r="F328" s="19">
        <v>281860</v>
      </c>
      <c r="G328" s="20">
        <f t="shared" si="5"/>
        <v>0.43171924923186261</v>
      </c>
      <c r="H328" s="24" t="s">
        <v>558</v>
      </c>
      <c r="I328" s="24" t="s">
        <v>561</v>
      </c>
      <c r="J328" s="24" t="s">
        <v>562</v>
      </c>
      <c r="K328" s="24" t="s">
        <v>563</v>
      </c>
    </row>
    <row r="329" spans="1:11">
      <c r="A329" s="12">
        <v>2012</v>
      </c>
      <c r="B329" s="15" t="s">
        <v>118</v>
      </c>
      <c r="C329" s="15" t="s">
        <v>132</v>
      </c>
      <c r="D329" s="15" t="s">
        <v>133</v>
      </c>
      <c r="E329" s="19">
        <v>232268</v>
      </c>
      <c r="F329" s="19">
        <v>177103</v>
      </c>
      <c r="G329" s="20">
        <f t="shared" si="5"/>
        <v>0.43262224241580377</v>
      </c>
      <c r="H329" s="24" t="s">
        <v>558</v>
      </c>
      <c r="I329" s="24" t="s">
        <v>561</v>
      </c>
      <c r="J329" s="24" t="s">
        <v>562</v>
      </c>
      <c r="K329" s="24" t="s">
        <v>563</v>
      </c>
    </row>
    <row r="330" spans="1:11">
      <c r="A330" s="12">
        <v>2012</v>
      </c>
      <c r="B330" s="15" t="s">
        <v>118</v>
      </c>
      <c r="C330" s="15" t="s">
        <v>134</v>
      </c>
      <c r="D330" s="15" t="s">
        <v>135</v>
      </c>
      <c r="E330" s="19">
        <v>11175</v>
      </c>
      <c r="F330" s="19">
        <v>16899</v>
      </c>
      <c r="G330" s="20">
        <f t="shared" si="5"/>
        <v>0.60194486001282321</v>
      </c>
      <c r="H330" s="24" t="s">
        <v>558</v>
      </c>
      <c r="I330" s="24" t="s">
        <v>561</v>
      </c>
      <c r="J330" s="24" t="s">
        <v>562</v>
      </c>
      <c r="K330" s="24" t="s">
        <v>563</v>
      </c>
    </row>
    <row r="331" spans="1:11">
      <c r="A331" s="12">
        <v>2012</v>
      </c>
      <c r="B331" s="15" t="s">
        <v>118</v>
      </c>
      <c r="C331" s="15" t="s">
        <v>69</v>
      </c>
      <c r="D331" s="15" t="s">
        <v>136</v>
      </c>
      <c r="E331" s="19">
        <v>68577</v>
      </c>
      <c r="F331" s="19">
        <v>71389</v>
      </c>
      <c r="G331" s="20">
        <f t="shared" si="5"/>
        <v>0.5100452967149165</v>
      </c>
      <c r="H331" s="24" t="s">
        <v>558</v>
      </c>
      <c r="I331" s="24" t="s">
        <v>561</v>
      </c>
      <c r="J331" s="24" t="s">
        <v>562</v>
      </c>
      <c r="K331" s="24" t="s">
        <v>563</v>
      </c>
    </row>
    <row r="332" spans="1:11">
      <c r="A332" s="12">
        <v>2012</v>
      </c>
      <c r="B332" s="15" t="s">
        <v>137</v>
      </c>
      <c r="C332" s="15" t="s">
        <v>22</v>
      </c>
      <c r="D332" s="15" t="s">
        <v>137</v>
      </c>
      <c r="E332" s="19">
        <v>1324838</v>
      </c>
      <c r="F332" s="19">
        <v>316218</v>
      </c>
      <c r="G332" s="20">
        <f t="shared" si="5"/>
        <v>0.19269177895208939</v>
      </c>
      <c r="H332" s="24" t="s">
        <v>552</v>
      </c>
      <c r="I332" s="24" t="s">
        <v>564</v>
      </c>
      <c r="J332" s="24" t="s">
        <v>565</v>
      </c>
      <c r="K332" s="24" t="s">
        <v>563</v>
      </c>
    </row>
    <row r="333" spans="1:11">
      <c r="A333" s="12">
        <v>2012</v>
      </c>
      <c r="B333" s="15" t="s">
        <v>137</v>
      </c>
      <c r="C333" s="15" t="s">
        <v>138</v>
      </c>
      <c r="D333" s="15" t="s">
        <v>139</v>
      </c>
      <c r="E333" s="19">
        <v>327299</v>
      </c>
      <c r="F333" s="19">
        <v>209004</v>
      </c>
      <c r="G333" s="20">
        <f t="shared" si="5"/>
        <v>0.38971253190826827</v>
      </c>
      <c r="H333" s="24" t="s">
        <v>552</v>
      </c>
      <c r="I333" s="24" t="s">
        <v>564</v>
      </c>
      <c r="J333" s="24" t="s">
        <v>565</v>
      </c>
      <c r="K333" s="24" t="s">
        <v>563</v>
      </c>
    </row>
    <row r="334" spans="1:11">
      <c r="A334" s="12">
        <v>2012</v>
      </c>
      <c r="B334" s="15" t="s">
        <v>137</v>
      </c>
      <c r="C334" s="15" t="s">
        <v>79</v>
      </c>
      <c r="D334" s="15" t="s">
        <v>140</v>
      </c>
      <c r="E334" s="19">
        <v>167395</v>
      </c>
      <c r="F334" s="19">
        <v>151904</v>
      </c>
      <c r="G334" s="20">
        <f t="shared" si="5"/>
        <v>0.47574217269706448</v>
      </c>
      <c r="H334" s="24" t="s">
        <v>552</v>
      </c>
      <c r="I334" s="24" t="s">
        <v>564</v>
      </c>
      <c r="J334" s="24" t="s">
        <v>565</v>
      </c>
      <c r="K334" s="24" t="s">
        <v>563</v>
      </c>
    </row>
    <row r="335" spans="1:11">
      <c r="A335" s="12">
        <v>2012</v>
      </c>
      <c r="B335" s="15" t="s">
        <v>137</v>
      </c>
      <c r="C335" s="15" t="s">
        <v>81</v>
      </c>
      <c r="D335" s="15" t="s">
        <v>141</v>
      </c>
      <c r="E335" s="19">
        <v>78394</v>
      </c>
      <c r="F335" s="19">
        <v>76944</v>
      </c>
      <c r="G335" s="20">
        <f t="shared" si="5"/>
        <v>0.49533275824331457</v>
      </c>
      <c r="H335" s="24" t="s">
        <v>552</v>
      </c>
      <c r="I335" s="24" t="s">
        <v>564</v>
      </c>
      <c r="J335" s="24" t="s">
        <v>565</v>
      </c>
      <c r="K335" s="24" t="s">
        <v>563</v>
      </c>
    </row>
    <row r="336" spans="1:11">
      <c r="A336" s="12">
        <v>2012</v>
      </c>
      <c r="B336" s="15" t="s">
        <v>137</v>
      </c>
      <c r="C336" s="15" t="s">
        <v>87</v>
      </c>
      <c r="D336" s="15" t="s">
        <v>142</v>
      </c>
      <c r="E336" s="19">
        <v>358791</v>
      </c>
      <c r="F336" s="19">
        <v>282745</v>
      </c>
      <c r="G336" s="20">
        <f t="shared" si="5"/>
        <v>0.4407313073623304</v>
      </c>
      <c r="H336" s="24" t="s">
        <v>552</v>
      </c>
      <c r="I336" s="24" t="s">
        <v>564</v>
      </c>
      <c r="J336" s="24" t="s">
        <v>565</v>
      </c>
      <c r="K336" s="24" t="s">
        <v>563</v>
      </c>
    </row>
    <row r="337" spans="1:11">
      <c r="A337" s="12">
        <v>2012</v>
      </c>
      <c r="B337" s="15" t="s">
        <v>137</v>
      </c>
      <c r="C337" s="15" t="s">
        <v>93</v>
      </c>
      <c r="D337" s="15" t="s">
        <v>143</v>
      </c>
      <c r="E337" s="19">
        <v>256332</v>
      </c>
      <c r="F337" s="19">
        <v>204287</v>
      </c>
      <c r="G337" s="20">
        <f t="shared" si="5"/>
        <v>0.44350536994783107</v>
      </c>
      <c r="H337" s="24" t="s">
        <v>552</v>
      </c>
      <c r="I337" s="24" t="s">
        <v>564</v>
      </c>
      <c r="J337" s="24" t="s">
        <v>565</v>
      </c>
      <c r="K337" s="24" t="s">
        <v>563</v>
      </c>
    </row>
    <row r="338" spans="1:11">
      <c r="A338" s="12">
        <v>2012</v>
      </c>
      <c r="B338" s="15" t="s">
        <v>144</v>
      </c>
      <c r="C338" s="15" t="s">
        <v>22</v>
      </c>
      <c r="D338" s="15" t="s">
        <v>144</v>
      </c>
      <c r="E338" s="19">
        <v>1376550</v>
      </c>
      <c r="F338" s="19">
        <v>322262</v>
      </c>
      <c r="G338" s="20">
        <f t="shared" si="5"/>
        <v>0.18969844809196074</v>
      </c>
      <c r="H338" s="24" t="s">
        <v>555</v>
      </c>
      <c r="I338" s="24" t="s">
        <v>564</v>
      </c>
      <c r="J338" s="24" t="s">
        <v>565</v>
      </c>
      <c r="K338" s="24" t="s">
        <v>563</v>
      </c>
    </row>
    <row r="339" spans="1:11">
      <c r="A339" s="12">
        <v>2012</v>
      </c>
      <c r="B339" s="15" t="s">
        <v>144</v>
      </c>
      <c r="C339" s="15" t="s">
        <v>145</v>
      </c>
      <c r="D339" s="15" t="s">
        <v>146</v>
      </c>
      <c r="E339" s="19">
        <v>165513</v>
      </c>
      <c r="F339" s="19">
        <v>141337</v>
      </c>
      <c r="G339" s="20">
        <f t="shared" si="5"/>
        <v>0.46060615936125143</v>
      </c>
      <c r="H339" s="24" t="s">
        <v>555</v>
      </c>
      <c r="I339" s="24" t="s">
        <v>564</v>
      </c>
      <c r="J339" s="24" t="s">
        <v>565</v>
      </c>
      <c r="K339" s="24" t="s">
        <v>563</v>
      </c>
    </row>
    <row r="340" spans="1:11">
      <c r="A340" s="12">
        <v>2012</v>
      </c>
      <c r="B340" s="15" t="s">
        <v>144</v>
      </c>
      <c r="C340" s="15" t="s">
        <v>81</v>
      </c>
      <c r="D340" s="15" t="s">
        <v>147</v>
      </c>
      <c r="E340" s="19">
        <v>190545</v>
      </c>
      <c r="F340" s="19">
        <v>190075</v>
      </c>
      <c r="G340" s="20">
        <f t="shared" si="5"/>
        <v>0.49938258630655247</v>
      </c>
      <c r="H340" s="24" t="s">
        <v>555</v>
      </c>
      <c r="I340" s="24" t="s">
        <v>564</v>
      </c>
      <c r="J340" s="24" t="s">
        <v>565</v>
      </c>
      <c r="K340" s="24" t="s">
        <v>563</v>
      </c>
    </row>
    <row r="341" spans="1:11">
      <c r="A341" s="12">
        <v>2012</v>
      </c>
      <c r="B341" s="15" t="s">
        <v>144</v>
      </c>
      <c r="C341" s="15" t="s">
        <v>93</v>
      </c>
      <c r="D341" s="15" t="s">
        <v>148</v>
      </c>
      <c r="E341" s="19">
        <v>424484</v>
      </c>
      <c r="F341" s="19">
        <v>272865</v>
      </c>
      <c r="G341" s="20">
        <f t="shared" si="5"/>
        <v>0.39128901023734169</v>
      </c>
      <c r="H341" s="24" t="s">
        <v>555</v>
      </c>
      <c r="I341" s="24" t="s">
        <v>564</v>
      </c>
      <c r="J341" s="24" t="s">
        <v>565</v>
      </c>
      <c r="K341" s="24" t="s">
        <v>563</v>
      </c>
    </row>
    <row r="342" spans="1:11">
      <c r="A342" s="12">
        <v>2012</v>
      </c>
      <c r="B342" s="15" t="s">
        <v>144</v>
      </c>
      <c r="C342" s="15" t="s">
        <v>149</v>
      </c>
      <c r="D342" s="15" t="s">
        <v>150</v>
      </c>
      <c r="E342" s="19">
        <v>243266</v>
      </c>
      <c r="F342" s="19">
        <v>216070</v>
      </c>
      <c r="G342" s="20">
        <f t="shared" si="5"/>
        <v>0.47039639827925528</v>
      </c>
      <c r="H342" s="24" t="s">
        <v>555</v>
      </c>
      <c r="I342" s="24" t="s">
        <v>564</v>
      </c>
      <c r="J342" s="24" t="s">
        <v>565</v>
      </c>
      <c r="K342" s="24" t="s">
        <v>563</v>
      </c>
    </row>
    <row r="343" spans="1:11">
      <c r="A343" s="12">
        <v>2012</v>
      </c>
      <c r="B343" s="15" t="s">
        <v>144</v>
      </c>
      <c r="C343" s="15" t="s">
        <v>69</v>
      </c>
      <c r="D343" s="15" t="s">
        <v>151</v>
      </c>
      <c r="E343" s="19">
        <v>214901</v>
      </c>
      <c r="F343" s="19">
        <v>177298</v>
      </c>
      <c r="G343" s="20">
        <f t="shared" si="5"/>
        <v>0.45206132601052018</v>
      </c>
      <c r="H343" s="24" t="s">
        <v>555</v>
      </c>
      <c r="I343" s="24" t="s">
        <v>564</v>
      </c>
      <c r="J343" s="24" t="s">
        <v>565</v>
      </c>
      <c r="K343" s="24" t="s">
        <v>563</v>
      </c>
    </row>
    <row r="344" spans="1:11">
      <c r="A344" s="12">
        <v>2012</v>
      </c>
      <c r="B344" s="15" t="s">
        <v>152</v>
      </c>
      <c r="C344" s="15" t="s">
        <v>22</v>
      </c>
      <c r="D344" s="15" t="s">
        <v>152</v>
      </c>
      <c r="E344" s="19">
        <v>1039190</v>
      </c>
      <c r="F344" s="19">
        <v>248856</v>
      </c>
      <c r="G344" s="20">
        <f t="shared" si="5"/>
        <v>0.19320427997136749</v>
      </c>
      <c r="H344" s="24" t="s">
        <v>548</v>
      </c>
      <c r="I344" s="24" t="s">
        <v>553</v>
      </c>
      <c r="J344" s="24" t="s">
        <v>554</v>
      </c>
      <c r="K344" s="24" t="s">
        <v>563</v>
      </c>
    </row>
    <row r="345" spans="1:11">
      <c r="A345" s="12">
        <v>2012</v>
      </c>
      <c r="B345" s="15" t="s">
        <v>152</v>
      </c>
      <c r="C345" s="15" t="s">
        <v>79</v>
      </c>
      <c r="D345" s="15" t="s">
        <v>153</v>
      </c>
      <c r="E345" s="19">
        <v>301657</v>
      </c>
      <c r="F345" s="19">
        <v>165435</v>
      </c>
      <c r="G345" s="20">
        <f t="shared" si="5"/>
        <v>0.35418076096357892</v>
      </c>
      <c r="H345" s="24" t="s">
        <v>548</v>
      </c>
      <c r="I345" s="24" t="s">
        <v>553</v>
      </c>
      <c r="J345" s="24" t="s">
        <v>554</v>
      </c>
      <c r="K345" s="24" t="s">
        <v>563</v>
      </c>
    </row>
    <row r="346" spans="1:11">
      <c r="A346" s="12">
        <v>2012</v>
      </c>
      <c r="B346" s="15" t="s">
        <v>152</v>
      </c>
      <c r="C346" s="15" t="s">
        <v>81</v>
      </c>
      <c r="D346" s="15" t="s">
        <v>154</v>
      </c>
      <c r="E346" s="19">
        <v>154729</v>
      </c>
      <c r="F346" s="19">
        <v>79571</v>
      </c>
      <c r="G346" s="20">
        <f t="shared" si="5"/>
        <v>0.33961160904822879</v>
      </c>
      <c r="H346" s="24" t="s">
        <v>548</v>
      </c>
      <c r="I346" s="24" t="s">
        <v>553</v>
      </c>
      <c r="J346" s="24" t="s">
        <v>554</v>
      </c>
      <c r="K346" s="24" t="s">
        <v>563</v>
      </c>
    </row>
    <row r="347" spans="1:11">
      <c r="A347" s="12">
        <v>2012</v>
      </c>
      <c r="B347" s="15" t="s">
        <v>152</v>
      </c>
      <c r="C347" s="15" t="s">
        <v>87</v>
      </c>
      <c r="D347" s="15" t="s">
        <v>155</v>
      </c>
      <c r="E347" s="19">
        <v>147231</v>
      </c>
      <c r="F347" s="19">
        <v>124688</v>
      </c>
      <c r="G347" s="20">
        <f t="shared" si="5"/>
        <v>0.45854831769754961</v>
      </c>
      <c r="H347" s="24" t="s">
        <v>548</v>
      </c>
      <c r="I347" s="24" t="s">
        <v>553</v>
      </c>
      <c r="J347" s="24" t="s">
        <v>554</v>
      </c>
      <c r="K347" s="24" t="s">
        <v>563</v>
      </c>
    </row>
    <row r="348" spans="1:11">
      <c r="A348" s="12">
        <v>2012</v>
      </c>
      <c r="B348" s="15" t="s">
        <v>152</v>
      </c>
      <c r="C348" s="15" t="s">
        <v>156</v>
      </c>
      <c r="D348" s="15" t="s">
        <v>157</v>
      </c>
      <c r="E348" s="19">
        <v>153599</v>
      </c>
      <c r="F348" s="19">
        <v>152849</v>
      </c>
      <c r="G348" s="20">
        <f t="shared" si="5"/>
        <v>0.49877630136271078</v>
      </c>
      <c r="H348" s="24" t="s">
        <v>548</v>
      </c>
      <c r="I348" s="24" t="s">
        <v>553</v>
      </c>
      <c r="J348" s="24" t="s">
        <v>554</v>
      </c>
      <c r="K348" s="24" t="s">
        <v>563</v>
      </c>
    </row>
    <row r="349" spans="1:11">
      <c r="A349" s="12">
        <v>2012</v>
      </c>
      <c r="B349" s="15" t="s">
        <v>152</v>
      </c>
      <c r="C349" s="15" t="s">
        <v>69</v>
      </c>
      <c r="D349" s="15" t="s">
        <v>158</v>
      </c>
      <c r="E349" s="19">
        <v>184357</v>
      </c>
      <c r="F349" s="19">
        <v>159702</v>
      </c>
      <c r="G349" s="20">
        <f t="shared" si="5"/>
        <v>0.46417038938089106</v>
      </c>
      <c r="H349" s="24" t="s">
        <v>548</v>
      </c>
      <c r="I349" s="24" t="s">
        <v>553</v>
      </c>
      <c r="J349" s="24" t="s">
        <v>554</v>
      </c>
      <c r="K349" s="24" t="s">
        <v>563</v>
      </c>
    </row>
    <row r="350" spans="1:11">
      <c r="A350" s="12">
        <v>2012</v>
      </c>
      <c r="B350" s="15" t="s">
        <v>159</v>
      </c>
      <c r="C350" s="15" t="s">
        <v>22</v>
      </c>
      <c r="D350" s="15" t="s">
        <v>159</v>
      </c>
      <c r="E350" s="19">
        <v>78836</v>
      </c>
      <c r="F350" s="19">
        <v>80771</v>
      </c>
      <c r="G350" s="20">
        <f t="shared" si="5"/>
        <v>0.50606176420833671</v>
      </c>
      <c r="H350" s="24" t="s">
        <v>555</v>
      </c>
      <c r="I350" s="24" t="s">
        <v>564</v>
      </c>
      <c r="J350" s="24" t="s">
        <v>565</v>
      </c>
      <c r="K350" s="24" t="s">
        <v>563</v>
      </c>
    </row>
    <row r="351" spans="1:11">
      <c r="A351" s="12">
        <v>2012</v>
      </c>
      <c r="B351" s="15" t="s">
        <v>160</v>
      </c>
      <c r="C351" s="15" t="s">
        <v>22</v>
      </c>
      <c r="D351" s="15" t="s">
        <v>160</v>
      </c>
      <c r="E351" s="19">
        <v>10558881</v>
      </c>
      <c r="F351" s="19">
        <v>3946233</v>
      </c>
      <c r="G351" s="20">
        <f t="shared" si="5"/>
        <v>0.27205804794088484</v>
      </c>
      <c r="H351" s="24" t="s">
        <v>558</v>
      </c>
      <c r="I351" s="24" t="s">
        <v>561</v>
      </c>
      <c r="J351" s="24" t="s">
        <v>562</v>
      </c>
      <c r="K351" s="24" t="s">
        <v>563</v>
      </c>
    </row>
    <row r="352" spans="1:11">
      <c r="A352" s="12">
        <v>2012</v>
      </c>
      <c r="B352" s="15" t="s">
        <v>160</v>
      </c>
      <c r="C352" s="15" t="s">
        <v>161</v>
      </c>
      <c r="D352" s="15" t="s">
        <v>162</v>
      </c>
      <c r="E352" s="19">
        <v>46582</v>
      </c>
      <c r="F352" s="19">
        <v>42067</v>
      </c>
      <c r="G352" s="20">
        <f t="shared" si="5"/>
        <v>0.47453439971122063</v>
      </c>
      <c r="H352" s="24" t="s">
        <v>558</v>
      </c>
      <c r="I352" s="24" t="s">
        <v>566</v>
      </c>
      <c r="J352" s="24" t="s">
        <v>567</v>
      </c>
      <c r="K352" s="24" t="s">
        <v>563</v>
      </c>
    </row>
    <row r="353" spans="1:11">
      <c r="A353" s="12">
        <v>2012</v>
      </c>
      <c r="B353" s="15" t="s">
        <v>160</v>
      </c>
      <c r="C353" s="15" t="s">
        <v>163</v>
      </c>
      <c r="D353" s="15" t="s">
        <v>164</v>
      </c>
      <c r="E353" s="19">
        <v>301744</v>
      </c>
      <c r="F353" s="19">
        <v>236645</v>
      </c>
      <c r="G353" s="20">
        <f t="shared" si="5"/>
        <v>0.43954278412077513</v>
      </c>
      <c r="H353" s="24" t="s">
        <v>558</v>
      </c>
      <c r="I353" s="24" t="s">
        <v>566</v>
      </c>
      <c r="J353" s="24" t="s">
        <v>567</v>
      </c>
      <c r="K353" s="24" t="s">
        <v>563</v>
      </c>
    </row>
    <row r="354" spans="1:11">
      <c r="A354" s="12">
        <v>2012</v>
      </c>
      <c r="B354" s="15" t="s">
        <v>160</v>
      </c>
      <c r="C354" s="15" t="s">
        <v>165</v>
      </c>
      <c r="D354" s="15" t="s">
        <v>166</v>
      </c>
      <c r="E354" s="19">
        <v>442800</v>
      </c>
      <c r="F354" s="19">
        <v>370473</v>
      </c>
      <c r="G354" s="20">
        <f t="shared" si="5"/>
        <v>0.45553338177955005</v>
      </c>
      <c r="H354" s="24" t="s">
        <v>558</v>
      </c>
      <c r="I354" s="24" t="s">
        <v>566</v>
      </c>
      <c r="J354" s="24" t="s">
        <v>567</v>
      </c>
      <c r="K354" s="24" t="s">
        <v>563</v>
      </c>
    </row>
    <row r="355" spans="1:11">
      <c r="A355" s="12">
        <v>2012</v>
      </c>
      <c r="B355" s="15" t="s">
        <v>160</v>
      </c>
      <c r="C355" s="15" t="s">
        <v>171</v>
      </c>
      <c r="D355" s="15" t="s">
        <v>172</v>
      </c>
      <c r="E355" s="19">
        <v>49754</v>
      </c>
      <c r="F355" s="19">
        <v>51204</v>
      </c>
      <c r="G355" s="20">
        <f t="shared" si="5"/>
        <v>0.50718120406505673</v>
      </c>
      <c r="H355" s="24" t="s">
        <v>558</v>
      </c>
      <c r="I355" s="24" t="s">
        <v>566</v>
      </c>
      <c r="J355" s="24" t="s">
        <v>567</v>
      </c>
      <c r="K355" s="24" t="s">
        <v>563</v>
      </c>
    </row>
    <row r="356" spans="1:11">
      <c r="A356" s="12">
        <v>2012</v>
      </c>
      <c r="B356" s="15" t="s">
        <v>160</v>
      </c>
      <c r="C356" s="15" t="s">
        <v>173</v>
      </c>
      <c r="D356" s="15" t="s">
        <v>174</v>
      </c>
      <c r="E356" s="19">
        <v>285898</v>
      </c>
      <c r="F356" s="19">
        <v>205861</v>
      </c>
      <c r="G356" s="20">
        <f t="shared" si="5"/>
        <v>0.41862172324248259</v>
      </c>
      <c r="H356" s="24" t="s">
        <v>558</v>
      </c>
      <c r="I356" s="24" t="s">
        <v>566</v>
      </c>
      <c r="J356" s="24" t="s">
        <v>567</v>
      </c>
      <c r="K356" s="24" t="s">
        <v>563</v>
      </c>
    </row>
    <row r="357" spans="1:11">
      <c r="A357" s="12">
        <v>2012</v>
      </c>
      <c r="B357" s="15" t="s">
        <v>160</v>
      </c>
      <c r="C357" s="15" t="s">
        <v>175</v>
      </c>
      <c r="D357" s="15" t="s">
        <v>176</v>
      </c>
      <c r="E357" s="19">
        <v>199587</v>
      </c>
      <c r="F357" s="19">
        <v>175599</v>
      </c>
      <c r="G357" s="20">
        <f t="shared" si="5"/>
        <v>0.46803185619932514</v>
      </c>
      <c r="H357" s="24" t="s">
        <v>558</v>
      </c>
      <c r="I357" s="24" t="s">
        <v>566</v>
      </c>
      <c r="J357" s="24" t="s">
        <v>567</v>
      </c>
      <c r="K357" s="24" t="s">
        <v>563</v>
      </c>
    </row>
    <row r="358" spans="1:11">
      <c r="A358" s="12">
        <v>2012</v>
      </c>
      <c r="B358" s="15" t="s">
        <v>160</v>
      </c>
      <c r="C358" s="15" t="s">
        <v>177</v>
      </c>
      <c r="D358" s="15" t="s">
        <v>178</v>
      </c>
      <c r="E358" s="19">
        <v>154728</v>
      </c>
      <c r="F358" s="19">
        <v>104040</v>
      </c>
      <c r="G358" s="20">
        <f t="shared" si="5"/>
        <v>0.40205898720089039</v>
      </c>
      <c r="H358" s="24" t="s">
        <v>558</v>
      </c>
      <c r="I358" s="24" t="s">
        <v>566</v>
      </c>
      <c r="J358" s="24" t="s">
        <v>567</v>
      </c>
      <c r="K358" s="24" t="s">
        <v>563</v>
      </c>
    </row>
    <row r="359" spans="1:11">
      <c r="A359" s="12">
        <v>2012</v>
      </c>
      <c r="B359" s="15" t="s">
        <v>160</v>
      </c>
      <c r="C359" s="15" t="s">
        <v>179</v>
      </c>
      <c r="D359" s="15" t="s">
        <v>180</v>
      </c>
      <c r="E359" s="19">
        <v>230859</v>
      </c>
      <c r="F359" s="19">
        <v>170316</v>
      </c>
      <c r="G359" s="20">
        <f t="shared" si="5"/>
        <v>0.42454290521592819</v>
      </c>
      <c r="H359" s="24" t="s">
        <v>558</v>
      </c>
      <c r="I359" s="24" t="s">
        <v>566</v>
      </c>
      <c r="J359" s="24" t="s">
        <v>567</v>
      </c>
      <c r="K359" s="24" t="s">
        <v>563</v>
      </c>
    </row>
    <row r="360" spans="1:11">
      <c r="A360" s="12">
        <v>2012</v>
      </c>
      <c r="B360" s="15" t="s">
        <v>160</v>
      </c>
      <c r="C360" s="15" t="s">
        <v>181</v>
      </c>
      <c r="D360" s="15" t="s">
        <v>182</v>
      </c>
      <c r="E360" s="19">
        <v>225822</v>
      </c>
      <c r="F360" s="19">
        <v>164632</v>
      </c>
      <c r="G360" s="20">
        <f t="shared" si="5"/>
        <v>0.42164249822002081</v>
      </c>
      <c r="H360" s="24" t="s">
        <v>558</v>
      </c>
      <c r="I360" s="24" t="s">
        <v>566</v>
      </c>
      <c r="J360" s="24" t="s">
        <v>567</v>
      </c>
      <c r="K360" s="24" t="s">
        <v>563</v>
      </c>
    </row>
    <row r="361" spans="1:11">
      <c r="A361" s="12">
        <v>2012</v>
      </c>
      <c r="B361" s="15" t="s">
        <v>160</v>
      </c>
      <c r="C361" s="15" t="s">
        <v>183</v>
      </c>
      <c r="D361" s="15" t="s">
        <v>184</v>
      </c>
      <c r="E361" s="19">
        <v>465143</v>
      </c>
      <c r="F361" s="19">
        <v>358929</v>
      </c>
      <c r="G361" s="20">
        <f t="shared" si="5"/>
        <v>0.4355553883641235</v>
      </c>
      <c r="H361" s="24" t="s">
        <v>558</v>
      </c>
      <c r="I361" s="24" t="s">
        <v>566</v>
      </c>
      <c r="J361" s="24" t="s">
        <v>567</v>
      </c>
      <c r="K361" s="24" t="s">
        <v>563</v>
      </c>
    </row>
    <row r="362" spans="1:11">
      <c r="A362" s="12">
        <v>2012</v>
      </c>
      <c r="B362" s="15" t="s">
        <v>160</v>
      </c>
      <c r="C362" s="15" t="s">
        <v>185</v>
      </c>
      <c r="D362" s="15" t="s">
        <v>186</v>
      </c>
      <c r="E362" s="19">
        <v>77801</v>
      </c>
      <c r="F362" s="19">
        <v>52270</v>
      </c>
      <c r="G362" s="20">
        <f t="shared" si="5"/>
        <v>0.40185744708659116</v>
      </c>
      <c r="H362" s="24" t="s">
        <v>558</v>
      </c>
      <c r="I362" s="24" t="s">
        <v>566</v>
      </c>
      <c r="J362" s="24" t="s">
        <v>567</v>
      </c>
      <c r="K362" s="24" t="s">
        <v>563</v>
      </c>
    </row>
    <row r="363" spans="1:11">
      <c r="A363" s="12">
        <v>2012</v>
      </c>
      <c r="B363" s="15" t="s">
        <v>160</v>
      </c>
      <c r="C363" s="15" t="s">
        <v>189</v>
      </c>
      <c r="D363" s="15" t="s">
        <v>190</v>
      </c>
      <c r="E363" s="19">
        <v>169701</v>
      </c>
      <c r="F363" s="19">
        <v>165247</v>
      </c>
      <c r="G363" s="20">
        <f t="shared" si="5"/>
        <v>0.4933512067544813</v>
      </c>
      <c r="H363" s="24" t="s">
        <v>558</v>
      </c>
      <c r="I363" s="24" t="s">
        <v>566</v>
      </c>
      <c r="J363" s="24" t="s">
        <v>567</v>
      </c>
      <c r="K363" s="24" t="s">
        <v>563</v>
      </c>
    </row>
    <row r="364" spans="1:11">
      <c r="A364" s="12">
        <v>2012</v>
      </c>
      <c r="B364" s="15" t="s">
        <v>160</v>
      </c>
      <c r="C364" s="15" t="s">
        <v>191</v>
      </c>
      <c r="D364" s="15" t="s">
        <v>192</v>
      </c>
      <c r="E364" s="19">
        <v>143445</v>
      </c>
      <c r="F364" s="19">
        <v>127362</v>
      </c>
      <c r="G364" s="20">
        <f t="shared" si="5"/>
        <v>0.47030542046549756</v>
      </c>
      <c r="H364" s="24" t="s">
        <v>558</v>
      </c>
      <c r="I364" s="24" t="s">
        <v>566</v>
      </c>
      <c r="J364" s="24" t="s">
        <v>567</v>
      </c>
      <c r="K364" s="24" t="s">
        <v>563</v>
      </c>
    </row>
    <row r="365" spans="1:11">
      <c r="A365" s="12">
        <v>2012</v>
      </c>
      <c r="B365" s="15" t="s">
        <v>160</v>
      </c>
      <c r="C365" s="15" t="s">
        <v>193</v>
      </c>
      <c r="D365" s="15" t="s">
        <v>194</v>
      </c>
      <c r="E365" s="19">
        <v>363865</v>
      </c>
      <c r="F365" s="19">
        <v>244458</v>
      </c>
      <c r="G365" s="20">
        <f t="shared" si="5"/>
        <v>0.40185559316350034</v>
      </c>
      <c r="H365" s="24" t="s">
        <v>558</v>
      </c>
      <c r="I365" s="24" t="s">
        <v>566</v>
      </c>
      <c r="J365" s="24" t="s">
        <v>567</v>
      </c>
      <c r="K365" s="24" t="s">
        <v>563</v>
      </c>
    </row>
    <row r="366" spans="1:11">
      <c r="A366" s="12">
        <v>2012</v>
      </c>
      <c r="B366" s="15" t="s">
        <v>160</v>
      </c>
      <c r="C366" s="15" t="s">
        <v>195</v>
      </c>
      <c r="D366" s="15" t="s">
        <v>196</v>
      </c>
      <c r="E366" s="19">
        <v>401887</v>
      </c>
      <c r="F366" s="19">
        <v>266074</v>
      </c>
      <c r="G366" s="20">
        <f t="shared" si="5"/>
        <v>0.3983376274962161</v>
      </c>
      <c r="H366" s="24" t="s">
        <v>558</v>
      </c>
      <c r="I366" s="24" t="s">
        <v>561</v>
      </c>
      <c r="J366" s="24" t="s">
        <v>562</v>
      </c>
      <c r="K366" s="24" t="s">
        <v>563</v>
      </c>
    </row>
    <row r="367" spans="1:11">
      <c r="A367" s="12">
        <v>2012</v>
      </c>
      <c r="B367" s="15" t="s">
        <v>160</v>
      </c>
      <c r="C367" s="15" t="s">
        <v>197</v>
      </c>
      <c r="D367" s="15" t="s">
        <v>198</v>
      </c>
      <c r="E367" s="19">
        <v>161396</v>
      </c>
      <c r="F367" s="19">
        <v>165388</v>
      </c>
      <c r="G367" s="20">
        <f t="shared" si="5"/>
        <v>0.50610801018409712</v>
      </c>
      <c r="H367" s="24" t="s">
        <v>558</v>
      </c>
      <c r="I367" s="24" t="s">
        <v>561</v>
      </c>
      <c r="J367" s="24" t="s">
        <v>562</v>
      </c>
      <c r="K367" s="24" t="s">
        <v>563</v>
      </c>
    </row>
    <row r="368" spans="1:11">
      <c r="A368" s="12">
        <v>2012</v>
      </c>
      <c r="B368" s="15" t="s">
        <v>160</v>
      </c>
      <c r="C368" s="15" t="s">
        <v>199</v>
      </c>
      <c r="D368" s="15" t="s">
        <v>200</v>
      </c>
      <c r="E368" s="19">
        <v>188811</v>
      </c>
      <c r="F368" s="19">
        <v>174501</v>
      </c>
      <c r="G368" s="20">
        <f t="shared" si="5"/>
        <v>0.4803061831153389</v>
      </c>
      <c r="H368" s="24" t="s">
        <v>558</v>
      </c>
      <c r="I368" s="24" t="s">
        <v>561</v>
      </c>
      <c r="J368" s="24" t="s">
        <v>562</v>
      </c>
      <c r="K368" s="24" t="s">
        <v>563</v>
      </c>
    </row>
    <row r="369" spans="1:11">
      <c r="A369" s="12">
        <v>2012</v>
      </c>
      <c r="B369" s="15" t="s">
        <v>160</v>
      </c>
      <c r="C369" s="15" t="s">
        <v>201</v>
      </c>
      <c r="D369" s="15" t="s">
        <v>202</v>
      </c>
      <c r="E369" s="19">
        <v>239629</v>
      </c>
      <c r="F369" s="19">
        <v>243241</v>
      </c>
      <c r="G369" s="20">
        <f t="shared" si="5"/>
        <v>0.50374013709694121</v>
      </c>
      <c r="H369" s="24" t="s">
        <v>558</v>
      </c>
      <c r="I369" s="24" t="s">
        <v>561</v>
      </c>
      <c r="J369" s="24" t="s">
        <v>562</v>
      </c>
      <c r="K369" s="24" t="s">
        <v>563</v>
      </c>
    </row>
    <row r="370" spans="1:11">
      <c r="A370" s="12">
        <v>2012</v>
      </c>
      <c r="B370" s="15" t="s">
        <v>160</v>
      </c>
      <c r="C370" s="15" t="s">
        <v>203</v>
      </c>
      <c r="D370" s="15" t="s">
        <v>204</v>
      </c>
      <c r="E370" s="19">
        <v>220986</v>
      </c>
      <c r="F370" s="19">
        <v>192592</v>
      </c>
      <c r="G370" s="20">
        <f t="shared" si="5"/>
        <v>0.46567273887876048</v>
      </c>
      <c r="H370" s="24" t="s">
        <v>558</v>
      </c>
      <c r="I370" s="24" t="s">
        <v>561</v>
      </c>
      <c r="J370" s="24" t="s">
        <v>562</v>
      </c>
      <c r="K370" s="24" t="s">
        <v>563</v>
      </c>
    </row>
    <row r="371" spans="1:11">
      <c r="A371" s="12">
        <v>2012</v>
      </c>
      <c r="B371" s="15" t="s">
        <v>160</v>
      </c>
      <c r="C371" s="15" t="s">
        <v>205</v>
      </c>
      <c r="D371" s="15" t="s">
        <v>206</v>
      </c>
      <c r="E371" s="19">
        <v>229761</v>
      </c>
      <c r="F371" s="19">
        <v>187080</v>
      </c>
      <c r="G371" s="20">
        <f t="shared" si="5"/>
        <v>0.44880422031422051</v>
      </c>
      <c r="H371" s="24" t="s">
        <v>558</v>
      </c>
      <c r="I371" s="24" t="s">
        <v>561</v>
      </c>
      <c r="J371" s="24" t="s">
        <v>562</v>
      </c>
      <c r="K371" s="24" t="s">
        <v>563</v>
      </c>
    </row>
    <row r="372" spans="1:11">
      <c r="A372" s="12">
        <v>2012</v>
      </c>
      <c r="B372" s="15" t="s">
        <v>160</v>
      </c>
      <c r="C372" s="15" t="s">
        <v>207</v>
      </c>
      <c r="D372" s="15" t="s">
        <v>208</v>
      </c>
      <c r="E372" s="19">
        <v>153934</v>
      </c>
      <c r="F372" s="19">
        <v>144929</v>
      </c>
      <c r="G372" s="20">
        <f t="shared" si="5"/>
        <v>0.48493456868197132</v>
      </c>
      <c r="H372" s="24" t="s">
        <v>558</v>
      </c>
      <c r="I372" s="24" t="s">
        <v>561</v>
      </c>
      <c r="J372" s="24" t="s">
        <v>562</v>
      </c>
      <c r="K372" s="24" t="s">
        <v>563</v>
      </c>
    </row>
    <row r="373" spans="1:11">
      <c r="A373" s="12">
        <v>2012</v>
      </c>
      <c r="B373" s="15" t="s">
        <v>160</v>
      </c>
      <c r="C373" s="15" t="s">
        <v>209</v>
      </c>
      <c r="D373" s="15" t="s">
        <v>210</v>
      </c>
      <c r="E373" s="19">
        <v>329277</v>
      </c>
      <c r="F373" s="19">
        <v>212748</v>
      </c>
      <c r="G373" s="20">
        <f t="shared" si="5"/>
        <v>0.39250588072505882</v>
      </c>
      <c r="H373" s="24" t="s">
        <v>558</v>
      </c>
      <c r="I373" s="24" t="s">
        <v>566</v>
      </c>
      <c r="J373" s="24" t="s">
        <v>567</v>
      </c>
      <c r="K373" s="24" t="s">
        <v>563</v>
      </c>
    </row>
    <row r="374" spans="1:11">
      <c r="A374" s="12">
        <v>2012</v>
      </c>
      <c r="B374" s="15" t="s">
        <v>160</v>
      </c>
      <c r="C374" s="15" t="s">
        <v>211</v>
      </c>
      <c r="D374" s="15" t="s">
        <v>212</v>
      </c>
      <c r="E374" s="19">
        <v>289091</v>
      </c>
      <c r="F374" s="19">
        <v>160762</v>
      </c>
      <c r="G374" s="20">
        <f t="shared" si="5"/>
        <v>0.35736562832747587</v>
      </c>
      <c r="H374" s="24" t="s">
        <v>558</v>
      </c>
      <c r="I374" s="24" t="s">
        <v>566</v>
      </c>
      <c r="J374" s="24" t="s">
        <v>567</v>
      </c>
      <c r="K374" s="24" t="s">
        <v>563</v>
      </c>
    </row>
    <row r="375" spans="1:11">
      <c r="A375" s="12">
        <v>2012</v>
      </c>
      <c r="B375" s="15" t="s">
        <v>160</v>
      </c>
      <c r="C375" s="15" t="s">
        <v>213</v>
      </c>
      <c r="D375" s="15" t="s">
        <v>214</v>
      </c>
      <c r="E375" s="19">
        <v>287529</v>
      </c>
      <c r="F375" s="19">
        <v>249424</v>
      </c>
      <c r="G375" s="20">
        <f t="shared" si="5"/>
        <v>0.46451737861600551</v>
      </c>
      <c r="H375" s="24" t="s">
        <v>558</v>
      </c>
      <c r="I375" s="24" t="s">
        <v>566</v>
      </c>
      <c r="J375" s="24" t="s">
        <v>567</v>
      </c>
      <c r="K375" s="24" t="s">
        <v>563</v>
      </c>
    </row>
    <row r="376" spans="1:11">
      <c r="A376" s="12">
        <v>2012</v>
      </c>
      <c r="B376" s="15" t="s">
        <v>160</v>
      </c>
      <c r="C376" s="15" t="s">
        <v>215</v>
      </c>
      <c r="D376" s="15" t="s">
        <v>216</v>
      </c>
      <c r="E376" s="19">
        <v>150283</v>
      </c>
      <c r="F376" s="19">
        <v>103354</v>
      </c>
      <c r="G376" s="20">
        <f t="shared" si="5"/>
        <v>0.40748786651789765</v>
      </c>
      <c r="H376" s="24" t="s">
        <v>558</v>
      </c>
      <c r="I376" s="24" t="s">
        <v>566</v>
      </c>
      <c r="J376" s="24" t="s">
        <v>567</v>
      </c>
      <c r="K376" s="24" t="s">
        <v>563</v>
      </c>
    </row>
    <row r="377" spans="1:11">
      <c r="A377" s="12">
        <v>2012</v>
      </c>
      <c r="B377" s="15" t="s">
        <v>160</v>
      </c>
      <c r="C377" s="15" t="s">
        <v>217</v>
      </c>
      <c r="D377" s="15" t="s">
        <v>218</v>
      </c>
      <c r="E377" s="19">
        <v>287473</v>
      </c>
      <c r="F377" s="19">
        <v>210734</v>
      </c>
      <c r="G377" s="20">
        <f t="shared" si="5"/>
        <v>0.42298482357734835</v>
      </c>
      <c r="H377" s="24" t="s">
        <v>558</v>
      </c>
      <c r="I377" s="24" t="s">
        <v>561</v>
      </c>
      <c r="J377" s="24" t="s">
        <v>562</v>
      </c>
      <c r="K377" s="24" t="s">
        <v>563</v>
      </c>
    </row>
    <row r="378" spans="1:11">
      <c r="A378" s="12">
        <v>2012</v>
      </c>
      <c r="B378" s="15" t="s">
        <v>160</v>
      </c>
      <c r="C378" s="15" t="s">
        <v>219</v>
      </c>
      <c r="D378" s="15" t="s">
        <v>220</v>
      </c>
      <c r="E378" s="19">
        <v>193417</v>
      </c>
      <c r="F378" s="19">
        <v>159841</v>
      </c>
      <c r="G378" s="20">
        <f t="shared" si="5"/>
        <v>0.45247666011810067</v>
      </c>
      <c r="H378" s="24" t="s">
        <v>558</v>
      </c>
      <c r="I378" s="24" t="s">
        <v>561</v>
      </c>
      <c r="J378" s="24" t="s">
        <v>562</v>
      </c>
      <c r="K378" s="24" t="s">
        <v>563</v>
      </c>
    </row>
    <row r="379" spans="1:11">
      <c r="A379" s="12">
        <v>2012</v>
      </c>
      <c r="B379" s="15" t="s">
        <v>160</v>
      </c>
      <c r="C379" s="15" t="s">
        <v>221</v>
      </c>
      <c r="D379" s="15" t="s">
        <v>222</v>
      </c>
      <c r="E379" s="19">
        <v>147967</v>
      </c>
      <c r="F379" s="19">
        <v>137180</v>
      </c>
      <c r="G379" s="20">
        <f t="shared" si="5"/>
        <v>0.48108519465398547</v>
      </c>
      <c r="H379" s="24" t="s">
        <v>558</v>
      </c>
      <c r="I379" s="24" t="s">
        <v>566</v>
      </c>
      <c r="J379" s="24" t="s">
        <v>567</v>
      </c>
      <c r="K379" s="24" t="s">
        <v>563</v>
      </c>
    </row>
    <row r="380" spans="1:11">
      <c r="A380" s="12">
        <v>2012</v>
      </c>
      <c r="B380" s="15" t="s">
        <v>160</v>
      </c>
      <c r="C380" s="15" t="s">
        <v>223</v>
      </c>
      <c r="D380" s="15" t="s">
        <v>224</v>
      </c>
      <c r="E380" s="19">
        <v>74081</v>
      </c>
      <c r="F380" s="19">
        <v>64664</v>
      </c>
      <c r="G380" s="20">
        <f t="shared" si="5"/>
        <v>0.46606364193304262</v>
      </c>
      <c r="H380" s="24" t="s">
        <v>558</v>
      </c>
      <c r="I380" s="24" t="s">
        <v>566</v>
      </c>
      <c r="J380" s="24" t="s">
        <v>567</v>
      </c>
      <c r="K380" s="24" t="s">
        <v>563</v>
      </c>
    </row>
    <row r="381" spans="1:11">
      <c r="A381" s="12">
        <v>2012</v>
      </c>
      <c r="B381" s="15" t="s">
        <v>160</v>
      </c>
      <c r="C381" s="15" t="s">
        <v>225</v>
      </c>
      <c r="D381" s="15" t="s">
        <v>226</v>
      </c>
      <c r="E381" s="19">
        <v>83694</v>
      </c>
      <c r="F381" s="19">
        <v>63383</v>
      </c>
      <c r="G381" s="20">
        <f t="shared" si="5"/>
        <v>0.43095113443978322</v>
      </c>
      <c r="H381" s="24" t="s">
        <v>558</v>
      </c>
      <c r="I381" s="24" t="s">
        <v>566</v>
      </c>
      <c r="J381" s="24" t="s">
        <v>567</v>
      </c>
      <c r="K381" s="24" t="s">
        <v>563</v>
      </c>
    </row>
    <row r="382" spans="1:11">
      <c r="A382" s="12">
        <v>2012</v>
      </c>
      <c r="B382" s="15" t="s">
        <v>160</v>
      </c>
      <c r="C382" s="15" t="s">
        <v>229</v>
      </c>
      <c r="D382" s="15" t="s">
        <v>230</v>
      </c>
      <c r="E382" s="19">
        <v>33001</v>
      </c>
      <c r="F382" s="19">
        <v>31128</v>
      </c>
      <c r="G382" s="20">
        <f t="shared" si="5"/>
        <v>0.48539662243290865</v>
      </c>
      <c r="H382" s="24" t="s">
        <v>558</v>
      </c>
      <c r="I382" s="24" t="s">
        <v>566</v>
      </c>
      <c r="J382" s="24" t="s">
        <v>567</v>
      </c>
      <c r="K382" s="24" t="s">
        <v>563</v>
      </c>
    </row>
    <row r="383" spans="1:11">
      <c r="A383" s="12">
        <v>2012</v>
      </c>
      <c r="B383" s="15" t="s">
        <v>160</v>
      </c>
      <c r="C383" s="15" t="s">
        <v>231</v>
      </c>
      <c r="D383" s="15" t="s">
        <v>232</v>
      </c>
      <c r="E383" s="19">
        <v>160766</v>
      </c>
      <c r="F383" s="19">
        <v>111614</v>
      </c>
      <c r="G383" s="20">
        <f t="shared" si="5"/>
        <v>0.40977311109479403</v>
      </c>
      <c r="H383" s="24" t="s">
        <v>558</v>
      </c>
      <c r="I383" s="24" t="s">
        <v>566</v>
      </c>
      <c r="J383" s="24" t="s">
        <v>567</v>
      </c>
      <c r="K383" s="24" t="s">
        <v>563</v>
      </c>
    </row>
    <row r="384" spans="1:11">
      <c r="A384" s="12">
        <v>2012</v>
      </c>
      <c r="B384" s="15" t="s">
        <v>160</v>
      </c>
      <c r="C384" s="15" t="s">
        <v>233</v>
      </c>
      <c r="D384" s="15" t="s">
        <v>234</v>
      </c>
      <c r="E384" s="19">
        <v>715246</v>
      </c>
      <c r="F384" s="19">
        <v>570000</v>
      </c>
      <c r="G384" s="20">
        <f t="shared" si="5"/>
        <v>0.44349486401825022</v>
      </c>
      <c r="H384" s="24" t="s">
        <v>558</v>
      </c>
      <c r="I384" s="24" t="s">
        <v>566</v>
      </c>
      <c r="J384" s="24" t="s">
        <v>567</v>
      </c>
      <c r="K384" s="24" t="s">
        <v>563</v>
      </c>
    </row>
    <row r="385" spans="1:11">
      <c r="A385" s="12">
        <v>2012</v>
      </c>
      <c r="B385" s="15" t="s">
        <v>160</v>
      </c>
      <c r="C385" s="15" t="s">
        <v>241</v>
      </c>
      <c r="D385" s="15" t="s">
        <v>242</v>
      </c>
      <c r="E385" s="19">
        <v>102973</v>
      </c>
      <c r="F385" s="19">
        <v>120060</v>
      </c>
      <c r="G385" s="20">
        <f t="shared" si="5"/>
        <v>0.53830599059332029</v>
      </c>
      <c r="H385" s="24" t="s">
        <v>558</v>
      </c>
      <c r="I385" s="24" t="s">
        <v>566</v>
      </c>
      <c r="J385" s="24" t="s">
        <v>567</v>
      </c>
      <c r="K385" s="24" t="s">
        <v>563</v>
      </c>
    </row>
    <row r="386" spans="1:11">
      <c r="A386" s="12">
        <v>2012</v>
      </c>
      <c r="B386" s="15" t="s">
        <v>160</v>
      </c>
      <c r="C386" s="15" t="s">
        <v>243</v>
      </c>
      <c r="D386" s="15" t="s">
        <v>244</v>
      </c>
      <c r="E386" s="19">
        <v>351660</v>
      </c>
      <c r="F386" s="19">
        <v>201845</v>
      </c>
      <c r="G386" s="20">
        <f t="shared" si="5"/>
        <v>0.36466698584475299</v>
      </c>
      <c r="H386" s="24" t="s">
        <v>558</v>
      </c>
      <c r="I386" s="24" t="s">
        <v>561</v>
      </c>
      <c r="J386" s="24" t="s">
        <v>562</v>
      </c>
      <c r="K386" s="24" t="s">
        <v>563</v>
      </c>
    </row>
    <row r="387" spans="1:11">
      <c r="A387" s="12">
        <v>2012</v>
      </c>
      <c r="B387" s="15" t="s">
        <v>160</v>
      </c>
      <c r="C387" s="15" t="s">
        <v>245</v>
      </c>
      <c r="D387" s="15" t="s">
        <v>246</v>
      </c>
      <c r="E387" s="19">
        <v>171349</v>
      </c>
      <c r="F387" s="19">
        <v>98109</v>
      </c>
      <c r="G387" s="20">
        <f t="shared" si="5"/>
        <v>0.36409755880322719</v>
      </c>
      <c r="H387" s="24" t="s">
        <v>558</v>
      </c>
      <c r="I387" s="24" t="s">
        <v>566</v>
      </c>
      <c r="J387" s="24" t="s">
        <v>567</v>
      </c>
      <c r="K387" s="24" t="s">
        <v>563</v>
      </c>
    </row>
    <row r="388" spans="1:11">
      <c r="A388" s="12">
        <v>2012</v>
      </c>
      <c r="B388" s="15" t="s">
        <v>160</v>
      </c>
      <c r="C388" s="15" t="s">
        <v>247</v>
      </c>
      <c r="D388" s="15" t="s">
        <v>248</v>
      </c>
      <c r="E388" s="19">
        <v>310711</v>
      </c>
      <c r="F388" s="19">
        <v>233787</v>
      </c>
      <c r="G388" s="20">
        <f t="shared" si="5"/>
        <v>0.42936245863162031</v>
      </c>
      <c r="H388" s="24" t="s">
        <v>558</v>
      </c>
      <c r="I388" s="24" t="s">
        <v>566</v>
      </c>
      <c r="J388" s="24" t="s">
        <v>567</v>
      </c>
      <c r="K388" s="24" t="s">
        <v>563</v>
      </c>
    </row>
    <row r="389" spans="1:11">
      <c r="A389" s="12">
        <v>2012</v>
      </c>
      <c r="B389" s="15" t="s">
        <v>160</v>
      </c>
      <c r="C389" s="15" t="s">
        <v>249</v>
      </c>
      <c r="D389" s="15" t="s">
        <v>250</v>
      </c>
      <c r="E389" s="19">
        <v>367245</v>
      </c>
      <c r="F389" s="19">
        <v>188382</v>
      </c>
      <c r="G389" s="20">
        <f t="shared" si="5"/>
        <v>0.33904399894173609</v>
      </c>
      <c r="H389" s="24" t="s">
        <v>558</v>
      </c>
      <c r="I389" s="24" t="s">
        <v>566</v>
      </c>
      <c r="J389" s="24" t="s">
        <v>567</v>
      </c>
      <c r="K389" s="24" t="s">
        <v>563</v>
      </c>
    </row>
    <row r="390" spans="1:11">
      <c r="A390" s="12">
        <v>2012</v>
      </c>
      <c r="B390" s="15" t="s">
        <v>160</v>
      </c>
      <c r="C390" s="15" t="s">
        <v>251</v>
      </c>
      <c r="D390" s="15" t="s">
        <v>252</v>
      </c>
      <c r="E390" s="19">
        <v>125639</v>
      </c>
      <c r="F390" s="19">
        <v>88356</v>
      </c>
      <c r="G390" s="20">
        <f t="shared" ref="G390:G453" si="6">IFERROR(F390/(E390+F390),"")</f>
        <v>0.41288815159232695</v>
      </c>
      <c r="H390" s="24" t="s">
        <v>558</v>
      </c>
      <c r="I390" s="24" t="s">
        <v>566</v>
      </c>
      <c r="J390" s="24" t="s">
        <v>567</v>
      </c>
      <c r="K390" s="24" t="s">
        <v>563</v>
      </c>
    </row>
    <row r="391" spans="1:11">
      <c r="A391" s="12">
        <v>2012</v>
      </c>
      <c r="B391" s="15" t="s">
        <v>160</v>
      </c>
      <c r="C391" s="15" t="s">
        <v>253</v>
      </c>
      <c r="D391" s="15" t="s">
        <v>254</v>
      </c>
      <c r="E391" s="19">
        <v>108857</v>
      </c>
      <c r="F391" s="19">
        <v>93479</v>
      </c>
      <c r="G391" s="20">
        <f t="shared" si="6"/>
        <v>0.46199885339237706</v>
      </c>
      <c r="H391" s="24" t="s">
        <v>558</v>
      </c>
      <c r="I391" s="24" t="s">
        <v>566</v>
      </c>
      <c r="J391" s="24" t="s">
        <v>567</v>
      </c>
      <c r="K391" s="24" t="s">
        <v>563</v>
      </c>
    </row>
    <row r="392" spans="1:11">
      <c r="A392" s="12">
        <v>2012</v>
      </c>
      <c r="B392" s="15" t="s">
        <v>160</v>
      </c>
      <c r="C392" s="15" t="s">
        <v>255</v>
      </c>
      <c r="D392" s="15" t="s">
        <v>256</v>
      </c>
      <c r="E392" s="19">
        <v>425988</v>
      </c>
      <c r="F392" s="19">
        <v>330775</v>
      </c>
      <c r="G392" s="20">
        <f t="shared" si="6"/>
        <v>0.43709192970586563</v>
      </c>
      <c r="H392" s="24" t="s">
        <v>558</v>
      </c>
      <c r="I392" s="24" t="s">
        <v>566</v>
      </c>
      <c r="J392" s="24" t="s">
        <v>567</v>
      </c>
      <c r="K392" s="24" t="s">
        <v>563</v>
      </c>
    </row>
    <row r="393" spans="1:11">
      <c r="A393" s="12">
        <v>2012</v>
      </c>
      <c r="B393" s="15" t="s">
        <v>257</v>
      </c>
      <c r="C393" s="15" t="s">
        <v>22</v>
      </c>
      <c r="D393" s="15" t="s">
        <v>257</v>
      </c>
      <c r="E393" s="19">
        <v>1332760</v>
      </c>
      <c r="F393" s="19">
        <v>393832</v>
      </c>
      <c r="G393" s="20">
        <f t="shared" si="6"/>
        <v>0.22809789458076951</v>
      </c>
      <c r="H393" s="24" t="s">
        <v>558</v>
      </c>
      <c r="I393" s="24" t="s">
        <v>566</v>
      </c>
      <c r="J393" s="24" t="s">
        <v>567</v>
      </c>
      <c r="K393" s="24" t="s">
        <v>563</v>
      </c>
    </row>
    <row r="394" spans="1:11">
      <c r="A394" s="12">
        <v>2012</v>
      </c>
      <c r="B394" s="15" t="s">
        <v>257</v>
      </c>
      <c r="C394" s="15" t="s">
        <v>258</v>
      </c>
      <c r="D394" s="15" t="s">
        <v>259</v>
      </c>
      <c r="E394" s="19">
        <v>187368</v>
      </c>
      <c r="F394" s="19">
        <v>55612</v>
      </c>
      <c r="G394" s="20">
        <f t="shared" si="6"/>
        <v>0.22887480451065931</v>
      </c>
      <c r="H394" s="24" t="s">
        <v>558</v>
      </c>
      <c r="I394" s="24" t="s">
        <v>566</v>
      </c>
      <c r="J394" s="24" t="s">
        <v>567</v>
      </c>
      <c r="K394" s="24" t="s">
        <v>563</v>
      </c>
    </row>
    <row r="395" spans="1:11">
      <c r="A395" s="12">
        <v>2012</v>
      </c>
      <c r="B395" s="15" t="s">
        <v>257</v>
      </c>
      <c r="C395" s="15" t="s">
        <v>260</v>
      </c>
      <c r="D395" s="15" t="s">
        <v>261</v>
      </c>
      <c r="E395" s="19">
        <v>17622</v>
      </c>
      <c r="F395" s="19">
        <v>24272</v>
      </c>
      <c r="G395" s="20">
        <f t="shared" si="6"/>
        <v>0.57936697379099633</v>
      </c>
      <c r="H395" s="24" t="s">
        <v>558</v>
      </c>
      <c r="I395" s="24" t="s">
        <v>566</v>
      </c>
      <c r="J395" s="24" t="s">
        <v>567</v>
      </c>
      <c r="K395" s="24" t="s">
        <v>563</v>
      </c>
    </row>
    <row r="396" spans="1:11">
      <c r="A396" s="12">
        <v>2012</v>
      </c>
      <c r="B396" s="15" t="s">
        <v>257</v>
      </c>
      <c r="C396" s="15" t="s">
        <v>262</v>
      </c>
      <c r="D396" s="15" t="s">
        <v>263</v>
      </c>
      <c r="E396" s="19">
        <v>80670</v>
      </c>
      <c r="F396" s="19">
        <v>40802</v>
      </c>
      <c r="G396" s="20">
        <f t="shared" si="6"/>
        <v>0.33589633825079029</v>
      </c>
      <c r="H396" s="24" t="s">
        <v>558</v>
      </c>
      <c r="I396" s="24" t="s">
        <v>566</v>
      </c>
      <c r="J396" s="24" t="s">
        <v>567</v>
      </c>
      <c r="K396" s="24" t="s">
        <v>563</v>
      </c>
    </row>
    <row r="397" spans="1:11">
      <c r="A397" s="12">
        <v>2012</v>
      </c>
      <c r="B397" s="15" t="s">
        <v>257</v>
      </c>
      <c r="C397" s="15" t="s">
        <v>264</v>
      </c>
      <c r="D397" s="15" t="s">
        <v>265</v>
      </c>
      <c r="E397" s="19">
        <v>58189</v>
      </c>
      <c r="F397" s="19">
        <v>41523</v>
      </c>
      <c r="G397" s="20">
        <f t="shared" si="6"/>
        <v>0.41642931643132219</v>
      </c>
      <c r="H397" s="24" t="s">
        <v>558</v>
      </c>
      <c r="I397" s="24" t="s">
        <v>566</v>
      </c>
      <c r="J397" s="24" t="s">
        <v>567</v>
      </c>
      <c r="K397" s="24" t="s">
        <v>563</v>
      </c>
    </row>
    <row r="398" spans="1:11">
      <c r="A398" s="12">
        <v>2012</v>
      </c>
      <c r="B398" s="15" t="s">
        <v>257</v>
      </c>
      <c r="C398" s="15" t="s">
        <v>266</v>
      </c>
      <c r="D398" s="15" t="s">
        <v>267</v>
      </c>
      <c r="E398" s="19">
        <v>70951</v>
      </c>
      <c r="F398" s="19">
        <v>32550</v>
      </c>
      <c r="G398" s="20">
        <f t="shared" si="6"/>
        <v>0.31448971507521667</v>
      </c>
      <c r="H398" s="24" t="s">
        <v>558</v>
      </c>
      <c r="I398" s="24" t="s">
        <v>566</v>
      </c>
      <c r="J398" s="24" t="s">
        <v>567</v>
      </c>
      <c r="K398" s="24" t="s">
        <v>563</v>
      </c>
    </row>
    <row r="399" spans="1:11">
      <c r="A399" s="12">
        <v>2012</v>
      </c>
      <c r="B399" s="15" t="s">
        <v>257</v>
      </c>
      <c r="C399" s="15" t="s">
        <v>268</v>
      </c>
      <c r="D399" s="15" t="s">
        <v>269</v>
      </c>
      <c r="E399" s="19">
        <v>16958</v>
      </c>
      <c r="F399" s="19">
        <v>16044</v>
      </c>
      <c r="G399" s="20">
        <f t="shared" si="6"/>
        <v>0.48615235440276344</v>
      </c>
      <c r="H399" s="24" t="s">
        <v>558</v>
      </c>
      <c r="I399" s="24" t="s">
        <v>566</v>
      </c>
      <c r="J399" s="24" t="s">
        <v>567</v>
      </c>
      <c r="K399" s="24" t="s">
        <v>563</v>
      </c>
    </row>
    <row r="400" spans="1:11">
      <c r="A400" s="12">
        <v>2012</v>
      </c>
      <c r="B400" s="15" t="s">
        <v>257</v>
      </c>
      <c r="C400" s="15" t="s">
        <v>270</v>
      </c>
      <c r="D400" s="15" t="s">
        <v>271</v>
      </c>
      <c r="E400" s="19">
        <v>17631</v>
      </c>
      <c r="F400" s="19">
        <v>22803</v>
      </c>
      <c r="G400" s="20">
        <f t="shared" si="6"/>
        <v>0.56395607656922397</v>
      </c>
      <c r="H400" s="24" t="s">
        <v>558</v>
      </c>
      <c r="I400" s="24" t="s">
        <v>566</v>
      </c>
      <c r="J400" s="24" t="s">
        <v>567</v>
      </c>
      <c r="K400" s="24" t="s">
        <v>563</v>
      </c>
    </row>
    <row r="401" spans="1:11">
      <c r="A401" s="12">
        <v>2012</v>
      </c>
      <c r="B401" s="15" t="s">
        <v>257</v>
      </c>
      <c r="C401" s="15" t="s">
        <v>272</v>
      </c>
      <c r="D401" s="15" t="s">
        <v>273</v>
      </c>
      <c r="E401" s="19">
        <v>30101</v>
      </c>
      <c r="F401" s="19">
        <v>26737</v>
      </c>
      <c r="G401" s="20">
        <f t="shared" si="6"/>
        <v>0.47040712199584783</v>
      </c>
      <c r="H401" s="24" t="s">
        <v>558</v>
      </c>
      <c r="I401" s="24" t="s">
        <v>566</v>
      </c>
      <c r="J401" s="24" t="s">
        <v>567</v>
      </c>
      <c r="K401" s="24" t="s">
        <v>563</v>
      </c>
    </row>
    <row r="402" spans="1:11">
      <c r="A402" s="12">
        <v>2012</v>
      </c>
      <c r="B402" s="15" t="s">
        <v>257</v>
      </c>
      <c r="C402" s="15" t="s">
        <v>274</v>
      </c>
      <c r="D402" s="15" t="s">
        <v>275</v>
      </c>
      <c r="E402" s="19">
        <v>281100</v>
      </c>
      <c r="F402" s="19">
        <v>97628</v>
      </c>
      <c r="G402" s="20">
        <f t="shared" si="6"/>
        <v>0.25777866965209861</v>
      </c>
      <c r="H402" s="24" t="s">
        <v>558</v>
      </c>
      <c r="I402" s="24" t="s">
        <v>566</v>
      </c>
      <c r="J402" s="24" t="s">
        <v>567</v>
      </c>
      <c r="K402" s="24" t="s">
        <v>563</v>
      </c>
    </row>
    <row r="403" spans="1:11">
      <c r="A403" s="12">
        <v>2012</v>
      </c>
      <c r="B403" s="15" t="s">
        <v>257</v>
      </c>
      <c r="C403" s="15" t="s">
        <v>276</v>
      </c>
      <c r="D403" s="15" t="s">
        <v>277</v>
      </c>
      <c r="E403" s="19">
        <v>24556</v>
      </c>
      <c r="F403" s="19">
        <v>22524</v>
      </c>
      <c r="G403" s="20">
        <f t="shared" si="6"/>
        <v>0.47841971112999149</v>
      </c>
      <c r="H403" s="24" t="s">
        <v>558</v>
      </c>
      <c r="I403" s="24" t="s">
        <v>566</v>
      </c>
      <c r="J403" s="24" t="s">
        <v>567</v>
      </c>
      <c r="K403" s="24" t="s">
        <v>563</v>
      </c>
    </row>
    <row r="404" spans="1:11">
      <c r="A404" s="12">
        <v>2012</v>
      </c>
      <c r="B404" s="15" t="s">
        <v>257</v>
      </c>
      <c r="C404" s="15" t="s">
        <v>278</v>
      </c>
      <c r="D404" s="15" t="s">
        <v>279</v>
      </c>
      <c r="E404" s="19">
        <v>27108</v>
      </c>
      <c r="F404" s="19">
        <v>29510</v>
      </c>
      <c r="G404" s="20">
        <f t="shared" si="6"/>
        <v>0.52121233529972799</v>
      </c>
      <c r="H404" s="24" t="s">
        <v>558</v>
      </c>
      <c r="I404" s="24" t="s">
        <v>566</v>
      </c>
      <c r="J404" s="24" t="s">
        <v>567</v>
      </c>
      <c r="K404" s="24" t="s">
        <v>563</v>
      </c>
    </row>
    <row r="405" spans="1:11">
      <c r="A405" s="12">
        <v>2012</v>
      </c>
      <c r="B405" s="15" t="s">
        <v>257</v>
      </c>
      <c r="C405" s="15" t="s">
        <v>280</v>
      </c>
      <c r="D405" s="15" t="s">
        <v>281</v>
      </c>
      <c r="E405" s="19">
        <v>37801</v>
      </c>
      <c r="F405" s="19">
        <v>31346</v>
      </c>
      <c r="G405" s="20">
        <f t="shared" si="6"/>
        <v>0.4533240776895599</v>
      </c>
      <c r="H405" s="24" t="s">
        <v>558</v>
      </c>
      <c r="I405" s="24" t="s">
        <v>566</v>
      </c>
      <c r="J405" s="24" t="s">
        <v>567</v>
      </c>
      <c r="K405" s="24" t="s">
        <v>563</v>
      </c>
    </row>
    <row r="406" spans="1:11">
      <c r="A406" s="12">
        <v>2012</v>
      </c>
      <c r="B406" s="15" t="s">
        <v>257</v>
      </c>
      <c r="C406" s="15" t="s">
        <v>282</v>
      </c>
      <c r="D406" s="15" t="s">
        <v>283</v>
      </c>
      <c r="E406" s="19">
        <v>237064</v>
      </c>
      <c r="F406" s="19">
        <v>70904</v>
      </c>
      <c r="G406" s="20">
        <f t="shared" si="6"/>
        <v>0.23023171238570242</v>
      </c>
      <c r="H406" s="24" t="s">
        <v>558</v>
      </c>
      <c r="I406" s="24" t="s">
        <v>566</v>
      </c>
      <c r="J406" s="24" t="s">
        <v>567</v>
      </c>
      <c r="K406" s="24" t="s">
        <v>563</v>
      </c>
    </row>
    <row r="407" spans="1:11">
      <c r="A407" s="12">
        <v>2012</v>
      </c>
      <c r="B407" s="15" t="s">
        <v>257</v>
      </c>
      <c r="C407" s="15" t="s">
        <v>284</v>
      </c>
      <c r="D407" s="15" t="s">
        <v>285</v>
      </c>
      <c r="E407" s="19">
        <v>40651</v>
      </c>
      <c r="F407" s="19">
        <v>25479</v>
      </c>
      <c r="G407" s="20">
        <f t="shared" si="6"/>
        <v>0.38528655678209589</v>
      </c>
      <c r="H407" s="24" t="s">
        <v>558</v>
      </c>
      <c r="I407" s="24" t="s">
        <v>566</v>
      </c>
      <c r="J407" s="24" t="s">
        <v>567</v>
      </c>
      <c r="K407" s="24" t="s">
        <v>563</v>
      </c>
    </row>
    <row r="408" spans="1:11">
      <c r="A408" s="12">
        <v>2012</v>
      </c>
      <c r="B408" s="15" t="s">
        <v>257</v>
      </c>
      <c r="C408" s="15" t="s">
        <v>286</v>
      </c>
      <c r="D408" s="15" t="s">
        <v>287</v>
      </c>
      <c r="E408" s="19">
        <v>31498</v>
      </c>
      <c r="F408" s="19">
        <v>32100</v>
      </c>
      <c r="G408" s="20">
        <f t="shared" si="6"/>
        <v>0.50473285323437844</v>
      </c>
      <c r="H408" s="24" t="s">
        <v>558</v>
      </c>
      <c r="I408" s="24" t="s">
        <v>566</v>
      </c>
      <c r="J408" s="24" t="s">
        <v>567</v>
      </c>
      <c r="K408" s="24" t="s">
        <v>563</v>
      </c>
    </row>
    <row r="409" spans="1:11">
      <c r="A409" s="12">
        <v>2012</v>
      </c>
      <c r="B409" s="15" t="s">
        <v>257</v>
      </c>
      <c r="C409" s="15" t="s">
        <v>288</v>
      </c>
      <c r="D409" s="15" t="s">
        <v>289</v>
      </c>
      <c r="E409" s="19">
        <v>55681</v>
      </c>
      <c r="F409" s="19">
        <v>37150</v>
      </c>
      <c r="G409" s="20">
        <f t="shared" si="6"/>
        <v>0.4001895918389331</v>
      </c>
      <c r="H409" s="24" t="s">
        <v>558</v>
      </c>
      <c r="I409" s="24" t="s">
        <v>566</v>
      </c>
      <c r="J409" s="24" t="s">
        <v>567</v>
      </c>
      <c r="K409" s="24" t="s">
        <v>563</v>
      </c>
    </row>
    <row r="410" spans="1:11">
      <c r="A410" s="12">
        <v>2012</v>
      </c>
      <c r="B410" s="15" t="s">
        <v>257</v>
      </c>
      <c r="C410" s="15" t="s">
        <v>290</v>
      </c>
      <c r="D410" s="15" t="s">
        <v>291</v>
      </c>
      <c r="E410" s="19">
        <v>17618</v>
      </c>
      <c r="F410" s="19">
        <v>18780</v>
      </c>
      <c r="G410" s="20">
        <f t="shared" si="6"/>
        <v>0.51596241551733613</v>
      </c>
      <c r="H410" s="24" t="s">
        <v>558</v>
      </c>
      <c r="I410" s="24" t="s">
        <v>566</v>
      </c>
      <c r="J410" s="24" t="s">
        <v>567</v>
      </c>
      <c r="K410" s="24" t="s">
        <v>563</v>
      </c>
    </row>
    <row r="411" spans="1:11">
      <c r="A411" s="12">
        <v>2012</v>
      </c>
      <c r="B411" s="15" t="s">
        <v>257</v>
      </c>
      <c r="C411" s="15" t="s">
        <v>292</v>
      </c>
      <c r="D411" s="15" t="s">
        <v>293</v>
      </c>
      <c r="E411" s="19">
        <v>33546</v>
      </c>
      <c r="F411" s="19">
        <v>31575</v>
      </c>
      <c r="G411" s="20">
        <f t="shared" si="6"/>
        <v>0.48486663288340165</v>
      </c>
      <c r="H411" s="24" t="s">
        <v>558</v>
      </c>
      <c r="I411" s="24" t="s">
        <v>566</v>
      </c>
      <c r="J411" s="24" t="s">
        <v>567</v>
      </c>
      <c r="K411" s="24" t="s">
        <v>563</v>
      </c>
    </row>
    <row r="412" spans="1:11">
      <c r="A412" s="12">
        <v>2012</v>
      </c>
      <c r="B412" s="15" t="s">
        <v>294</v>
      </c>
      <c r="C412" s="15" t="s">
        <v>22</v>
      </c>
      <c r="D412" s="15" t="s">
        <v>294</v>
      </c>
      <c r="E412" s="19">
        <v>1391999</v>
      </c>
      <c r="F412" s="19">
        <v>444684</v>
      </c>
      <c r="G412" s="20">
        <f t="shared" si="6"/>
        <v>0.24211254745647454</v>
      </c>
      <c r="H412" s="24" t="s">
        <v>555</v>
      </c>
      <c r="I412" s="24" t="s">
        <v>564</v>
      </c>
      <c r="J412" s="24" t="s">
        <v>565</v>
      </c>
      <c r="K412" s="24" t="s">
        <v>563</v>
      </c>
    </row>
    <row r="413" spans="1:11">
      <c r="A413" s="12">
        <v>2012</v>
      </c>
      <c r="B413" s="15" t="s">
        <v>294</v>
      </c>
      <c r="C413" s="15" t="s">
        <v>295</v>
      </c>
      <c r="D413" s="15" t="s">
        <v>296</v>
      </c>
      <c r="E413" s="19">
        <v>25672</v>
      </c>
      <c r="F413" s="19">
        <v>29417</v>
      </c>
      <c r="G413" s="20">
        <f t="shared" si="6"/>
        <v>0.5339904518143368</v>
      </c>
      <c r="H413" s="24" t="s">
        <v>555</v>
      </c>
      <c r="I413" s="24" t="s">
        <v>564</v>
      </c>
      <c r="J413" s="24" t="s">
        <v>565</v>
      </c>
      <c r="K413" s="24" t="s">
        <v>563</v>
      </c>
    </row>
    <row r="414" spans="1:11">
      <c r="A414" s="12">
        <v>2012</v>
      </c>
      <c r="B414" s="15" t="s">
        <v>294</v>
      </c>
      <c r="C414" s="15" t="s">
        <v>297</v>
      </c>
      <c r="D414" s="15" t="s">
        <v>298</v>
      </c>
      <c r="E414" s="19">
        <v>22695</v>
      </c>
      <c r="F414" s="19">
        <v>24361</v>
      </c>
      <c r="G414" s="20">
        <f t="shared" si="6"/>
        <v>0.5177023121387283</v>
      </c>
      <c r="H414" s="24" t="s">
        <v>555</v>
      </c>
      <c r="I414" s="24" t="s">
        <v>564</v>
      </c>
      <c r="J414" s="24" t="s">
        <v>565</v>
      </c>
      <c r="K414" s="24" t="s">
        <v>563</v>
      </c>
    </row>
    <row r="415" spans="1:11">
      <c r="A415" s="12">
        <v>2012</v>
      </c>
      <c r="B415" s="15" t="s">
        <v>294</v>
      </c>
      <c r="C415" s="15" t="s">
        <v>299</v>
      </c>
      <c r="D415" s="15" t="s">
        <v>300</v>
      </c>
      <c r="E415" s="19">
        <v>27338</v>
      </c>
      <c r="F415" s="19">
        <v>22334</v>
      </c>
      <c r="G415" s="20">
        <f t="shared" si="6"/>
        <v>0.44962956997906267</v>
      </c>
      <c r="H415" s="24" t="s">
        <v>555</v>
      </c>
      <c r="I415" s="24" t="s">
        <v>564</v>
      </c>
      <c r="J415" s="24" t="s">
        <v>565</v>
      </c>
      <c r="K415" s="24" t="s">
        <v>563</v>
      </c>
    </row>
    <row r="416" spans="1:11">
      <c r="A416" s="12">
        <v>2012</v>
      </c>
      <c r="B416" s="15" t="s">
        <v>294</v>
      </c>
      <c r="C416" s="15" t="s">
        <v>301</v>
      </c>
      <c r="D416" s="15" t="s">
        <v>302</v>
      </c>
      <c r="E416" s="19">
        <v>41018</v>
      </c>
      <c r="F416" s="19">
        <v>31532</v>
      </c>
      <c r="G416" s="20">
        <f t="shared" si="6"/>
        <v>0.43462439696760857</v>
      </c>
      <c r="H416" s="24" t="s">
        <v>555</v>
      </c>
      <c r="I416" s="24" t="s">
        <v>564</v>
      </c>
      <c r="J416" s="24" t="s">
        <v>565</v>
      </c>
      <c r="K416" s="24" t="s">
        <v>563</v>
      </c>
    </row>
    <row r="417" spans="1:11">
      <c r="A417" s="12">
        <v>2012</v>
      </c>
      <c r="B417" s="15" t="s">
        <v>294</v>
      </c>
      <c r="C417" s="15" t="s">
        <v>303</v>
      </c>
      <c r="D417" s="15" t="s">
        <v>304</v>
      </c>
      <c r="E417" s="19">
        <v>44342</v>
      </c>
      <c r="F417" s="19">
        <v>33463</v>
      </c>
      <c r="G417" s="20">
        <f t="shared" si="6"/>
        <v>0.4300880406143564</v>
      </c>
      <c r="H417" s="24" t="s">
        <v>555</v>
      </c>
      <c r="I417" s="24" t="s">
        <v>564</v>
      </c>
      <c r="J417" s="24" t="s">
        <v>565</v>
      </c>
      <c r="K417" s="24" t="s">
        <v>563</v>
      </c>
    </row>
    <row r="418" spans="1:11">
      <c r="A418" s="12">
        <v>2012</v>
      </c>
      <c r="B418" s="15" t="s">
        <v>294</v>
      </c>
      <c r="C418" s="15" t="s">
        <v>305</v>
      </c>
      <c r="D418" s="15" t="s">
        <v>306</v>
      </c>
      <c r="E418" s="19">
        <v>76521</v>
      </c>
      <c r="F418" s="19">
        <v>62480</v>
      </c>
      <c r="G418" s="20">
        <f t="shared" si="6"/>
        <v>0.44949316911389126</v>
      </c>
      <c r="H418" s="24" t="s">
        <v>555</v>
      </c>
      <c r="I418" s="24" t="s">
        <v>564</v>
      </c>
      <c r="J418" s="24" t="s">
        <v>565</v>
      </c>
      <c r="K418" s="24" t="s">
        <v>563</v>
      </c>
    </row>
    <row r="419" spans="1:11">
      <c r="A419" s="12">
        <v>2012</v>
      </c>
      <c r="B419" s="15" t="s">
        <v>294</v>
      </c>
      <c r="C419" s="15" t="s">
        <v>307</v>
      </c>
      <c r="D419" s="15" t="s">
        <v>308</v>
      </c>
      <c r="E419" s="19">
        <v>118971</v>
      </c>
      <c r="F419" s="19">
        <v>54000</v>
      </c>
      <c r="G419" s="20">
        <f t="shared" si="6"/>
        <v>0.31219106092928872</v>
      </c>
      <c r="H419" s="24" t="s">
        <v>555</v>
      </c>
      <c r="I419" s="24" t="s">
        <v>564</v>
      </c>
      <c r="J419" s="24" t="s">
        <v>565</v>
      </c>
      <c r="K419" s="24" t="s">
        <v>563</v>
      </c>
    </row>
    <row r="420" spans="1:11">
      <c r="A420" s="12">
        <v>2012</v>
      </c>
      <c r="B420" s="15" t="s">
        <v>294</v>
      </c>
      <c r="C420" s="15" t="s">
        <v>309</v>
      </c>
      <c r="D420" s="15" t="s">
        <v>310</v>
      </c>
      <c r="E420" s="19">
        <v>27121</v>
      </c>
      <c r="F420" s="19">
        <v>23896</v>
      </c>
      <c r="G420" s="20">
        <f t="shared" si="6"/>
        <v>0.46839288864496148</v>
      </c>
      <c r="H420" s="24" t="s">
        <v>555</v>
      </c>
      <c r="I420" s="24" t="s">
        <v>564</v>
      </c>
      <c r="J420" s="24" t="s">
        <v>565</v>
      </c>
      <c r="K420" s="24" t="s">
        <v>563</v>
      </c>
    </row>
    <row r="421" spans="1:11">
      <c r="A421" s="12">
        <v>2012</v>
      </c>
      <c r="B421" s="15" t="s">
        <v>294</v>
      </c>
      <c r="C421" s="15" t="s">
        <v>311</v>
      </c>
      <c r="D421" s="15" t="s">
        <v>312</v>
      </c>
      <c r="E421" s="19">
        <v>52803</v>
      </c>
      <c r="F421" s="19">
        <v>39975</v>
      </c>
      <c r="G421" s="20">
        <f t="shared" si="6"/>
        <v>0.43086723145573302</v>
      </c>
      <c r="H421" s="24" t="s">
        <v>555</v>
      </c>
      <c r="I421" s="24" t="s">
        <v>564</v>
      </c>
      <c r="J421" s="24" t="s">
        <v>565</v>
      </c>
      <c r="K421" s="24" t="s">
        <v>563</v>
      </c>
    </row>
    <row r="422" spans="1:11">
      <c r="A422" s="12">
        <v>2012</v>
      </c>
      <c r="B422" s="15" t="s">
        <v>294</v>
      </c>
      <c r="C422" s="15" t="s">
        <v>313</v>
      </c>
      <c r="D422" s="15" t="s">
        <v>314</v>
      </c>
      <c r="E422" s="19">
        <v>97004</v>
      </c>
      <c r="F422" s="19">
        <v>125004</v>
      </c>
      <c r="G422" s="20">
        <f t="shared" si="6"/>
        <v>0.56306079060214043</v>
      </c>
      <c r="H422" s="24" t="s">
        <v>555</v>
      </c>
      <c r="I422" s="24" t="s">
        <v>564</v>
      </c>
      <c r="J422" s="24" t="s">
        <v>565</v>
      </c>
      <c r="K422" s="24" t="s">
        <v>563</v>
      </c>
    </row>
    <row r="423" spans="1:11">
      <c r="A423" s="12">
        <v>2012</v>
      </c>
      <c r="B423" s="15" t="s">
        <v>294</v>
      </c>
      <c r="C423" s="15" t="s">
        <v>315</v>
      </c>
      <c r="D423" s="15" t="s">
        <v>316</v>
      </c>
      <c r="E423" s="19">
        <v>205477</v>
      </c>
      <c r="F423" s="19">
        <v>133972</v>
      </c>
      <c r="G423" s="20">
        <f t="shared" si="6"/>
        <v>0.3946748996167318</v>
      </c>
      <c r="H423" s="24" t="s">
        <v>555</v>
      </c>
      <c r="I423" s="24" t="s">
        <v>564</v>
      </c>
      <c r="J423" s="24" t="s">
        <v>565</v>
      </c>
      <c r="K423" s="24" t="s">
        <v>563</v>
      </c>
    </row>
    <row r="424" spans="1:11">
      <c r="A424" s="12">
        <v>2012</v>
      </c>
      <c r="B424" s="15" t="s">
        <v>294</v>
      </c>
      <c r="C424" s="15" t="s">
        <v>321</v>
      </c>
      <c r="D424" s="15" t="s">
        <v>322</v>
      </c>
      <c r="E424" s="19">
        <v>365034</v>
      </c>
      <c r="F424" s="19">
        <v>229262</v>
      </c>
      <c r="G424" s="20">
        <f t="shared" si="6"/>
        <v>0.38577072704510884</v>
      </c>
      <c r="H424" s="24" t="s">
        <v>555</v>
      </c>
      <c r="I424" s="24" t="s">
        <v>564</v>
      </c>
      <c r="J424" s="24" t="s">
        <v>565</v>
      </c>
      <c r="K424" s="24" t="s">
        <v>563</v>
      </c>
    </row>
    <row r="425" spans="1:11">
      <c r="A425" s="12">
        <v>2012</v>
      </c>
      <c r="B425" s="15" t="s">
        <v>294</v>
      </c>
      <c r="C425" s="15" t="s">
        <v>323</v>
      </c>
      <c r="D425" s="15" t="s">
        <v>324</v>
      </c>
      <c r="E425" s="19">
        <v>181407</v>
      </c>
      <c r="F425" s="19">
        <v>71072</v>
      </c>
      <c r="G425" s="20">
        <f t="shared" si="6"/>
        <v>0.28149667893171315</v>
      </c>
      <c r="H425" s="24" t="s">
        <v>555</v>
      </c>
      <c r="I425" s="24" t="s">
        <v>564</v>
      </c>
      <c r="J425" s="24" t="s">
        <v>565</v>
      </c>
      <c r="K425" s="24" t="s">
        <v>563</v>
      </c>
    </row>
    <row r="426" spans="1:11">
      <c r="A426" s="12">
        <v>2012</v>
      </c>
      <c r="B426" s="15" t="s">
        <v>325</v>
      </c>
      <c r="C426" s="15" t="s">
        <v>22</v>
      </c>
      <c r="D426" s="15" t="s">
        <v>325</v>
      </c>
      <c r="E426" s="19">
        <v>1782986</v>
      </c>
      <c r="F426" s="19">
        <v>721677</v>
      </c>
      <c r="G426" s="20">
        <f t="shared" si="6"/>
        <v>0.28813337363150254</v>
      </c>
      <c r="H426" s="24" t="s">
        <v>555</v>
      </c>
      <c r="I426" s="24" t="s">
        <v>564</v>
      </c>
      <c r="J426" s="24" t="s">
        <v>565</v>
      </c>
      <c r="K426" s="24" t="s">
        <v>563</v>
      </c>
    </row>
    <row r="427" spans="1:11">
      <c r="A427" s="12">
        <v>2012</v>
      </c>
      <c r="B427" s="15" t="s">
        <v>325</v>
      </c>
      <c r="C427" s="15" t="s">
        <v>326</v>
      </c>
      <c r="D427" s="15" t="s">
        <v>327</v>
      </c>
      <c r="E427" s="19">
        <v>31618</v>
      </c>
      <c r="F427" s="19">
        <v>30524</v>
      </c>
      <c r="G427" s="20">
        <f t="shared" si="6"/>
        <v>0.491197579736732</v>
      </c>
      <c r="H427" s="24" t="s">
        <v>555</v>
      </c>
      <c r="I427" s="24" t="s">
        <v>564</v>
      </c>
      <c r="J427" s="24" t="s">
        <v>565</v>
      </c>
      <c r="K427" s="24" t="s">
        <v>563</v>
      </c>
    </row>
    <row r="428" spans="1:11">
      <c r="A428" s="12">
        <v>2012</v>
      </c>
      <c r="B428" s="15" t="s">
        <v>325</v>
      </c>
      <c r="C428" s="15" t="s">
        <v>328</v>
      </c>
      <c r="D428" s="15" t="s">
        <v>329</v>
      </c>
      <c r="E428" s="19">
        <v>96628</v>
      </c>
      <c r="F428" s="19">
        <v>60422</v>
      </c>
      <c r="G428" s="20">
        <f t="shared" si="6"/>
        <v>0.38473097739573386</v>
      </c>
      <c r="H428" s="24" t="s">
        <v>555</v>
      </c>
      <c r="I428" s="24" t="s">
        <v>564</v>
      </c>
      <c r="J428" s="24" t="s">
        <v>565</v>
      </c>
      <c r="K428" s="24" t="s">
        <v>563</v>
      </c>
    </row>
    <row r="429" spans="1:11">
      <c r="A429" s="12">
        <v>2012</v>
      </c>
      <c r="B429" s="15" t="s">
        <v>325</v>
      </c>
      <c r="C429" s="15" t="s">
        <v>330</v>
      </c>
      <c r="D429" s="15" t="s">
        <v>331</v>
      </c>
      <c r="E429" s="19">
        <v>44625</v>
      </c>
      <c r="F429" s="19">
        <v>37408</v>
      </c>
      <c r="G429" s="20">
        <f t="shared" si="6"/>
        <v>0.45601160508575816</v>
      </c>
      <c r="H429" s="24" t="s">
        <v>555</v>
      </c>
      <c r="I429" s="24" t="s">
        <v>564</v>
      </c>
      <c r="J429" s="24" t="s">
        <v>565</v>
      </c>
      <c r="K429" s="24" t="s">
        <v>563</v>
      </c>
    </row>
    <row r="430" spans="1:11">
      <c r="A430" s="12">
        <v>2012</v>
      </c>
      <c r="B430" s="15" t="s">
        <v>325</v>
      </c>
      <c r="C430" s="15" t="s">
        <v>332</v>
      </c>
      <c r="D430" s="15" t="s">
        <v>333</v>
      </c>
      <c r="E430" s="19">
        <v>106009</v>
      </c>
      <c r="F430" s="19">
        <v>67164</v>
      </c>
      <c r="G430" s="20">
        <f t="shared" si="6"/>
        <v>0.38784337050233003</v>
      </c>
      <c r="H430" s="24" t="s">
        <v>555</v>
      </c>
      <c r="I430" s="24" t="s">
        <v>564</v>
      </c>
      <c r="J430" s="24" t="s">
        <v>565</v>
      </c>
      <c r="K430" s="24" t="s">
        <v>563</v>
      </c>
    </row>
    <row r="431" spans="1:11">
      <c r="A431" s="12">
        <v>2012</v>
      </c>
      <c r="B431" s="15" t="s">
        <v>325</v>
      </c>
      <c r="C431" s="15" t="s">
        <v>336</v>
      </c>
      <c r="D431" s="15" t="s">
        <v>337</v>
      </c>
      <c r="E431" s="19">
        <v>131934</v>
      </c>
      <c r="F431" s="19">
        <v>79404</v>
      </c>
      <c r="G431" s="20">
        <f t="shared" si="6"/>
        <v>0.37572040995940154</v>
      </c>
      <c r="H431" s="24" t="s">
        <v>555</v>
      </c>
      <c r="I431" s="24" t="s">
        <v>564</v>
      </c>
      <c r="J431" s="24" t="s">
        <v>565</v>
      </c>
      <c r="K431" s="24" t="s">
        <v>563</v>
      </c>
    </row>
    <row r="432" spans="1:11">
      <c r="A432" s="12">
        <v>2012</v>
      </c>
      <c r="B432" s="15" t="s">
        <v>325</v>
      </c>
      <c r="C432" s="15" t="s">
        <v>338</v>
      </c>
      <c r="D432" s="15" t="s">
        <v>339</v>
      </c>
      <c r="E432" s="19">
        <v>90327</v>
      </c>
      <c r="F432" s="19">
        <v>48636</v>
      </c>
      <c r="G432" s="20">
        <f t="shared" si="6"/>
        <v>0.34999244403186458</v>
      </c>
      <c r="H432" s="24" t="s">
        <v>555</v>
      </c>
      <c r="I432" s="24" t="s">
        <v>564</v>
      </c>
      <c r="J432" s="24" t="s">
        <v>565</v>
      </c>
      <c r="K432" s="24" t="s">
        <v>563</v>
      </c>
    </row>
    <row r="433" spans="1:11">
      <c r="A433" s="12">
        <v>2012</v>
      </c>
      <c r="B433" s="15" t="s">
        <v>325</v>
      </c>
      <c r="C433" s="15" t="s">
        <v>340</v>
      </c>
      <c r="D433" s="15" t="s">
        <v>341</v>
      </c>
      <c r="E433" s="19">
        <v>59075</v>
      </c>
      <c r="F433" s="19">
        <v>48318</v>
      </c>
      <c r="G433" s="20">
        <f t="shared" si="6"/>
        <v>0.44991759239429013</v>
      </c>
      <c r="H433" s="24" t="s">
        <v>555</v>
      </c>
      <c r="I433" s="24" t="s">
        <v>564</v>
      </c>
      <c r="J433" s="24" t="s">
        <v>565</v>
      </c>
      <c r="K433" s="24" t="s">
        <v>563</v>
      </c>
    </row>
    <row r="434" spans="1:11">
      <c r="A434" s="12">
        <v>2012</v>
      </c>
      <c r="B434" s="15" t="s">
        <v>325</v>
      </c>
      <c r="C434" s="15" t="s">
        <v>342</v>
      </c>
      <c r="D434" s="15" t="s">
        <v>343</v>
      </c>
      <c r="E434" s="19">
        <v>141500</v>
      </c>
      <c r="F434" s="19">
        <v>72211</v>
      </c>
      <c r="G434" s="20">
        <f t="shared" si="6"/>
        <v>0.33789089003373712</v>
      </c>
      <c r="H434" s="24" t="s">
        <v>555</v>
      </c>
      <c r="I434" s="24" t="s">
        <v>564</v>
      </c>
      <c r="J434" s="24" t="s">
        <v>565</v>
      </c>
      <c r="K434" s="24" t="s">
        <v>563</v>
      </c>
    </row>
    <row r="435" spans="1:11">
      <c r="A435" s="12">
        <v>2012</v>
      </c>
      <c r="B435" s="15" t="s">
        <v>325</v>
      </c>
      <c r="C435" s="15" t="s">
        <v>344</v>
      </c>
      <c r="D435" s="15" t="s">
        <v>345</v>
      </c>
      <c r="E435" s="19">
        <v>49950</v>
      </c>
      <c r="F435" s="19">
        <v>36285</v>
      </c>
      <c r="G435" s="20">
        <f t="shared" si="6"/>
        <v>0.42076882936162813</v>
      </c>
      <c r="H435" s="24" t="s">
        <v>555</v>
      </c>
      <c r="I435" s="24" t="s">
        <v>564</v>
      </c>
      <c r="J435" s="24" t="s">
        <v>565</v>
      </c>
      <c r="K435" s="24" t="s">
        <v>563</v>
      </c>
    </row>
    <row r="436" spans="1:11">
      <c r="A436" s="12">
        <v>2012</v>
      </c>
      <c r="B436" s="15" t="s">
        <v>325</v>
      </c>
      <c r="C436" s="15" t="s">
        <v>346</v>
      </c>
      <c r="D436" s="15" t="s">
        <v>347</v>
      </c>
      <c r="E436" s="19">
        <v>224159</v>
      </c>
      <c r="F436" s="19">
        <v>168081</v>
      </c>
      <c r="G436" s="20">
        <f t="shared" si="6"/>
        <v>0.42851570467060984</v>
      </c>
      <c r="H436" s="24" t="s">
        <v>555</v>
      </c>
      <c r="I436" s="24" t="s">
        <v>564</v>
      </c>
      <c r="J436" s="24" t="s">
        <v>565</v>
      </c>
      <c r="K436" s="24" t="s">
        <v>563</v>
      </c>
    </row>
    <row r="437" spans="1:11">
      <c r="A437" s="12">
        <v>2012</v>
      </c>
      <c r="B437" s="15" t="s">
        <v>325</v>
      </c>
      <c r="C437" s="15" t="s">
        <v>350</v>
      </c>
      <c r="D437" s="15" t="s">
        <v>351</v>
      </c>
      <c r="E437" s="19">
        <v>69678</v>
      </c>
      <c r="F437" s="19">
        <v>52074</v>
      </c>
      <c r="G437" s="20">
        <f t="shared" si="6"/>
        <v>0.42770549970431698</v>
      </c>
      <c r="H437" s="24" t="s">
        <v>555</v>
      </c>
      <c r="I437" s="24" t="s">
        <v>564</v>
      </c>
      <c r="J437" s="24" t="s">
        <v>565</v>
      </c>
      <c r="K437" s="24" t="s">
        <v>563</v>
      </c>
    </row>
    <row r="438" spans="1:11">
      <c r="A438" s="12">
        <v>2012</v>
      </c>
      <c r="B438" s="15" t="s">
        <v>325</v>
      </c>
      <c r="C438" s="15" t="s">
        <v>352</v>
      </c>
      <c r="D438" s="15" t="s">
        <v>353</v>
      </c>
      <c r="E438" s="19">
        <v>512081</v>
      </c>
      <c r="F438" s="19">
        <v>186270</v>
      </c>
      <c r="G438" s="20">
        <f t="shared" si="6"/>
        <v>0.26672833575093324</v>
      </c>
      <c r="H438" s="24" t="s">
        <v>555</v>
      </c>
      <c r="I438" s="24" t="s">
        <v>564</v>
      </c>
      <c r="J438" s="24" t="s">
        <v>565</v>
      </c>
      <c r="K438" s="24" t="s">
        <v>563</v>
      </c>
    </row>
    <row r="439" spans="1:11">
      <c r="A439" s="12">
        <v>2012</v>
      </c>
      <c r="B439" s="15" t="s">
        <v>325</v>
      </c>
      <c r="C439" s="15" t="s">
        <v>358</v>
      </c>
      <c r="D439" s="15" t="s">
        <v>359</v>
      </c>
      <c r="E439" s="19">
        <v>24820</v>
      </c>
      <c r="F439" s="19">
        <v>24521</v>
      </c>
      <c r="G439" s="20">
        <f t="shared" si="6"/>
        <v>0.4969700654627997</v>
      </c>
      <c r="H439" s="24" t="s">
        <v>555</v>
      </c>
      <c r="I439" s="24" t="s">
        <v>564</v>
      </c>
      <c r="J439" s="24" t="s">
        <v>565</v>
      </c>
      <c r="K439" s="24" t="s">
        <v>563</v>
      </c>
    </row>
    <row r="440" spans="1:11">
      <c r="A440" s="12">
        <v>2012</v>
      </c>
      <c r="B440" s="15" t="s">
        <v>325</v>
      </c>
      <c r="C440" s="15" t="s">
        <v>360</v>
      </c>
      <c r="D440" s="15" t="s">
        <v>361</v>
      </c>
      <c r="E440" s="19">
        <v>50366</v>
      </c>
      <c r="F440" s="19">
        <v>42056</v>
      </c>
      <c r="G440" s="20">
        <f t="shared" si="6"/>
        <v>0.4550431715392439</v>
      </c>
      <c r="H440" s="24" t="s">
        <v>555</v>
      </c>
      <c r="I440" s="24" t="s">
        <v>564</v>
      </c>
      <c r="J440" s="24" t="s">
        <v>565</v>
      </c>
      <c r="K440" s="24" t="s">
        <v>563</v>
      </c>
    </row>
    <row r="441" spans="1:11">
      <c r="A441" s="12">
        <v>2012</v>
      </c>
      <c r="B441" s="15" t="s">
        <v>325</v>
      </c>
      <c r="C441" s="15" t="s">
        <v>362</v>
      </c>
      <c r="D441" s="15" t="s">
        <v>363</v>
      </c>
      <c r="E441" s="19">
        <v>75247</v>
      </c>
      <c r="F441" s="19">
        <v>41067</v>
      </c>
      <c r="G441" s="20">
        <f t="shared" si="6"/>
        <v>0.35307013773062573</v>
      </c>
      <c r="H441" s="24" t="s">
        <v>555</v>
      </c>
      <c r="I441" s="24" t="s">
        <v>564</v>
      </c>
      <c r="J441" s="24" t="s">
        <v>565</v>
      </c>
      <c r="K441" s="24" t="s">
        <v>563</v>
      </c>
    </row>
    <row r="442" spans="1:11">
      <c r="A442" s="12">
        <v>2012</v>
      </c>
      <c r="B442" s="15" t="s">
        <v>364</v>
      </c>
      <c r="C442" s="15" t="s">
        <v>22</v>
      </c>
      <c r="D442" s="15" t="s">
        <v>364</v>
      </c>
      <c r="E442" s="19">
        <v>1698097</v>
      </c>
      <c r="F442" s="19">
        <v>380005</v>
      </c>
      <c r="G442" s="20">
        <f t="shared" si="6"/>
        <v>0.18286157272357179</v>
      </c>
      <c r="H442" s="24" t="s">
        <v>552</v>
      </c>
      <c r="I442" s="24" t="s">
        <v>564</v>
      </c>
      <c r="J442" s="24" t="s">
        <v>565</v>
      </c>
      <c r="K442" s="24" t="s">
        <v>563</v>
      </c>
    </row>
    <row r="443" spans="1:11">
      <c r="A443" s="12">
        <v>2012</v>
      </c>
      <c r="B443" s="15" t="s">
        <v>364</v>
      </c>
      <c r="C443" s="15" t="s">
        <v>365</v>
      </c>
      <c r="D443" s="15" t="s">
        <v>366</v>
      </c>
      <c r="E443" s="19">
        <v>48300</v>
      </c>
      <c r="F443" s="19">
        <v>40208</v>
      </c>
      <c r="G443" s="20">
        <f t="shared" si="6"/>
        <v>0.4542866181588105</v>
      </c>
      <c r="H443" s="24" t="s">
        <v>552</v>
      </c>
      <c r="I443" s="24" t="s">
        <v>564</v>
      </c>
      <c r="J443" s="24" t="s">
        <v>565</v>
      </c>
      <c r="K443" s="24" t="s">
        <v>563</v>
      </c>
    </row>
    <row r="444" spans="1:11">
      <c r="A444" s="12">
        <v>2012</v>
      </c>
      <c r="B444" s="15" t="s">
        <v>364</v>
      </c>
      <c r="C444" s="15" t="s">
        <v>367</v>
      </c>
      <c r="D444" s="15" t="s">
        <v>368</v>
      </c>
      <c r="E444" s="19">
        <v>246966</v>
      </c>
      <c r="F444" s="19">
        <v>98265</v>
      </c>
      <c r="G444" s="20">
        <f t="shared" si="6"/>
        <v>0.28463550492279083</v>
      </c>
      <c r="H444" s="24" t="s">
        <v>552</v>
      </c>
      <c r="I444" s="24" t="s">
        <v>564</v>
      </c>
      <c r="J444" s="24" t="s">
        <v>565</v>
      </c>
      <c r="K444" s="24" t="s">
        <v>563</v>
      </c>
    </row>
    <row r="445" spans="1:11">
      <c r="A445" s="12">
        <v>2012</v>
      </c>
      <c r="B445" s="15" t="s">
        <v>364</v>
      </c>
      <c r="C445" s="15" t="s">
        <v>369</v>
      </c>
      <c r="D445" s="15" t="s">
        <v>370</v>
      </c>
      <c r="E445" s="19">
        <v>70974</v>
      </c>
      <c r="F445" s="19">
        <v>60223</v>
      </c>
      <c r="G445" s="20">
        <f t="shared" si="6"/>
        <v>0.45902726434293467</v>
      </c>
      <c r="H445" s="24" t="s">
        <v>552</v>
      </c>
      <c r="I445" s="24" t="s">
        <v>564</v>
      </c>
      <c r="J445" s="24" t="s">
        <v>565</v>
      </c>
      <c r="K445" s="24" t="s">
        <v>563</v>
      </c>
    </row>
    <row r="446" spans="1:11">
      <c r="A446" s="12">
        <v>2012</v>
      </c>
      <c r="B446" s="15" t="s">
        <v>364</v>
      </c>
      <c r="C446" s="15" t="s">
        <v>371</v>
      </c>
      <c r="D446" s="15" t="s">
        <v>372</v>
      </c>
      <c r="E446" s="19">
        <v>75924</v>
      </c>
      <c r="F446" s="19">
        <v>37873</v>
      </c>
      <c r="G446" s="20">
        <f t="shared" si="6"/>
        <v>0.33281193704579209</v>
      </c>
      <c r="H446" s="24" t="s">
        <v>552</v>
      </c>
      <c r="I446" s="24" t="s">
        <v>564</v>
      </c>
      <c r="J446" s="24" t="s">
        <v>565</v>
      </c>
      <c r="K446" s="24" t="s">
        <v>563</v>
      </c>
    </row>
    <row r="447" spans="1:11">
      <c r="A447" s="12">
        <v>2012</v>
      </c>
      <c r="B447" s="15" t="s">
        <v>364</v>
      </c>
      <c r="C447" s="15" t="s">
        <v>373</v>
      </c>
      <c r="D447" s="15" t="s">
        <v>374</v>
      </c>
      <c r="E447" s="19">
        <v>20087</v>
      </c>
      <c r="F447" s="19">
        <v>18586</v>
      </c>
      <c r="G447" s="20">
        <f t="shared" si="6"/>
        <v>0.48059369586016082</v>
      </c>
      <c r="H447" s="24" t="s">
        <v>552</v>
      </c>
      <c r="I447" s="24" t="s">
        <v>564</v>
      </c>
      <c r="J447" s="24" t="s">
        <v>565</v>
      </c>
      <c r="K447" s="24" t="s">
        <v>563</v>
      </c>
    </row>
    <row r="448" spans="1:11">
      <c r="A448" s="12">
        <v>2012</v>
      </c>
      <c r="B448" s="15" t="s">
        <v>364</v>
      </c>
      <c r="C448" s="15" t="s">
        <v>375</v>
      </c>
      <c r="D448" s="15" t="s">
        <v>376</v>
      </c>
      <c r="E448" s="19">
        <v>48730</v>
      </c>
      <c r="F448" s="19">
        <v>33316</v>
      </c>
      <c r="G448" s="20">
        <f t="shared" si="6"/>
        <v>0.40606489042732125</v>
      </c>
      <c r="H448" s="24" t="s">
        <v>552</v>
      </c>
      <c r="I448" s="24" t="s">
        <v>564</v>
      </c>
      <c r="J448" s="24" t="s">
        <v>565</v>
      </c>
      <c r="K448" s="24" t="s">
        <v>563</v>
      </c>
    </row>
    <row r="449" spans="1:11">
      <c r="A449" s="12">
        <v>2012</v>
      </c>
      <c r="B449" s="15" t="s">
        <v>364</v>
      </c>
      <c r="C449" s="15" t="s">
        <v>377</v>
      </c>
      <c r="D449" s="15" t="s">
        <v>378</v>
      </c>
      <c r="E449" s="19">
        <v>22803</v>
      </c>
      <c r="F449" s="19">
        <v>23987</v>
      </c>
      <c r="G449" s="20">
        <f t="shared" si="6"/>
        <v>0.51265227612737763</v>
      </c>
      <c r="H449" s="24" t="s">
        <v>552</v>
      </c>
      <c r="I449" s="24" t="s">
        <v>564</v>
      </c>
      <c r="J449" s="24" t="s">
        <v>565</v>
      </c>
      <c r="K449" s="24" t="s">
        <v>563</v>
      </c>
    </row>
    <row r="450" spans="1:11">
      <c r="A450" s="12">
        <v>2012</v>
      </c>
      <c r="B450" s="15" t="s">
        <v>364</v>
      </c>
      <c r="C450" s="15" t="s">
        <v>379</v>
      </c>
      <c r="D450" s="15" t="s">
        <v>380</v>
      </c>
      <c r="E450" s="19">
        <v>56854</v>
      </c>
      <c r="F450" s="19">
        <v>71744</v>
      </c>
      <c r="G450" s="20">
        <f t="shared" si="6"/>
        <v>0.55789359088010704</v>
      </c>
      <c r="H450" s="24" t="s">
        <v>552</v>
      </c>
      <c r="I450" s="24" t="s">
        <v>564</v>
      </c>
      <c r="J450" s="24" t="s">
        <v>565</v>
      </c>
      <c r="K450" s="24" t="s">
        <v>563</v>
      </c>
    </row>
    <row r="451" spans="1:11">
      <c r="A451" s="12">
        <v>2012</v>
      </c>
      <c r="B451" s="15" t="s">
        <v>364</v>
      </c>
      <c r="C451" s="15" t="s">
        <v>381</v>
      </c>
      <c r="D451" s="15" t="s">
        <v>382</v>
      </c>
      <c r="E451" s="19">
        <v>267554</v>
      </c>
      <c r="F451" s="19">
        <v>98539</v>
      </c>
      <c r="G451" s="20">
        <f t="shared" si="6"/>
        <v>0.26916384634505441</v>
      </c>
      <c r="H451" s="24" t="s">
        <v>552</v>
      </c>
      <c r="I451" s="24" t="s">
        <v>564</v>
      </c>
      <c r="J451" s="24" t="s">
        <v>565</v>
      </c>
      <c r="K451" s="24" t="s">
        <v>563</v>
      </c>
    </row>
    <row r="452" spans="1:11">
      <c r="A452" s="12">
        <v>2012</v>
      </c>
      <c r="B452" s="15" t="s">
        <v>364</v>
      </c>
      <c r="C452" s="15" t="s">
        <v>383</v>
      </c>
      <c r="D452" s="15" t="s">
        <v>384</v>
      </c>
      <c r="E452" s="19">
        <v>21220</v>
      </c>
      <c r="F452" s="19">
        <v>23987</v>
      </c>
      <c r="G452" s="20">
        <f t="shared" si="6"/>
        <v>0.53060366757360589</v>
      </c>
      <c r="H452" s="24" t="s">
        <v>552</v>
      </c>
      <c r="I452" s="24" t="s">
        <v>564</v>
      </c>
      <c r="J452" s="24" t="s">
        <v>565</v>
      </c>
      <c r="K452" s="24" t="s">
        <v>563</v>
      </c>
    </row>
    <row r="453" spans="1:11">
      <c r="A453" s="12">
        <v>2012</v>
      </c>
      <c r="B453" s="15" t="s">
        <v>364</v>
      </c>
      <c r="C453" s="15" t="s">
        <v>385</v>
      </c>
      <c r="D453" s="15" t="s">
        <v>386</v>
      </c>
      <c r="E453" s="19">
        <v>17127</v>
      </c>
      <c r="F453" s="19">
        <v>18921</v>
      </c>
      <c r="G453" s="20">
        <f t="shared" si="6"/>
        <v>0.5248834886817576</v>
      </c>
      <c r="H453" s="24" t="s">
        <v>552</v>
      </c>
      <c r="I453" s="24" t="s">
        <v>564</v>
      </c>
      <c r="J453" s="24" t="s">
        <v>565</v>
      </c>
      <c r="K453" s="24" t="s">
        <v>563</v>
      </c>
    </row>
    <row r="454" spans="1:11">
      <c r="A454" s="12">
        <v>2012</v>
      </c>
      <c r="B454" s="15" t="s">
        <v>364</v>
      </c>
      <c r="C454" s="15" t="s">
        <v>387</v>
      </c>
      <c r="D454" s="15" t="s">
        <v>388</v>
      </c>
      <c r="E454" s="19">
        <v>241236</v>
      </c>
      <c r="F454" s="19">
        <v>168328</v>
      </c>
      <c r="G454" s="20">
        <f t="shared" ref="G454:G517" si="7">IFERROR(F454/(E454+F454),"")</f>
        <v>0.41099315369514899</v>
      </c>
      <c r="H454" s="24" t="s">
        <v>552</v>
      </c>
      <c r="I454" s="24" t="s">
        <v>564</v>
      </c>
      <c r="J454" s="24" t="s">
        <v>565</v>
      </c>
      <c r="K454" s="24" t="s">
        <v>563</v>
      </c>
    </row>
    <row r="455" spans="1:11">
      <c r="A455" s="12">
        <v>2012</v>
      </c>
      <c r="B455" s="15" t="s">
        <v>364</v>
      </c>
      <c r="C455" s="15" t="s">
        <v>389</v>
      </c>
      <c r="D455" s="15" t="s">
        <v>390</v>
      </c>
      <c r="E455" s="19">
        <v>313555</v>
      </c>
      <c r="F455" s="19">
        <v>187407</v>
      </c>
      <c r="G455" s="20">
        <f t="shared" si="7"/>
        <v>0.37409424267708929</v>
      </c>
      <c r="H455" s="24" t="s">
        <v>552</v>
      </c>
      <c r="I455" s="24" t="s">
        <v>564</v>
      </c>
      <c r="J455" s="24" t="s">
        <v>565</v>
      </c>
      <c r="K455" s="24" t="s">
        <v>563</v>
      </c>
    </row>
    <row r="456" spans="1:11">
      <c r="A456" s="12">
        <v>2012</v>
      </c>
      <c r="B456" s="15" t="s">
        <v>364</v>
      </c>
      <c r="C456" s="15" t="s">
        <v>391</v>
      </c>
      <c r="D456" s="15" t="s">
        <v>392</v>
      </c>
      <c r="E456" s="19">
        <v>102379</v>
      </c>
      <c r="F456" s="19">
        <v>57843</v>
      </c>
      <c r="G456" s="20">
        <f t="shared" si="7"/>
        <v>0.3610178377501217</v>
      </c>
      <c r="H456" s="24" t="s">
        <v>552</v>
      </c>
      <c r="I456" s="24" t="s">
        <v>564</v>
      </c>
      <c r="J456" s="24" t="s">
        <v>565</v>
      </c>
      <c r="K456" s="24" t="s">
        <v>563</v>
      </c>
    </row>
    <row r="457" spans="1:11">
      <c r="A457" s="12">
        <v>2012</v>
      </c>
      <c r="B457" s="15" t="s">
        <v>364</v>
      </c>
      <c r="C457" s="15" t="s">
        <v>393</v>
      </c>
      <c r="D457" s="15" t="s">
        <v>394</v>
      </c>
      <c r="E457" s="19">
        <v>19045</v>
      </c>
      <c r="F457" s="19">
        <v>21456</v>
      </c>
      <c r="G457" s="20">
        <f t="shared" si="7"/>
        <v>0.52976469716797114</v>
      </c>
      <c r="H457" s="24" t="s">
        <v>552</v>
      </c>
      <c r="I457" s="24" t="s">
        <v>564</v>
      </c>
      <c r="J457" s="24" t="s">
        <v>565</v>
      </c>
      <c r="K457" s="24" t="s">
        <v>563</v>
      </c>
    </row>
    <row r="458" spans="1:11">
      <c r="A458" s="12">
        <v>2012</v>
      </c>
      <c r="B458" s="15" t="s">
        <v>395</v>
      </c>
      <c r="C458" s="15" t="s">
        <v>22</v>
      </c>
      <c r="D458" s="15" t="s">
        <v>395</v>
      </c>
      <c r="E458" s="19">
        <v>1668058</v>
      </c>
      <c r="F458" s="19">
        <v>707796</v>
      </c>
      <c r="G458" s="20">
        <f t="shared" si="7"/>
        <v>0.29791224544942574</v>
      </c>
      <c r="H458" s="24" t="s">
        <v>552</v>
      </c>
      <c r="I458" s="24" t="s">
        <v>564</v>
      </c>
      <c r="J458" s="24" t="s">
        <v>565</v>
      </c>
      <c r="K458" s="24" t="s">
        <v>563</v>
      </c>
    </row>
    <row r="459" spans="1:11">
      <c r="A459" s="12">
        <v>2012</v>
      </c>
      <c r="B459" s="15" t="s">
        <v>395</v>
      </c>
      <c r="C459" s="15" t="s">
        <v>396</v>
      </c>
      <c r="D459" s="15" t="s">
        <v>397</v>
      </c>
      <c r="E459" s="19">
        <v>31499</v>
      </c>
      <c r="F459" s="19">
        <v>27568</v>
      </c>
      <c r="G459" s="20">
        <f t="shared" si="7"/>
        <v>0.46672422841857553</v>
      </c>
      <c r="H459" s="24" t="s">
        <v>552</v>
      </c>
      <c r="I459" s="24" t="s">
        <v>564</v>
      </c>
      <c r="J459" s="24" t="s">
        <v>565</v>
      </c>
      <c r="K459" s="24" t="s">
        <v>563</v>
      </c>
    </row>
    <row r="460" spans="1:11">
      <c r="A460" s="12">
        <v>2012</v>
      </c>
      <c r="B460" s="15" t="s">
        <v>395</v>
      </c>
      <c r="C460" s="15" t="s">
        <v>398</v>
      </c>
      <c r="D460" s="15" t="s">
        <v>399</v>
      </c>
      <c r="E460" s="19">
        <v>59660</v>
      </c>
      <c r="F460" s="19">
        <v>43832</v>
      </c>
      <c r="G460" s="20">
        <f t="shared" si="7"/>
        <v>0.42353032118424611</v>
      </c>
      <c r="H460" s="24" t="s">
        <v>552</v>
      </c>
      <c r="I460" s="24" t="s">
        <v>564</v>
      </c>
      <c r="J460" s="24" t="s">
        <v>565</v>
      </c>
      <c r="K460" s="24" t="s">
        <v>563</v>
      </c>
    </row>
    <row r="461" spans="1:11">
      <c r="A461" s="12">
        <v>2012</v>
      </c>
      <c r="B461" s="15" t="s">
        <v>395</v>
      </c>
      <c r="C461" s="15" t="s">
        <v>400</v>
      </c>
      <c r="D461" s="15" t="s">
        <v>401</v>
      </c>
      <c r="E461" s="19">
        <v>23540</v>
      </c>
      <c r="F461" s="19">
        <v>24216</v>
      </c>
      <c r="G461" s="20">
        <f t="shared" si="7"/>
        <v>0.50707764469386041</v>
      </c>
      <c r="H461" s="24" t="s">
        <v>552</v>
      </c>
      <c r="I461" s="24" t="s">
        <v>564</v>
      </c>
      <c r="J461" s="24" t="s">
        <v>565</v>
      </c>
      <c r="K461" s="24" t="s">
        <v>563</v>
      </c>
    </row>
    <row r="462" spans="1:11">
      <c r="A462" s="12">
        <v>2012</v>
      </c>
      <c r="B462" s="15" t="s">
        <v>395</v>
      </c>
      <c r="C462" s="15" t="s">
        <v>402</v>
      </c>
      <c r="D462" s="15" t="s">
        <v>403</v>
      </c>
      <c r="E462" s="19">
        <v>124300</v>
      </c>
      <c r="F462" s="19">
        <v>90879</v>
      </c>
      <c r="G462" s="20">
        <f t="shared" si="7"/>
        <v>0.42234139948600935</v>
      </c>
      <c r="H462" s="24" t="s">
        <v>552</v>
      </c>
      <c r="I462" s="24" t="s">
        <v>564</v>
      </c>
      <c r="J462" s="24" t="s">
        <v>565</v>
      </c>
      <c r="K462" s="24" t="s">
        <v>563</v>
      </c>
    </row>
    <row r="463" spans="1:11">
      <c r="A463" s="12">
        <v>2012</v>
      </c>
      <c r="B463" s="15" t="s">
        <v>395</v>
      </c>
      <c r="C463" s="15" t="s">
        <v>404</v>
      </c>
      <c r="D463" s="15" t="s">
        <v>405</v>
      </c>
      <c r="E463" s="19">
        <v>21604</v>
      </c>
      <c r="F463" s="19">
        <v>19925</v>
      </c>
      <c r="G463" s="20">
        <f t="shared" si="7"/>
        <v>0.47978521033494664</v>
      </c>
      <c r="H463" s="24" t="s">
        <v>552</v>
      </c>
      <c r="I463" s="24" t="s">
        <v>564</v>
      </c>
      <c r="J463" s="24" t="s">
        <v>565</v>
      </c>
      <c r="K463" s="24" t="s">
        <v>563</v>
      </c>
    </row>
    <row r="464" spans="1:11">
      <c r="A464" s="12">
        <v>2012</v>
      </c>
      <c r="B464" s="15" t="s">
        <v>395</v>
      </c>
      <c r="C464" s="15" t="s">
        <v>406</v>
      </c>
      <c r="D464" s="15" t="s">
        <v>407</v>
      </c>
      <c r="E464" s="19">
        <v>68594</v>
      </c>
      <c r="F464" s="19">
        <v>56937</v>
      </c>
      <c r="G464" s="20">
        <f t="shared" si="7"/>
        <v>0.45356923787749642</v>
      </c>
      <c r="H464" s="24" t="s">
        <v>552</v>
      </c>
      <c r="I464" s="24" t="s">
        <v>564</v>
      </c>
      <c r="J464" s="24" t="s">
        <v>565</v>
      </c>
      <c r="K464" s="24" t="s">
        <v>563</v>
      </c>
    </row>
    <row r="465" spans="1:11">
      <c r="A465" s="12">
        <v>2012</v>
      </c>
      <c r="B465" s="15" t="s">
        <v>395</v>
      </c>
      <c r="C465" s="15" t="s">
        <v>408</v>
      </c>
      <c r="D465" s="15" t="s">
        <v>409</v>
      </c>
      <c r="E465" s="19">
        <v>32681</v>
      </c>
      <c r="F465" s="19">
        <v>35801</v>
      </c>
      <c r="G465" s="20">
        <f t="shared" si="7"/>
        <v>0.52277970853654976</v>
      </c>
      <c r="H465" s="24" t="s">
        <v>552</v>
      </c>
      <c r="I465" s="24" t="s">
        <v>564</v>
      </c>
      <c r="J465" s="24" t="s">
        <v>565</v>
      </c>
      <c r="K465" s="24" t="s">
        <v>563</v>
      </c>
    </row>
    <row r="466" spans="1:11">
      <c r="A466" s="12">
        <v>2012</v>
      </c>
      <c r="B466" s="15" t="s">
        <v>395</v>
      </c>
      <c r="C466" s="15" t="s">
        <v>410</v>
      </c>
      <c r="D466" s="15" t="s">
        <v>411</v>
      </c>
      <c r="E466" s="19">
        <v>218046</v>
      </c>
      <c r="F466" s="19">
        <v>85990</v>
      </c>
      <c r="G466" s="20">
        <f t="shared" si="7"/>
        <v>0.28282834927442801</v>
      </c>
      <c r="H466" s="24" t="s">
        <v>552</v>
      </c>
      <c r="I466" s="24" t="s">
        <v>564</v>
      </c>
      <c r="J466" s="24" t="s">
        <v>565</v>
      </c>
      <c r="K466" s="24" t="s">
        <v>563</v>
      </c>
    </row>
    <row r="467" spans="1:11">
      <c r="A467" s="12">
        <v>2012</v>
      </c>
      <c r="B467" s="15" t="s">
        <v>395</v>
      </c>
      <c r="C467" s="15" t="s">
        <v>412</v>
      </c>
      <c r="D467" s="15" t="s">
        <v>413</v>
      </c>
      <c r="E467" s="19">
        <v>51620</v>
      </c>
      <c r="F467" s="19">
        <v>60860</v>
      </c>
      <c r="G467" s="20">
        <f t="shared" si="7"/>
        <v>0.54107396870554769</v>
      </c>
      <c r="H467" s="24" t="s">
        <v>552</v>
      </c>
      <c r="I467" s="24" t="s">
        <v>564</v>
      </c>
      <c r="J467" s="24" t="s">
        <v>565</v>
      </c>
      <c r="K467" s="24" t="s">
        <v>563</v>
      </c>
    </row>
    <row r="468" spans="1:11">
      <c r="A468" s="12">
        <v>2012</v>
      </c>
      <c r="B468" s="15" t="s">
        <v>395</v>
      </c>
      <c r="C468" s="15" t="s">
        <v>414</v>
      </c>
      <c r="D468" s="15" t="s">
        <v>415</v>
      </c>
      <c r="E468" s="19">
        <v>35847</v>
      </c>
      <c r="F468" s="19">
        <v>33943</v>
      </c>
      <c r="G468" s="20">
        <f t="shared" si="7"/>
        <v>0.48635907723169508</v>
      </c>
      <c r="H468" s="24" t="s">
        <v>552</v>
      </c>
      <c r="I468" s="24" t="s">
        <v>564</v>
      </c>
      <c r="J468" s="24" t="s">
        <v>565</v>
      </c>
      <c r="K468" s="24" t="s">
        <v>563</v>
      </c>
    </row>
    <row r="469" spans="1:11">
      <c r="A469" s="12">
        <v>2012</v>
      </c>
      <c r="B469" s="15" t="s">
        <v>395</v>
      </c>
      <c r="C469" s="15" t="s">
        <v>416</v>
      </c>
      <c r="D469" s="15" t="s">
        <v>417</v>
      </c>
      <c r="E469" s="19">
        <v>240557</v>
      </c>
      <c r="F469" s="19">
        <v>98057</v>
      </c>
      <c r="G469" s="20">
        <f t="shared" si="7"/>
        <v>0.28958341946877564</v>
      </c>
      <c r="H469" s="24" t="s">
        <v>552</v>
      </c>
      <c r="I469" s="24" t="s">
        <v>564</v>
      </c>
      <c r="J469" s="24" t="s">
        <v>565</v>
      </c>
      <c r="K469" s="24" t="s">
        <v>563</v>
      </c>
    </row>
    <row r="470" spans="1:11">
      <c r="A470" s="12">
        <v>2012</v>
      </c>
      <c r="B470" s="15" t="s">
        <v>395</v>
      </c>
      <c r="C470" s="15" t="s">
        <v>418</v>
      </c>
      <c r="D470" s="15" t="s">
        <v>419</v>
      </c>
      <c r="E470" s="19">
        <v>28874</v>
      </c>
      <c r="F470" s="19">
        <v>37749</v>
      </c>
      <c r="G470" s="20">
        <f t="shared" si="7"/>
        <v>0.56660612701319368</v>
      </c>
      <c r="H470" s="24" t="s">
        <v>552</v>
      </c>
      <c r="I470" s="24" t="s">
        <v>564</v>
      </c>
      <c r="J470" s="24" t="s">
        <v>565</v>
      </c>
      <c r="K470" s="24" t="s">
        <v>563</v>
      </c>
    </row>
    <row r="471" spans="1:11">
      <c r="A471" s="12">
        <v>2012</v>
      </c>
      <c r="B471" s="15" t="s">
        <v>395</v>
      </c>
      <c r="C471" s="15" t="s">
        <v>420</v>
      </c>
      <c r="D471" s="15" t="s">
        <v>421</v>
      </c>
      <c r="E471" s="19">
        <v>259448</v>
      </c>
      <c r="F471" s="19">
        <v>98699</v>
      </c>
      <c r="G471" s="20">
        <f t="shared" si="7"/>
        <v>0.2755823726011945</v>
      </c>
      <c r="H471" s="24" t="s">
        <v>552</v>
      </c>
      <c r="I471" s="24" t="s">
        <v>564</v>
      </c>
      <c r="J471" s="24" t="s">
        <v>565</v>
      </c>
      <c r="K471" s="24" t="s">
        <v>563</v>
      </c>
    </row>
    <row r="472" spans="1:11">
      <c r="A472" s="12">
        <v>2012</v>
      </c>
      <c r="B472" s="15" t="s">
        <v>395</v>
      </c>
      <c r="C472" s="15" t="s">
        <v>422</v>
      </c>
      <c r="D472" s="15" t="s">
        <v>423</v>
      </c>
      <c r="E472" s="19">
        <v>46845</v>
      </c>
      <c r="F472" s="19">
        <v>32385</v>
      </c>
      <c r="G472" s="20">
        <f t="shared" si="7"/>
        <v>0.40874668686103749</v>
      </c>
      <c r="H472" s="24" t="s">
        <v>552</v>
      </c>
      <c r="I472" s="24" t="s">
        <v>564</v>
      </c>
      <c r="J472" s="24" t="s">
        <v>565</v>
      </c>
      <c r="K472" s="24" t="s">
        <v>563</v>
      </c>
    </row>
    <row r="473" spans="1:11">
      <c r="A473" s="12">
        <v>2012</v>
      </c>
      <c r="B473" s="15" t="s">
        <v>395</v>
      </c>
      <c r="C473" s="15" t="s">
        <v>424</v>
      </c>
      <c r="D473" s="15" t="s">
        <v>425</v>
      </c>
      <c r="E473" s="19">
        <v>45272</v>
      </c>
      <c r="F473" s="19">
        <v>50147</v>
      </c>
      <c r="G473" s="20">
        <f t="shared" si="7"/>
        <v>0.52554522684161431</v>
      </c>
      <c r="H473" s="24" t="s">
        <v>552</v>
      </c>
      <c r="I473" s="24" t="s">
        <v>564</v>
      </c>
      <c r="J473" s="24" t="s">
        <v>565</v>
      </c>
      <c r="K473" s="24" t="s">
        <v>563</v>
      </c>
    </row>
    <row r="474" spans="1:11">
      <c r="A474" s="12">
        <v>2012</v>
      </c>
      <c r="B474" s="15" t="s">
        <v>395</v>
      </c>
      <c r="C474" s="15" t="s">
        <v>426</v>
      </c>
      <c r="D474" s="15" t="s">
        <v>427</v>
      </c>
      <c r="E474" s="19">
        <v>44256</v>
      </c>
      <c r="F474" s="19">
        <v>40533</v>
      </c>
      <c r="G474" s="20">
        <f t="shared" si="7"/>
        <v>0.47804550118529526</v>
      </c>
      <c r="H474" s="24" t="s">
        <v>552</v>
      </c>
      <c r="I474" s="24" t="s">
        <v>564</v>
      </c>
      <c r="J474" s="24" t="s">
        <v>565</v>
      </c>
      <c r="K474" s="24" t="s">
        <v>563</v>
      </c>
    </row>
    <row r="475" spans="1:11">
      <c r="A475" s="12">
        <v>2012</v>
      </c>
      <c r="B475" s="15" t="s">
        <v>395</v>
      </c>
      <c r="C475" s="15" t="s">
        <v>428</v>
      </c>
      <c r="D475" s="15" t="s">
        <v>429</v>
      </c>
      <c r="E475" s="19">
        <v>31783</v>
      </c>
      <c r="F475" s="19">
        <v>35665</v>
      </c>
      <c r="G475" s="20">
        <f t="shared" si="7"/>
        <v>0.52877772506227017</v>
      </c>
      <c r="H475" s="24" t="s">
        <v>552</v>
      </c>
      <c r="I475" s="24" t="s">
        <v>564</v>
      </c>
      <c r="J475" s="24" t="s">
        <v>565</v>
      </c>
      <c r="K475" s="24" t="s">
        <v>563</v>
      </c>
    </row>
    <row r="476" spans="1:11">
      <c r="A476" s="12">
        <v>2012</v>
      </c>
      <c r="B476" s="15" t="s">
        <v>395</v>
      </c>
      <c r="C476" s="15" t="s">
        <v>430</v>
      </c>
      <c r="D476" s="15" t="s">
        <v>431</v>
      </c>
      <c r="E476" s="19">
        <v>34156</v>
      </c>
      <c r="F476" s="19">
        <v>27396</v>
      </c>
      <c r="G476" s="20">
        <f t="shared" si="7"/>
        <v>0.44508708084221471</v>
      </c>
      <c r="H476" s="24" t="s">
        <v>552</v>
      </c>
      <c r="I476" s="24" t="s">
        <v>564</v>
      </c>
      <c r="J476" s="24" t="s">
        <v>565</v>
      </c>
      <c r="K476" s="24" t="s">
        <v>563</v>
      </c>
    </row>
    <row r="477" spans="1:11">
      <c r="A477" s="12">
        <v>2012</v>
      </c>
      <c r="B477" s="15" t="s">
        <v>395</v>
      </c>
      <c r="C477" s="15" t="s">
        <v>432</v>
      </c>
      <c r="D477" s="15" t="s">
        <v>433</v>
      </c>
      <c r="E477" s="19">
        <v>26387</v>
      </c>
      <c r="F477" s="19">
        <v>25085</v>
      </c>
      <c r="G477" s="20">
        <f t="shared" si="7"/>
        <v>0.48735234690705626</v>
      </c>
      <c r="H477" s="24" t="s">
        <v>552</v>
      </c>
      <c r="I477" s="24" t="s">
        <v>564</v>
      </c>
      <c r="J477" s="24" t="s">
        <v>565</v>
      </c>
      <c r="K477" s="24" t="s">
        <v>563</v>
      </c>
    </row>
    <row r="478" spans="1:11">
      <c r="A478" s="12">
        <v>2012</v>
      </c>
      <c r="B478" s="15" t="s">
        <v>395</v>
      </c>
      <c r="C478" s="15" t="s">
        <v>434</v>
      </c>
      <c r="D478" s="15" t="s">
        <v>435</v>
      </c>
      <c r="E478" s="19">
        <v>26429</v>
      </c>
      <c r="F478" s="19">
        <v>28515</v>
      </c>
      <c r="G478" s="20">
        <f t="shared" si="7"/>
        <v>0.51898296447291792</v>
      </c>
      <c r="H478" s="24" t="s">
        <v>552</v>
      </c>
      <c r="I478" s="24" t="s">
        <v>564</v>
      </c>
      <c r="J478" s="24" t="s">
        <v>565</v>
      </c>
      <c r="K478" s="24" t="s">
        <v>563</v>
      </c>
    </row>
    <row r="479" spans="1:11">
      <c r="A479" s="12">
        <v>2012</v>
      </c>
      <c r="B479" s="15" t="s">
        <v>395</v>
      </c>
      <c r="C479" s="15" t="s">
        <v>436</v>
      </c>
      <c r="D479" s="15" t="s">
        <v>437</v>
      </c>
      <c r="E479" s="19">
        <v>64090</v>
      </c>
      <c r="F479" s="19">
        <v>45764</v>
      </c>
      <c r="G479" s="20">
        <f t="shared" si="7"/>
        <v>0.41658929124110183</v>
      </c>
      <c r="H479" s="24" t="s">
        <v>552</v>
      </c>
      <c r="I479" s="24" t="s">
        <v>564</v>
      </c>
      <c r="J479" s="24" t="s">
        <v>565</v>
      </c>
      <c r="K479" s="24" t="s">
        <v>563</v>
      </c>
    </row>
    <row r="480" spans="1:11">
      <c r="A480" s="12">
        <v>2012</v>
      </c>
      <c r="B480" s="15" t="s">
        <v>395</v>
      </c>
      <c r="C480" s="15" t="s">
        <v>438</v>
      </c>
      <c r="D480" s="15" t="s">
        <v>439</v>
      </c>
      <c r="E480" s="19">
        <v>53672</v>
      </c>
      <c r="F480" s="19">
        <v>43228</v>
      </c>
      <c r="G480" s="20">
        <f t="shared" si="7"/>
        <v>0.44610939112487102</v>
      </c>
      <c r="H480" s="24" t="s">
        <v>552</v>
      </c>
      <c r="I480" s="24" t="s">
        <v>564</v>
      </c>
      <c r="J480" s="24" t="s">
        <v>565</v>
      </c>
      <c r="K480" s="24" t="s">
        <v>563</v>
      </c>
    </row>
    <row r="481" spans="1:11">
      <c r="A481" s="12">
        <v>2012</v>
      </c>
      <c r="B481" s="15" t="s">
        <v>440</v>
      </c>
      <c r="C481" s="15" t="s">
        <v>22</v>
      </c>
      <c r="D481" s="15" t="s">
        <v>440</v>
      </c>
      <c r="E481" s="19">
        <v>2358131</v>
      </c>
      <c r="F481" s="19">
        <v>933800</v>
      </c>
      <c r="G481" s="20">
        <f t="shared" si="7"/>
        <v>0.28366329670943891</v>
      </c>
      <c r="H481" s="24" t="s">
        <v>548</v>
      </c>
      <c r="I481" s="24" t="s">
        <v>553</v>
      </c>
      <c r="J481" s="24" t="s">
        <v>554</v>
      </c>
      <c r="K481" s="24" t="s">
        <v>563</v>
      </c>
    </row>
    <row r="482" spans="1:11">
      <c r="A482" s="12">
        <v>2012</v>
      </c>
      <c r="B482" s="15" t="s">
        <v>440</v>
      </c>
      <c r="C482" s="15" t="s">
        <v>441</v>
      </c>
      <c r="D482" s="15" t="s">
        <v>442</v>
      </c>
      <c r="E482" s="19">
        <v>202834</v>
      </c>
      <c r="F482" s="19">
        <v>145851</v>
      </c>
      <c r="G482" s="20">
        <f t="shared" si="7"/>
        <v>0.41828871330857365</v>
      </c>
      <c r="H482" s="24" t="s">
        <v>548</v>
      </c>
      <c r="I482" s="24" t="s">
        <v>559</v>
      </c>
      <c r="J482" s="24" t="s">
        <v>560</v>
      </c>
      <c r="K482" s="24" t="s">
        <v>563</v>
      </c>
    </row>
    <row r="483" spans="1:11">
      <c r="A483" s="12">
        <v>2012</v>
      </c>
      <c r="B483" s="15" t="s">
        <v>440</v>
      </c>
      <c r="C483" s="15" t="s">
        <v>443</v>
      </c>
      <c r="D483" s="15" t="s">
        <v>444</v>
      </c>
      <c r="E483" s="19">
        <v>222900</v>
      </c>
      <c r="F483" s="19">
        <v>111211</v>
      </c>
      <c r="G483" s="20">
        <f t="shared" si="7"/>
        <v>0.33285644591168806</v>
      </c>
      <c r="H483" s="24" t="s">
        <v>548</v>
      </c>
      <c r="I483" s="24" t="s">
        <v>553</v>
      </c>
      <c r="J483" s="24" t="s">
        <v>554</v>
      </c>
      <c r="K483" s="24" t="s">
        <v>563</v>
      </c>
    </row>
    <row r="484" spans="1:11">
      <c r="A484" s="12">
        <v>2012</v>
      </c>
      <c r="B484" s="15" t="s">
        <v>440</v>
      </c>
      <c r="C484" s="15" t="s">
        <v>445</v>
      </c>
      <c r="D484" s="15" t="s">
        <v>446</v>
      </c>
      <c r="E484" s="19">
        <v>22998</v>
      </c>
      <c r="F484" s="19">
        <v>27693</v>
      </c>
      <c r="G484" s="20">
        <f t="shared" si="7"/>
        <v>0.54630999585725282</v>
      </c>
      <c r="H484" s="24" t="s">
        <v>548</v>
      </c>
      <c r="I484" s="24" t="s">
        <v>559</v>
      </c>
      <c r="J484" s="24" t="s">
        <v>560</v>
      </c>
      <c r="K484" s="24" t="s">
        <v>563</v>
      </c>
    </row>
    <row r="485" spans="1:11">
      <c r="A485" s="12">
        <v>2012</v>
      </c>
      <c r="B485" s="15" t="s">
        <v>440</v>
      </c>
      <c r="C485" s="15" t="s">
        <v>447</v>
      </c>
      <c r="D485" s="15" t="s">
        <v>448</v>
      </c>
      <c r="E485" s="19">
        <v>366779</v>
      </c>
      <c r="F485" s="19">
        <v>142272</v>
      </c>
      <c r="G485" s="20">
        <f t="shared" si="7"/>
        <v>0.27948476675225076</v>
      </c>
      <c r="H485" s="24" t="s">
        <v>548</v>
      </c>
      <c r="I485" s="24" t="s">
        <v>559</v>
      </c>
      <c r="J485" s="24" t="s">
        <v>560</v>
      </c>
      <c r="K485" s="24" t="s">
        <v>563</v>
      </c>
    </row>
    <row r="486" spans="1:11">
      <c r="A486" s="12">
        <v>2012</v>
      </c>
      <c r="B486" s="15" t="s">
        <v>440</v>
      </c>
      <c r="C486" s="15" t="s">
        <v>105</v>
      </c>
      <c r="D486" s="15" t="s">
        <v>449</v>
      </c>
      <c r="E486" s="19">
        <v>16863</v>
      </c>
      <c r="F486" s="19">
        <v>19254</v>
      </c>
      <c r="G486" s="20">
        <f t="shared" si="7"/>
        <v>0.533100755876734</v>
      </c>
      <c r="H486" s="24" t="s">
        <v>548</v>
      </c>
      <c r="I486" s="24" t="s">
        <v>559</v>
      </c>
      <c r="J486" s="24" t="s">
        <v>560</v>
      </c>
      <c r="K486" s="24" t="s">
        <v>563</v>
      </c>
    </row>
    <row r="487" spans="1:11">
      <c r="A487" s="12">
        <v>2012</v>
      </c>
      <c r="B487" s="15" t="s">
        <v>440</v>
      </c>
      <c r="C487" s="15" t="s">
        <v>450</v>
      </c>
      <c r="D487" s="15" t="s">
        <v>451</v>
      </c>
      <c r="E487" s="19">
        <v>111015</v>
      </c>
      <c r="F487" s="19">
        <v>63728</v>
      </c>
      <c r="G487" s="20">
        <f t="shared" si="7"/>
        <v>0.36469558151113352</v>
      </c>
      <c r="H487" s="24" t="s">
        <v>548</v>
      </c>
      <c r="I487" s="24" t="s">
        <v>553</v>
      </c>
      <c r="J487" s="24" t="s">
        <v>554</v>
      </c>
      <c r="K487" s="24" t="s">
        <v>563</v>
      </c>
    </row>
    <row r="488" spans="1:11">
      <c r="A488" s="12">
        <v>2012</v>
      </c>
      <c r="B488" s="15" t="s">
        <v>440</v>
      </c>
      <c r="C488" s="15" t="s">
        <v>452</v>
      </c>
      <c r="D488" s="15" t="s">
        <v>453</v>
      </c>
      <c r="E488" s="19">
        <v>64427</v>
      </c>
      <c r="F488" s="19">
        <v>37886</v>
      </c>
      <c r="G488" s="20">
        <f t="shared" si="7"/>
        <v>0.37029507491716596</v>
      </c>
      <c r="H488" s="24" t="s">
        <v>548</v>
      </c>
      <c r="I488" s="24" t="s">
        <v>559</v>
      </c>
      <c r="J488" s="24" t="s">
        <v>560</v>
      </c>
      <c r="K488" s="24" t="s">
        <v>563</v>
      </c>
    </row>
    <row r="489" spans="1:11">
      <c r="A489" s="12">
        <v>2012</v>
      </c>
      <c r="B489" s="15" t="s">
        <v>440</v>
      </c>
      <c r="C489" s="15" t="s">
        <v>454</v>
      </c>
      <c r="D489" s="15" t="s">
        <v>455</v>
      </c>
      <c r="E489" s="19">
        <v>23952</v>
      </c>
      <c r="F489" s="19">
        <v>26882</v>
      </c>
      <c r="G489" s="20">
        <f t="shared" si="7"/>
        <v>0.52881929417319118</v>
      </c>
      <c r="H489" s="24" t="s">
        <v>548</v>
      </c>
      <c r="I489" s="24" t="s">
        <v>559</v>
      </c>
      <c r="J489" s="24" t="s">
        <v>560</v>
      </c>
      <c r="K489" s="24" t="s">
        <v>563</v>
      </c>
    </row>
    <row r="490" spans="1:11">
      <c r="A490" s="12">
        <v>2012</v>
      </c>
      <c r="B490" s="15" t="s">
        <v>440</v>
      </c>
      <c r="C490" s="15" t="s">
        <v>456</v>
      </c>
      <c r="D490" s="15" t="s">
        <v>457</v>
      </c>
      <c r="E490" s="19">
        <v>87250</v>
      </c>
      <c r="F490" s="19">
        <v>53628</v>
      </c>
      <c r="G490" s="20">
        <f t="shared" si="7"/>
        <v>0.38066979940090007</v>
      </c>
      <c r="H490" s="24" t="s">
        <v>548</v>
      </c>
      <c r="I490" s="24" t="s">
        <v>559</v>
      </c>
      <c r="J490" s="24" t="s">
        <v>560</v>
      </c>
      <c r="K490" s="24" t="s">
        <v>563</v>
      </c>
    </row>
    <row r="491" spans="1:11">
      <c r="A491" s="12">
        <v>2012</v>
      </c>
      <c r="B491" s="15" t="s">
        <v>440</v>
      </c>
      <c r="C491" s="15" t="s">
        <v>458</v>
      </c>
      <c r="D491" s="15" t="s">
        <v>459</v>
      </c>
      <c r="E491" s="19">
        <v>31484</v>
      </c>
      <c r="F491" s="19">
        <v>34421</v>
      </c>
      <c r="G491" s="20">
        <f t="shared" si="7"/>
        <v>0.5222820726803733</v>
      </c>
      <c r="H491" s="24" t="s">
        <v>548</v>
      </c>
      <c r="I491" s="24" t="s">
        <v>559</v>
      </c>
      <c r="J491" s="24" t="s">
        <v>560</v>
      </c>
      <c r="K491" s="24" t="s">
        <v>563</v>
      </c>
    </row>
    <row r="492" spans="1:11">
      <c r="A492" s="12">
        <v>2012</v>
      </c>
      <c r="B492" s="15" t="s">
        <v>440</v>
      </c>
      <c r="C492" s="15" t="s">
        <v>460</v>
      </c>
      <c r="D492" s="15" t="s">
        <v>461</v>
      </c>
      <c r="E492" s="19">
        <v>147466</v>
      </c>
      <c r="F492" s="19">
        <v>52899</v>
      </c>
      <c r="G492" s="20">
        <f t="shared" si="7"/>
        <v>0.26401317595388418</v>
      </c>
      <c r="H492" s="24" t="s">
        <v>548</v>
      </c>
      <c r="I492" s="24" t="s">
        <v>553</v>
      </c>
      <c r="J492" s="24" t="s">
        <v>554</v>
      </c>
      <c r="K492" s="24" t="s">
        <v>563</v>
      </c>
    </row>
    <row r="493" spans="1:11">
      <c r="A493" s="12">
        <v>2012</v>
      </c>
      <c r="B493" s="15" t="s">
        <v>440</v>
      </c>
      <c r="C493" s="15" t="s">
        <v>462</v>
      </c>
      <c r="D493" s="15" t="s">
        <v>463</v>
      </c>
      <c r="E493" s="19">
        <v>32516</v>
      </c>
      <c r="F493" s="19">
        <v>28443</v>
      </c>
      <c r="G493" s="20">
        <f t="shared" si="7"/>
        <v>0.46659229974244987</v>
      </c>
      <c r="H493" s="24" t="s">
        <v>548</v>
      </c>
      <c r="I493" s="24" t="s">
        <v>559</v>
      </c>
      <c r="J493" s="24" t="s">
        <v>560</v>
      </c>
      <c r="K493" s="24" t="s">
        <v>563</v>
      </c>
    </row>
    <row r="494" spans="1:11">
      <c r="A494" s="12">
        <v>2012</v>
      </c>
      <c r="B494" s="15" t="s">
        <v>440</v>
      </c>
      <c r="C494" s="15" t="s">
        <v>464</v>
      </c>
      <c r="D494" s="15" t="s">
        <v>465</v>
      </c>
      <c r="E494" s="19">
        <v>12869</v>
      </c>
      <c r="F494" s="19">
        <v>14408</v>
      </c>
      <c r="G494" s="20">
        <f t="shared" si="7"/>
        <v>0.52821058034241297</v>
      </c>
      <c r="H494" s="24" t="s">
        <v>548</v>
      </c>
      <c r="I494" s="24" t="s">
        <v>559</v>
      </c>
      <c r="J494" s="24" t="s">
        <v>560</v>
      </c>
      <c r="K494" s="24" t="s">
        <v>563</v>
      </c>
    </row>
    <row r="495" spans="1:11">
      <c r="A495" s="12">
        <v>2012</v>
      </c>
      <c r="B495" s="15" t="s">
        <v>440</v>
      </c>
      <c r="C495" s="15" t="s">
        <v>466</v>
      </c>
      <c r="D495" s="15" t="s">
        <v>467</v>
      </c>
      <c r="E495" s="19">
        <v>96071</v>
      </c>
      <c r="F495" s="19">
        <v>57511</v>
      </c>
      <c r="G495" s="20">
        <f t="shared" si="7"/>
        <v>0.37446445547004203</v>
      </c>
      <c r="H495" s="24" t="s">
        <v>548</v>
      </c>
      <c r="I495" s="24" t="s">
        <v>559</v>
      </c>
      <c r="J495" s="24" t="s">
        <v>560</v>
      </c>
      <c r="K495" s="24" t="s">
        <v>563</v>
      </c>
    </row>
    <row r="496" spans="1:11">
      <c r="A496" s="12">
        <v>2012</v>
      </c>
      <c r="B496" s="15" t="s">
        <v>440</v>
      </c>
      <c r="C496" s="15" t="s">
        <v>468</v>
      </c>
      <c r="D496" s="15" t="s">
        <v>469</v>
      </c>
      <c r="E496" s="19">
        <v>82808</v>
      </c>
      <c r="F496" s="19">
        <v>56480</v>
      </c>
      <c r="G496" s="20">
        <f t="shared" si="7"/>
        <v>0.40549078168973635</v>
      </c>
      <c r="H496" s="24" t="s">
        <v>548</v>
      </c>
      <c r="I496" s="24" t="s">
        <v>559</v>
      </c>
      <c r="J496" s="24" t="s">
        <v>560</v>
      </c>
      <c r="K496" s="24" t="s">
        <v>563</v>
      </c>
    </row>
    <row r="497" spans="1:11">
      <c r="A497" s="12">
        <v>2012</v>
      </c>
      <c r="B497" s="15" t="s">
        <v>440</v>
      </c>
      <c r="C497" s="15" t="s">
        <v>470</v>
      </c>
      <c r="D497" s="15" t="s">
        <v>471</v>
      </c>
      <c r="E497" s="19">
        <v>35104</v>
      </c>
      <c r="F497" s="19">
        <v>33436</v>
      </c>
      <c r="G497" s="20">
        <f t="shared" si="7"/>
        <v>0.48783192296469213</v>
      </c>
      <c r="H497" s="24" t="s">
        <v>548</v>
      </c>
      <c r="I497" s="24" t="s">
        <v>559</v>
      </c>
      <c r="J497" s="24" t="s">
        <v>560</v>
      </c>
      <c r="K497" s="24" t="s">
        <v>563</v>
      </c>
    </row>
    <row r="498" spans="1:11">
      <c r="A498" s="12">
        <v>2012</v>
      </c>
      <c r="B498" s="15" t="s">
        <v>440</v>
      </c>
      <c r="C498" s="15" t="s">
        <v>472</v>
      </c>
      <c r="D498" s="15" t="s">
        <v>473</v>
      </c>
      <c r="E498" s="19">
        <v>7255</v>
      </c>
      <c r="F498" s="19">
        <v>8131</v>
      </c>
      <c r="G498" s="20">
        <f t="shared" si="7"/>
        <v>0.52846743793058626</v>
      </c>
      <c r="H498" s="24" t="s">
        <v>548</v>
      </c>
      <c r="I498" s="24" t="s">
        <v>559</v>
      </c>
      <c r="J498" s="24" t="s">
        <v>560</v>
      </c>
      <c r="K498" s="24" t="s">
        <v>563</v>
      </c>
    </row>
    <row r="499" spans="1:11">
      <c r="A499" s="12">
        <v>2012</v>
      </c>
      <c r="B499" s="15" t="s">
        <v>440</v>
      </c>
      <c r="C499" s="15" t="s">
        <v>474</v>
      </c>
      <c r="D499" s="15" t="s">
        <v>475</v>
      </c>
      <c r="E499" s="19">
        <v>43010</v>
      </c>
      <c r="F499" s="19">
        <v>32146</v>
      </c>
      <c r="G499" s="20">
        <f t="shared" si="7"/>
        <v>0.42772366810367768</v>
      </c>
      <c r="H499" s="24" t="s">
        <v>548</v>
      </c>
      <c r="I499" s="24" t="s">
        <v>559</v>
      </c>
      <c r="J499" s="24" t="s">
        <v>560</v>
      </c>
      <c r="K499" s="24" t="s">
        <v>563</v>
      </c>
    </row>
    <row r="500" spans="1:11">
      <c r="A500" s="12">
        <v>2012</v>
      </c>
      <c r="B500" s="15" t="s">
        <v>440</v>
      </c>
      <c r="C500" s="15" t="s">
        <v>476</v>
      </c>
      <c r="D500" s="15" t="s">
        <v>477</v>
      </c>
      <c r="E500" s="19">
        <v>44851</v>
      </c>
      <c r="F500" s="19">
        <v>40687</v>
      </c>
      <c r="G500" s="20">
        <f t="shared" si="7"/>
        <v>0.47565994061119032</v>
      </c>
      <c r="H500" s="24" t="s">
        <v>548</v>
      </c>
      <c r="I500" s="24" t="s">
        <v>559</v>
      </c>
      <c r="J500" s="24" t="s">
        <v>560</v>
      </c>
      <c r="K500" s="24" t="s">
        <v>563</v>
      </c>
    </row>
    <row r="501" spans="1:11">
      <c r="A501" s="12">
        <v>2012</v>
      </c>
      <c r="B501" s="15" t="s">
        <v>440</v>
      </c>
      <c r="C501" s="15" t="s">
        <v>478</v>
      </c>
      <c r="D501" s="15" t="s">
        <v>479</v>
      </c>
      <c r="E501" s="19">
        <v>33032</v>
      </c>
      <c r="F501" s="19">
        <v>31609</v>
      </c>
      <c r="G501" s="20">
        <f t="shared" si="7"/>
        <v>0.4889930539440912</v>
      </c>
      <c r="H501" s="24" t="s">
        <v>548</v>
      </c>
      <c r="I501" s="24" t="s">
        <v>559</v>
      </c>
      <c r="J501" s="24" t="s">
        <v>560</v>
      </c>
      <c r="K501" s="24" t="s">
        <v>563</v>
      </c>
    </row>
    <row r="502" spans="1:11">
      <c r="A502" s="12">
        <v>2012</v>
      </c>
      <c r="B502" s="15" t="s">
        <v>440</v>
      </c>
      <c r="C502" s="15" t="s">
        <v>480</v>
      </c>
      <c r="D502" s="15" t="s">
        <v>481</v>
      </c>
      <c r="E502" s="19">
        <v>19330</v>
      </c>
      <c r="F502" s="19">
        <v>20792</v>
      </c>
      <c r="G502" s="20">
        <f t="shared" si="7"/>
        <v>0.51821943073625443</v>
      </c>
      <c r="H502" s="24" t="s">
        <v>548</v>
      </c>
      <c r="I502" s="24" t="s">
        <v>559</v>
      </c>
      <c r="J502" s="24" t="s">
        <v>560</v>
      </c>
      <c r="K502" s="24" t="s">
        <v>563</v>
      </c>
    </row>
    <row r="503" spans="1:11">
      <c r="A503" s="12">
        <v>2012</v>
      </c>
      <c r="B503" s="15" t="s">
        <v>440</v>
      </c>
      <c r="C503" s="15" t="s">
        <v>482</v>
      </c>
      <c r="D503" s="15" t="s">
        <v>483</v>
      </c>
      <c r="E503" s="19">
        <v>89745</v>
      </c>
      <c r="F503" s="19">
        <v>84627</v>
      </c>
      <c r="G503" s="20">
        <f t="shared" si="7"/>
        <v>0.48532447870070883</v>
      </c>
      <c r="H503" s="24" t="s">
        <v>548</v>
      </c>
      <c r="I503" s="24" t="s">
        <v>559</v>
      </c>
      <c r="J503" s="24" t="s">
        <v>560</v>
      </c>
      <c r="K503" s="24" t="s">
        <v>563</v>
      </c>
    </row>
    <row r="504" spans="1:11">
      <c r="A504" s="12">
        <v>2012</v>
      </c>
      <c r="B504" s="15" t="s">
        <v>440</v>
      </c>
      <c r="C504" s="15" t="s">
        <v>484</v>
      </c>
      <c r="D504" s="15" t="s">
        <v>485</v>
      </c>
      <c r="E504" s="19">
        <v>204617</v>
      </c>
      <c r="F504" s="19">
        <v>166551</v>
      </c>
      <c r="G504" s="20">
        <f t="shared" si="7"/>
        <v>0.44872133373566686</v>
      </c>
      <c r="H504" s="24" t="s">
        <v>548</v>
      </c>
      <c r="I504" s="24" t="s">
        <v>553</v>
      </c>
      <c r="J504" s="24" t="s">
        <v>554</v>
      </c>
      <c r="K504" s="24" t="s">
        <v>563</v>
      </c>
    </row>
    <row r="505" spans="1:11">
      <c r="A505" s="12">
        <v>2012</v>
      </c>
      <c r="B505" s="15" t="s">
        <v>440</v>
      </c>
      <c r="C505" s="15" t="s">
        <v>486</v>
      </c>
      <c r="D505" s="15" t="s">
        <v>487</v>
      </c>
      <c r="E505" s="19">
        <v>226516</v>
      </c>
      <c r="F505" s="19">
        <v>145322</v>
      </c>
      <c r="G505" s="20">
        <f t="shared" si="7"/>
        <v>0.39082073376040105</v>
      </c>
      <c r="H505" s="24" t="s">
        <v>548</v>
      </c>
      <c r="I505" s="24" t="s">
        <v>553</v>
      </c>
      <c r="J505" s="24" t="s">
        <v>554</v>
      </c>
      <c r="K505" s="24" t="s">
        <v>563</v>
      </c>
    </row>
    <row r="506" spans="1:11">
      <c r="A506" s="12">
        <v>2012</v>
      </c>
      <c r="B506" s="15" t="s">
        <v>488</v>
      </c>
      <c r="C506" s="15" t="s">
        <v>22</v>
      </c>
      <c r="D506" s="15" t="s">
        <v>488</v>
      </c>
      <c r="E506" s="19">
        <v>2992619</v>
      </c>
      <c r="F506" s="19">
        <v>870356</v>
      </c>
      <c r="G506" s="20">
        <f t="shared" si="7"/>
        <v>0.22530717905241426</v>
      </c>
      <c r="H506" s="24" t="s">
        <v>548</v>
      </c>
      <c r="I506" s="24" t="s">
        <v>559</v>
      </c>
      <c r="J506" s="24" t="s">
        <v>560</v>
      </c>
      <c r="K506" s="24" t="s">
        <v>563</v>
      </c>
    </row>
    <row r="507" spans="1:11">
      <c r="A507" s="12">
        <v>2012</v>
      </c>
      <c r="B507" s="15" t="s">
        <v>488</v>
      </c>
      <c r="C507" s="15" t="s">
        <v>489</v>
      </c>
      <c r="D507" s="15" t="s">
        <v>490</v>
      </c>
      <c r="E507" s="19">
        <v>212292</v>
      </c>
      <c r="F507" s="19">
        <v>102252</v>
      </c>
      <c r="G507" s="20">
        <f t="shared" si="7"/>
        <v>0.32508011597741493</v>
      </c>
      <c r="H507" s="24" t="s">
        <v>548</v>
      </c>
      <c r="I507" s="24" t="s">
        <v>559</v>
      </c>
      <c r="J507" s="24" t="s">
        <v>560</v>
      </c>
      <c r="K507" s="24" t="s">
        <v>563</v>
      </c>
    </row>
    <row r="508" spans="1:11">
      <c r="A508" s="12">
        <v>2012</v>
      </c>
      <c r="B508" s="15" t="s">
        <v>488</v>
      </c>
      <c r="C508" s="15" t="s">
        <v>491</v>
      </c>
      <c r="D508" s="15" t="s">
        <v>492</v>
      </c>
      <c r="E508" s="19">
        <v>54433</v>
      </c>
      <c r="F508" s="19">
        <v>31469</v>
      </c>
      <c r="G508" s="20">
        <f t="shared" si="7"/>
        <v>0.36633605736769809</v>
      </c>
      <c r="H508" s="24" t="s">
        <v>548</v>
      </c>
      <c r="I508" s="24" t="s">
        <v>559</v>
      </c>
      <c r="J508" s="24" t="s">
        <v>560</v>
      </c>
      <c r="K508" s="24" t="s">
        <v>563</v>
      </c>
    </row>
    <row r="509" spans="1:11">
      <c r="A509" s="12">
        <v>2012</v>
      </c>
      <c r="B509" s="15" t="s">
        <v>488</v>
      </c>
      <c r="C509" s="15" t="s">
        <v>260</v>
      </c>
      <c r="D509" s="15" t="s">
        <v>493</v>
      </c>
      <c r="E509" s="19">
        <v>44603</v>
      </c>
      <c r="F509" s="19">
        <v>40726</v>
      </c>
      <c r="G509" s="20">
        <f t="shared" si="7"/>
        <v>0.4772820494790751</v>
      </c>
      <c r="H509" s="24" t="s">
        <v>548</v>
      </c>
      <c r="I509" s="24" t="s">
        <v>559</v>
      </c>
      <c r="J509" s="24" t="s">
        <v>560</v>
      </c>
      <c r="K509" s="24" t="s">
        <v>563</v>
      </c>
    </row>
    <row r="510" spans="1:11">
      <c r="A510" s="12">
        <v>2012</v>
      </c>
      <c r="B510" s="15" t="s">
        <v>488</v>
      </c>
      <c r="C510" s="15" t="s">
        <v>494</v>
      </c>
      <c r="D510" s="15" t="s">
        <v>495</v>
      </c>
      <c r="E510" s="19">
        <v>447434</v>
      </c>
      <c r="F510" s="19">
        <v>222693</v>
      </c>
      <c r="G510" s="20">
        <f t="shared" si="7"/>
        <v>0.3323146209599076</v>
      </c>
      <c r="H510" s="24" t="s">
        <v>548</v>
      </c>
      <c r="I510" s="24" t="s">
        <v>559</v>
      </c>
      <c r="J510" s="24" t="s">
        <v>560</v>
      </c>
      <c r="K510" s="24" t="s">
        <v>563</v>
      </c>
    </row>
    <row r="511" spans="1:11">
      <c r="A511" s="12">
        <v>2012</v>
      </c>
      <c r="B511" s="15" t="s">
        <v>488</v>
      </c>
      <c r="C511" s="15" t="s">
        <v>496</v>
      </c>
      <c r="D511" s="15" t="s">
        <v>497</v>
      </c>
      <c r="E511" s="19">
        <v>38672</v>
      </c>
      <c r="F511" s="19">
        <v>32919</v>
      </c>
      <c r="G511" s="20">
        <f t="shared" si="7"/>
        <v>0.45982036848207175</v>
      </c>
      <c r="H511" s="24" t="s">
        <v>548</v>
      </c>
      <c r="I511" s="24" t="s">
        <v>559</v>
      </c>
      <c r="J511" s="24" t="s">
        <v>560</v>
      </c>
      <c r="K511" s="24" t="s">
        <v>563</v>
      </c>
    </row>
    <row r="512" spans="1:11">
      <c r="A512" s="12">
        <v>2012</v>
      </c>
      <c r="B512" s="15" t="s">
        <v>488</v>
      </c>
      <c r="C512" s="15" t="s">
        <v>498</v>
      </c>
      <c r="D512" s="15" t="s">
        <v>499</v>
      </c>
      <c r="E512" s="19">
        <v>90303</v>
      </c>
      <c r="F512" s="19">
        <v>58523</v>
      </c>
      <c r="G512" s="20">
        <f t="shared" si="7"/>
        <v>0.39323102146130379</v>
      </c>
      <c r="H512" s="24" t="s">
        <v>548</v>
      </c>
      <c r="I512" s="24" t="s">
        <v>559</v>
      </c>
      <c r="J512" s="24" t="s">
        <v>560</v>
      </c>
      <c r="K512" s="24" t="s">
        <v>563</v>
      </c>
    </row>
    <row r="513" spans="1:11">
      <c r="A513" s="12">
        <v>2012</v>
      </c>
      <c r="B513" s="15" t="s">
        <v>488</v>
      </c>
      <c r="C513" s="15" t="s">
        <v>500</v>
      </c>
      <c r="D513" s="15" t="s">
        <v>501</v>
      </c>
      <c r="E513" s="19">
        <v>96048</v>
      </c>
      <c r="F513" s="19">
        <v>67086</v>
      </c>
      <c r="G513" s="20">
        <f t="shared" si="7"/>
        <v>0.41123248372503585</v>
      </c>
      <c r="H513" s="24" t="s">
        <v>548</v>
      </c>
      <c r="I513" s="24" t="s">
        <v>559</v>
      </c>
      <c r="J513" s="24" t="s">
        <v>560</v>
      </c>
      <c r="K513" s="24" t="s">
        <v>563</v>
      </c>
    </row>
    <row r="514" spans="1:11">
      <c r="A514" s="12">
        <v>2012</v>
      </c>
      <c r="B514" s="15" t="s">
        <v>488</v>
      </c>
      <c r="C514" s="15" t="s">
        <v>502</v>
      </c>
      <c r="D514" s="15" t="s">
        <v>503</v>
      </c>
      <c r="E514" s="19">
        <v>25812</v>
      </c>
      <c r="F514" s="19">
        <v>28960</v>
      </c>
      <c r="G514" s="20">
        <f t="shared" si="7"/>
        <v>0.52873731103483534</v>
      </c>
      <c r="H514" s="24" t="s">
        <v>548</v>
      </c>
      <c r="I514" s="24" t="s">
        <v>559</v>
      </c>
      <c r="J514" s="24" t="s">
        <v>560</v>
      </c>
      <c r="K514" s="24" t="s">
        <v>563</v>
      </c>
    </row>
    <row r="515" spans="1:11">
      <c r="A515" s="12">
        <v>2012</v>
      </c>
      <c r="B515" s="15" t="s">
        <v>488</v>
      </c>
      <c r="C515" s="15" t="s">
        <v>504</v>
      </c>
      <c r="D515" s="15" t="s">
        <v>505</v>
      </c>
      <c r="E515" s="19">
        <v>228778</v>
      </c>
      <c r="F515" s="19">
        <v>129927</v>
      </c>
      <c r="G515" s="20">
        <f t="shared" si="7"/>
        <v>0.36221128782704448</v>
      </c>
      <c r="H515" s="24" t="s">
        <v>548</v>
      </c>
      <c r="I515" s="24" t="s">
        <v>559</v>
      </c>
      <c r="J515" s="24" t="s">
        <v>560</v>
      </c>
      <c r="K515" s="24" t="s">
        <v>563</v>
      </c>
    </row>
    <row r="516" spans="1:11">
      <c r="A516" s="12">
        <v>2012</v>
      </c>
      <c r="B516" s="15" t="s">
        <v>488</v>
      </c>
      <c r="C516" s="15" t="s">
        <v>506</v>
      </c>
      <c r="D516" s="15" t="s">
        <v>507</v>
      </c>
      <c r="E516" s="19">
        <v>21885</v>
      </c>
      <c r="F516" s="19">
        <v>23999</v>
      </c>
      <c r="G516" s="20">
        <f t="shared" si="7"/>
        <v>0.52303635254119085</v>
      </c>
      <c r="H516" s="24" t="s">
        <v>548</v>
      </c>
      <c r="I516" s="24" t="s">
        <v>559</v>
      </c>
      <c r="J516" s="24" t="s">
        <v>560</v>
      </c>
      <c r="K516" s="24" t="s">
        <v>563</v>
      </c>
    </row>
    <row r="517" spans="1:11">
      <c r="A517" s="12">
        <v>2012</v>
      </c>
      <c r="B517" s="15" t="s">
        <v>488</v>
      </c>
      <c r="C517" s="15" t="s">
        <v>508</v>
      </c>
      <c r="D517" s="15" t="s">
        <v>509</v>
      </c>
      <c r="E517" s="19">
        <v>298701</v>
      </c>
      <c r="F517" s="19">
        <v>88613</v>
      </c>
      <c r="G517" s="20">
        <f t="shared" si="7"/>
        <v>0.22878852817094142</v>
      </c>
      <c r="H517" s="24" t="s">
        <v>548</v>
      </c>
      <c r="I517" s="24" t="s">
        <v>559</v>
      </c>
      <c r="J517" s="24" t="s">
        <v>560</v>
      </c>
      <c r="K517" s="24" t="s">
        <v>563</v>
      </c>
    </row>
    <row r="518" spans="1:11">
      <c r="A518" s="12">
        <v>2012</v>
      </c>
      <c r="B518" s="15" t="s">
        <v>488</v>
      </c>
      <c r="C518" s="15" t="s">
        <v>510</v>
      </c>
      <c r="D518" s="15" t="s">
        <v>511</v>
      </c>
      <c r="E518" s="19">
        <v>49175</v>
      </c>
      <c r="F518" s="19">
        <v>46111</v>
      </c>
      <c r="G518" s="20">
        <f t="shared" ref="G518:G581" si="8">IFERROR(F518/(E518+F518),"")</f>
        <v>0.48392208719014335</v>
      </c>
      <c r="H518" s="24" t="s">
        <v>548</v>
      </c>
      <c r="I518" s="24" t="s">
        <v>559</v>
      </c>
      <c r="J518" s="24" t="s">
        <v>560</v>
      </c>
      <c r="K518" s="24" t="s">
        <v>563</v>
      </c>
    </row>
    <row r="519" spans="1:11">
      <c r="A519" s="12">
        <v>2012</v>
      </c>
      <c r="B519" s="15" t="s">
        <v>488</v>
      </c>
      <c r="C519" s="15" t="s">
        <v>512</v>
      </c>
      <c r="D519" s="15" t="s">
        <v>513</v>
      </c>
      <c r="E519" s="19">
        <v>150605</v>
      </c>
      <c r="F519" s="19">
        <v>112524</v>
      </c>
      <c r="G519" s="20">
        <f t="shared" si="8"/>
        <v>0.42763815466938271</v>
      </c>
      <c r="H519" s="24" t="s">
        <v>548</v>
      </c>
      <c r="I519" s="24" t="s">
        <v>559</v>
      </c>
      <c r="J519" s="24" t="s">
        <v>560</v>
      </c>
      <c r="K519" s="24" t="s">
        <v>563</v>
      </c>
    </row>
    <row r="520" spans="1:11">
      <c r="A520" s="12">
        <v>2012</v>
      </c>
      <c r="B520" s="15" t="s">
        <v>488</v>
      </c>
      <c r="C520" s="15" t="s">
        <v>514</v>
      </c>
      <c r="D520" s="15" t="s">
        <v>515</v>
      </c>
      <c r="E520" s="19">
        <v>180143</v>
      </c>
      <c r="F520" s="19">
        <v>136265</v>
      </c>
      <c r="G520" s="20">
        <f t="shared" si="8"/>
        <v>0.43066230942327627</v>
      </c>
      <c r="H520" s="24" t="s">
        <v>548</v>
      </c>
      <c r="I520" s="24" t="s">
        <v>559</v>
      </c>
      <c r="J520" s="24" t="s">
        <v>560</v>
      </c>
      <c r="K520" s="24" t="s">
        <v>563</v>
      </c>
    </row>
    <row r="521" spans="1:11">
      <c r="A521" s="12">
        <v>2012</v>
      </c>
      <c r="B521" s="15" t="s">
        <v>488</v>
      </c>
      <c r="C521" s="15" t="s">
        <v>516</v>
      </c>
      <c r="D521" s="15" t="s">
        <v>517</v>
      </c>
      <c r="E521" s="19">
        <v>202416</v>
      </c>
      <c r="F521" s="19">
        <v>152268</v>
      </c>
      <c r="G521" s="20">
        <f t="shared" si="8"/>
        <v>0.42930608654464253</v>
      </c>
      <c r="H521" s="24" t="s">
        <v>548</v>
      </c>
      <c r="I521" s="24" t="s">
        <v>559</v>
      </c>
      <c r="J521" s="24" t="s">
        <v>560</v>
      </c>
      <c r="K521" s="24" t="s">
        <v>563</v>
      </c>
    </row>
    <row r="522" spans="1:11">
      <c r="A522" s="12">
        <v>2012</v>
      </c>
      <c r="B522" s="15" t="s">
        <v>488</v>
      </c>
      <c r="C522" s="15" t="s">
        <v>518</v>
      </c>
      <c r="D522" s="15" t="s">
        <v>519</v>
      </c>
      <c r="E522" s="19">
        <v>199072</v>
      </c>
      <c r="F522" s="19">
        <v>172246</v>
      </c>
      <c r="G522" s="20">
        <f t="shared" si="8"/>
        <v>0.46387732348014371</v>
      </c>
      <c r="H522" s="24" t="s">
        <v>548</v>
      </c>
      <c r="I522" s="24" t="s">
        <v>559</v>
      </c>
      <c r="J522" s="24" t="s">
        <v>560</v>
      </c>
      <c r="K522" s="24" t="s">
        <v>563</v>
      </c>
    </row>
    <row r="523" spans="1:11">
      <c r="A523" s="12">
        <v>2012</v>
      </c>
      <c r="B523" s="15" t="s">
        <v>488</v>
      </c>
      <c r="C523" s="15" t="s">
        <v>520</v>
      </c>
      <c r="D523" s="15" t="s">
        <v>521</v>
      </c>
      <c r="E523" s="19">
        <v>155049</v>
      </c>
      <c r="F523" s="19">
        <v>101428</v>
      </c>
      <c r="G523" s="20">
        <f t="shared" si="8"/>
        <v>0.39546626013248753</v>
      </c>
      <c r="H523" s="24" t="s">
        <v>548</v>
      </c>
      <c r="I523" s="24" t="s">
        <v>559</v>
      </c>
      <c r="J523" s="24" t="s">
        <v>560</v>
      </c>
      <c r="K523" s="24" t="s">
        <v>563</v>
      </c>
    </row>
    <row r="524" spans="1:11">
      <c r="A524" s="12">
        <v>2012</v>
      </c>
      <c r="B524" s="15" t="s">
        <v>488</v>
      </c>
      <c r="C524" s="15" t="s">
        <v>522</v>
      </c>
      <c r="D524" s="15" t="s">
        <v>523</v>
      </c>
      <c r="E524" s="19">
        <v>123557</v>
      </c>
      <c r="F524" s="19">
        <v>60870</v>
      </c>
      <c r="G524" s="20">
        <f t="shared" si="8"/>
        <v>0.33004928779408654</v>
      </c>
      <c r="H524" s="24" t="s">
        <v>548</v>
      </c>
      <c r="I524" s="24" t="s">
        <v>559</v>
      </c>
      <c r="J524" s="24" t="s">
        <v>560</v>
      </c>
      <c r="K524" s="24" t="s">
        <v>563</v>
      </c>
    </row>
    <row r="525" spans="1:11">
      <c r="A525" s="12">
        <v>2012</v>
      </c>
      <c r="B525" s="15" t="s">
        <v>488</v>
      </c>
      <c r="C525" s="15" t="s">
        <v>524</v>
      </c>
      <c r="D525" s="15" t="s">
        <v>525</v>
      </c>
      <c r="E525" s="19">
        <v>37970</v>
      </c>
      <c r="F525" s="19">
        <v>37575</v>
      </c>
      <c r="G525" s="20">
        <f t="shared" si="8"/>
        <v>0.4973856641736713</v>
      </c>
      <c r="H525" s="24" t="s">
        <v>548</v>
      </c>
      <c r="I525" s="24" t="s">
        <v>559</v>
      </c>
      <c r="J525" s="24" t="s">
        <v>560</v>
      </c>
      <c r="K525" s="24" t="s">
        <v>563</v>
      </c>
    </row>
    <row r="526" spans="1:11">
      <c r="A526" s="12">
        <v>2012</v>
      </c>
      <c r="B526" s="15" t="s">
        <v>488</v>
      </c>
      <c r="C526" s="15" t="s">
        <v>526</v>
      </c>
      <c r="D526" s="15" t="s">
        <v>527</v>
      </c>
      <c r="E526" s="19">
        <v>46785</v>
      </c>
      <c r="F526" s="19">
        <v>53961</v>
      </c>
      <c r="G526" s="20">
        <f t="shared" si="8"/>
        <v>0.53561431719373476</v>
      </c>
      <c r="H526" s="24" t="s">
        <v>548</v>
      </c>
      <c r="I526" s="24" t="s">
        <v>559</v>
      </c>
      <c r="J526" s="24" t="s">
        <v>560</v>
      </c>
      <c r="K526" s="24" t="s">
        <v>563</v>
      </c>
    </row>
    <row r="527" spans="1:11">
      <c r="A527" s="12">
        <v>2012</v>
      </c>
      <c r="B527" s="15" t="s">
        <v>488</v>
      </c>
      <c r="C527" s="15" t="s">
        <v>528</v>
      </c>
      <c r="D527" s="15" t="s">
        <v>529</v>
      </c>
      <c r="E527" s="19">
        <v>33974</v>
      </c>
      <c r="F527" s="19">
        <v>28546</v>
      </c>
      <c r="G527" s="20">
        <f t="shared" si="8"/>
        <v>0.45658989123480487</v>
      </c>
      <c r="H527" s="24" t="s">
        <v>548</v>
      </c>
      <c r="I527" s="24" t="s">
        <v>559</v>
      </c>
      <c r="J527" s="24" t="s">
        <v>560</v>
      </c>
      <c r="K527" s="24" t="s">
        <v>563</v>
      </c>
    </row>
    <row r="528" spans="1:11">
      <c r="A528" s="12">
        <v>2012</v>
      </c>
      <c r="B528" s="15" t="s">
        <v>488</v>
      </c>
      <c r="C528" s="15" t="s">
        <v>530</v>
      </c>
      <c r="D528" s="15" t="s">
        <v>531</v>
      </c>
      <c r="E528" s="19">
        <v>38350</v>
      </c>
      <c r="F528" s="19">
        <v>35825</v>
      </c>
      <c r="G528" s="20">
        <f t="shared" si="8"/>
        <v>0.48297944051230202</v>
      </c>
      <c r="H528" s="24" t="s">
        <v>548</v>
      </c>
      <c r="I528" s="24" t="s">
        <v>559</v>
      </c>
      <c r="J528" s="24" t="s">
        <v>560</v>
      </c>
      <c r="K528" s="24" t="s">
        <v>563</v>
      </c>
    </row>
    <row r="529" spans="1:11">
      <c r="A529" s="12">
        <v>2012</v>
      </c>
      <c r="B529" s="15" t="s">
        <v>532</v>
      </c>
      <c r="C529" s="15" t="s">
        <v>22</v>
      </c>
      <c r="D529" s="15" t="s">
        <v>532</v>
      </c>
      <c r="E529" s="19">
        <v>525851</v>
      </c>
      <c r="F529" s="19">
        <v>86801</v>
      </c>
      <c r="G529" s="20">
        <f t="shared" si="8"/>
        <v>0.14168075840770944</v>
      </c>
      <c r="H529" s="24" t="s">
        <v>552</v>
      </c>
      <c r="I529" s="24" t="s">
        <v>564</v>
      </c>
      <c r="J529" s="24" t="s">
        <v>565</v>
      </c>
      <c r="K529" s="24" t="s">
        <v>563</v>
      </c>
    </row>
    <row r="530" spans="1:11">
      <c r="A530" s="12">
        <v>2012</v>
      </c>
      <c r="B530" s="15" t="s">
        <v>532</v>
      </c>
      <c r="C530" s="15" t="s">
        <v>533</v>
      </c>
      <c r="D530" s="15" t="s">
        <v>534</v>
      </c>
      <c r="E530" s="19">
        <v>125998</v>
      </c>
      <c r="F530" s="19">
        <v>89523</v>
      </c>
      <c r="G530" s="20">
        <f t="shared" si="8"/>
        <v>0.41537947578194234</v>
      </c>
      <c r="H530" s="24" t="s">
        <v>552</v>
      </c>
      <c r="I530" s="24" t="s">
        <v>564</v>
      </c>
      <c r="J530" s="24" t="s">
        <v>565</v>
      </c>
      <c r="K530" s="24" t="s">
        <v>563</v>
      </c>
    </row>
    <row r="531" spans="1:11">
      <c r="A531" s="12">
        <v>2012</v>
      </c>
      <c r="B531" s="15" t="s">
        <v>532</v>
      </c>
      <c r="C531" s="15" t="s">
        <v>535</v>
      </c>
      <c r="D531" s="15" t="s">
        <v>536</v>
      </c>
      <c r="E531" s="19">
        <v>384939</v>
      </c>
      <c r="F531" s="19">
        <v>77925</v>
      </c>
      <c r="G531" s="20">
        <f t="shared" si="8"/>
        <v>0.16835398734833559</v>
      </c>
      <c r="H531" s="24" t="s">
        <v>552</v>
      </c>
      <c r="I531" s="24" t="s">
        <v>564</v>
      </c>
      <c r="J531" s="24" t="s">
        <v>565</v>
      </c>
      <c r="K531" s="24" t="s">
        <v>563</v>
      </c>
    </row>
    <row r="532" spans="1:11">
      <c r="A532" s="12">
        <v>2013</v>
      </c>
      <c r="B532" s="15" t="s">
        <v>21</v>
      </c>
      <c r="C532" s="15" t="s">
        <v>22</v>
      </c>
      <c r="D532" s="15" t="s">
        <v>21</v>
      </c>
      <c r="E532" s="19">
        <v>8980392</v>
      </c>
      <c r="F532" s="19">
        <v>2160567</v>
      </c>
      <c r="G532" s="20">
        <f t="shared" si="8"/>
        <v>0.19393007370370899</v>
      </c>
      <c r="H532" s="24" t="s">
        <v>558</v>
      </c>
      <c r="I532" s="24" t="s">
        <v>568</v>
      </c>
      <c r="J532" s="24" t="s">
        <v>569</v>
      </c>
      <c r="K532" s="24" t="s">
        <v>570</v>
      </c>
    </row>
    <row r="533" spans="1:11">
      <c r="A533" s="12">
        <v>2013</v>
      </c>
      <c r="B533" s="15" t="s">
        <v>21</v>
      </c>
      <c r="C533" s="15" t="s">
        <v>23</v>
      </c>
      <c r="D533" s="15" t="s">
        <v>24</v>
      </c>
      <c r="E533" s="19">
        <v>437451</v>
      </c>
      <c r="F533" s="19">
        <v>357435</v>
      </c>
      <c r="G533" s="20">
        <f t="shared" si="8"/>
        <v>0.44966825431571322</v>
      </c>
      <c r="H533" s="24" t="s">
        <v>558</v>
      </c>
      <c r="I533" s="24" t="s">
        <v>568</v>
      </c>
      <c r="J533" s="24" t="s">
        <v>569</v>
      </c>
      <c r="K533" s="24" t="s">
        <v>570</v>
      </c>
    </row>
    <row r="534" spans="1:11">
      <c r="A534" s="12">
        <v>2013</v>
      </c>
      <c r="B534" s="15" t="s">
        <v>21</v>
      </c>
      <c r="C534" s="15" t="s">
        <v>25</v>
      </c>
      <c r="D534" s="15" t="s">
        <v>26</v>
      </c>
      <c r="E534" s="19">
        <v>392106</v>
      </c>
      <c r="F534" s="19">
        <v>255317</v>
      </c>
      <c r="G534" s="20">
        <f t="shared" si="8"/>
        <v>0.39435886584196111</v>
      </c>
      <c r="H534" s="24" t="s">
        <v>558</v>
      </c>
      <c r="I534" s="24" t="s">
        <v>568</v>
      </c>
      <c r="J534" s="24" t="s">
        <v>569</v>
      </c>
      <c r="K534" s="24" t="s">
        <v>570</v>
      </c>
    </row>
    <row r="535" spans="1:11">
      <c r="A535" s="12">
        <v>2013</v>
      </c>
      <c r="B535" s="15" t="s">
        <v>21</v>
      </c>
      <c r="C535" s="15" t="s">
        <v>27</v>
      </c>
      <c r="D535" s="15" t="s">
        <v>28</v>
      </c>
      <c r="E535" s="19">
        <v>254719</v>
      </c>
      <c r="F535" s="19">
        <v>224225</v>
      </c>
      <c r="G535" s="20">
        <f t="shared" si="8"/>
        <v>0.46816538050377499</v>
      </c>
      <c r="H535" s="24" t="s">
        <v>558</v>
      </c>
      <c r="I535" s="24" t="s">
        <v>568</v>
      </c>
      <c r="J535" s="24" t="s">
        <v>569</v>
      </c>
      <c r="K535" s="24" t="s">
        <v>570</v>
      </c>
    </row>
    <row r="536" spans="1:11">
      <c r="A536" s="12">
        <v>2013</v>
      </c>
      <c r="B536" s="15" t="s">
        <v>21</v>
      </c>
      <c r="C536" s="15" t="s">
        <v>29</v>
      </c>
      <c r="D536" s="15" t="s">
        <v>30</v>
      </c>
      <c r="E536" s="19">
        <v>441641</v>
      </c>
      <c r="F536" s="19">
        <v>364519</v>
      </c>
      <c r="G536" s="20">
        <f t="shared" si="8"/>
        <v>0.45216706361020143</v>
      </c>
      <c r="H536" s="24" t="s">
        <v>558</v>
      </c>
      <c r="I536" s="24" t="s">
        <v>568</v>
      </c>
      <c r="J536" s="24" t="s">
        <v>569</v>
      </c>
      <c r="K536" s="24" t="s">
        <v>570</v>
      </c>
    </row>
    <row r="537" spans="1:11">
      <c r="A537" s="12">
        <v>2013</v>
      </c>
      <c r="B537" s="15" t="s">
        <v>21</v>
      </c>
      <c r="C537" s="15" t="s">
        <v>31</v>
      </c>
      <c r="D537" s="15" t="s">
        <v>32</v>
      </c>
      <c r="E537" s="19">
        <v>379128</v>
      </c>
      <c r="F537" s="19">
        <v>351147</v>
      </c>
      <c r="G537" s="20">
        <f t="shared" si="8"/>
        <v>0.4808421485056999</v>
      </c>
      <c r="H537" s="24" t="s">
        <v>558</v>
      </c>
      <c r="I537" s="24" t="s">
        <v>568</v>
      </c>
      <c r="J537" s="24" t="s">
        <v>569</v>
      </c>
      <c r="K537" s="24" t="s">
        <v>570</v>
      </c>
    </row>
    <row r="538" spans="1:11">
      <c r="A538" s="12">
        <v>2013</v>
      </c>
      <c r="B538" s="15" t="s">
        <v>21</v>
      </c>
      <c r="C538" s="15" t="s">
        <v>33</v>
      </c>
      <c r="D538" s="15" t="s">
        <v>34</v>
      </c>
      <c r="E538" s="19">
        <v>284405</v>
      </c>
      <c r="F538" s="19">
        <v>229088</v>
      </c>
      <c r="G538" s="20">
        <f t="shared" si="8"/>
        <v>0.44613655882358672</v>
      </c>
      <c r="H538" s="24" t="s">
        <v>558</v>
      </c>
      <c r="I538" s="24" t="s">
        <v>568</v>
      </c>
      <c r="J538" s="24" t="s">
        <v>569</v>
      </c>
      <c r="K538" s="24" t="s">
        <v>570</v>
      </c>
    </row>
    <row r="539" spans="1:11">
      <c r="A539" s="12">
        <v>2013</v>
      </c>
      <c r="B539" s="15" t="s">
        <v>21</v>
      </c>
      <c r="C539" s="15" t="s">
        <v>35</v>
      </c>
      <c r="D539" s="15" t="s">
        <v>36</v>
      </c>
      <c r="E539" s="19">
        <v>330853</v>
      </c>
      <c r="F539" s="19">
        <v>281957</v>
      </c>
      <c r="G539" s="20">
        <f t="shared" si="8"/>
        <v>0.46010508966890229</v>
      </c>
      <c r="H539" s="24" t="s">
        <v>558</v>
      </c>
      <c r="I539" s="24" t="s">
        <v>568</v>
      </c>
      <c r="J539" s="24" t="s">
        <v>569</v>
      </c>
      <c r="K539" s="24" t="s">
        <v>570</v>
      </c>
    </row>
    <row r="540" spans="1:11">
      <c r="A540" s="12">
        <v>2013</v>
      </c>
      <c r="B540" s="15" t="s">
        <v>21</v>
      </c>
      <c r="C540" s="15" t="s">
        <v>37</v>
      </c>
      <c r="D540" s="15" t="s">
        <v>38</v>
      </c>
      <c r="E540" s="19">
        <v>181244</v>
      </c>
      <c r="F540" s="19">
        <v>162632</v>
      </c>
      <c r="G540" s="20">
        <f t="shared" si="8"/>
        <v>0.47293791948260422</v>
      </c>
      <c r="H540" s="24" t="s">
        <v>558</v>
      </c>
      <c r="I540" s="24" t="s">
        <v>568</v>
      </c>
      <c r="J540" s="24" t="s">
        <v>569</v>
      </c>
      <c r="K540" s="24" t="s">
        <v>570</v>
      </c>
    </row>
    <row r="541" spans="1:11">
      <c r="A541" s="12">
        <v>2013</v>
      </c>
      <c r="B541" s="15" t="s">
        <v>21</v>
      </c>
      <c r="C541" s="15" t="s">
        <v>39</v>
      </c>
      <c r="D541" s="15" t="s">
        <v>40</v>
      </c>
      <c r="E541" s="19">
        <v>468741</v>
      </c>
      <c r="F541" s="19">
        <v>331577</v>
      </c>
      <c r="G541" s="20">
        <f t="shared" si="8"/>
        <v>0.41430656314115138</v>
      </c>
      <c r="H541" s="24" t="s">
        <v>558</v>
      </c>
      <c r="I541" s="24" t="s">
        <v>568</v>
      </c>
      <c r="J541" s="24" t="s">
        <v>569</v>
      </c>
      <c r="K541" s="24" t="s">
        <v>570</v>
      </c>
    </row>
    <row r="542" spans="1:11">
      <c r="A542" s="12">
        <v>2013</v>
      </c>
      <c r="B542" s="15" t="s">
        <v>21</v>
      </c>
      <c r="C542" s="15" t="s">
        <v>41</v>
      </c>
      <c r="D542" s="15" t="s">
        <v>42</v>
      </c>
      <c r="E542" s="19">
        <v>272141</v>
      </c>
      <c r="F542" s="19">
        <v>239465</v>
      </c>
      <c r="G542" s="20">
        <f t="shared" si="8"/>
        <v>0.46806526897651707</v>
      </c>
      <c r="H542" s="24" t="s">
        <v>558</v>
      </c>
      <c r="I542" s="24" t="s">
        <v>568</v>
      </c>
      <c r="J542" s="24" t="s">
        <v>569</v>
      </c>
      <c r="K542" s="24" t="s">
        <v>570</v>
      </c>
    </row>
    <row r="543" spans="1:11">
      <c r="A543" s="12">
        <v>2013</v>
      </c>
      <c r="B543" s="15" t="s">
        <v>21</v>
      </c>
      <c r="C543" s="15" t="s">
        <v>43</v>
      </c>
      <c r="D543" s="15" t="s">
        <v>44</v>
      </c>
      <c r="E543" s="19">
        <v>276781</v>
      </c>
      <c r="F543" s="19">
        <v>220444</v>
      </c>
      <c r="G543" s="20">
        <f t="shared" si="8"/>
        <v>0.4433485846447785</v>
      </c>
      <c r="H543" s="24" t="s">
        <v>558</v>
      </c>
      <c r="I543" s="24" t="s">
        <v>568</v>
      </c>
      <c r="J543" s="24" t="s">
        <v>569</v>
      </c>
      <c r="K543" s="24" t="s">
        <v>570</v>
      </c>
    </row>
    <row r="544" spans="1:11">
      <c r="A544" s="12">
        <v>2013</v>
      </c>
      <c r="B544" s="15" t="s">
        <v>21</v>
      </c>
      <c r="C544" s="15" t="s">
        <v>45</v>
      </c>
      <c r="D544" s="15" t="s">
        <v>46</v>
      </c>
      <c r="E544" s="19">
        <v>297986</v>
      </c>
      <c r="F544" s="19">
        <v>287203</v>
      </c>
      <c r="G544" s="20">
        <f t="shared" si="8"/>
        <v>0.49078673727633293</v>
      </c>
      <c r="H544" s="24" t="s">
        <v>558</v>
      </c>
      <c r="I544" s="24" t="s">
        <v>568</v>
      </c>
      <c r="J544" s="24" t="s">
        <v>569</v>
      </c>
      <c r="K544" s="24" t="s">
        <v>570</v>
      </c>
    </row>
    <row r="545" spans="1:11">
      <c r="A545" s="12">
        <v>2013</v>
      </c>
      <c r="B545" s="15" t="s">
        <v>21</v>
      </c>
      <c r="C545" s="15" t="s">
        <v>47</v>
      </c>
      <c r="D545" s="15" t="s">
        <v>48</v>
      </c>
      <c r="E545" s="19">
        <v>286169</v>
      </c>
      <c r="F545" s="19">
        <v>264784</v>
      </c>
      <c r="G545" s="20">
        <f t="shared" si="8"/>
        <v>0.48059271843514784</v>
      </c>
      <c r="H545" s="24" t="s">
        <v>558</v>
      </c>
      <c r="I545" s="24" t="s">
        <v>568</v>
      </c>
      <c r="J545" s="24" t="s">
        <v>569</v>
      </c>
      <c r="K545" s="24" t="s">
        <v>570</v>
      </c>
    </row>
    <row r="546" spans="1:11">
      <c r="A546" s="12">
        <v>2013</v>
      </c>
      <c r="B546" s="15" t="s">
        <v>21</v>
      </c>
      <c r="C546" s="15" t="s">
        <v>49</v>
      </c>
      <c r="D546" s="15" t="s">
        <v>50</v>
      </c>
      <c r="E546" s="19">
        <v>223736</v>
      </c>
      <c r="F546" s="19">
        <v>222703</v>
      </c>
      <c r="G546" s="20">
        <f t="shared" si="8"/>
        <v>0.49884306702595427</v>
      </c>
      <c r="H546" s="24" t="s">
        <v>558</v>
      </c>
      <c r="I546" s="24" t="s">
        <v>568</v>
      </c>
      <c r="J546" s="24" t="s">
        <v>569</v>
      </c>
      <c r="K546" s="24" t="s">
        <v>570</v>
      </c>
    </row>
    <row r="547" spans="1:11">
      <c r="A547" s="12">
        <v>2013</v>
      </c>
      <c r="B547" s="15" t="s">
        <v>21</v>
      </c>
      <c r="C547" s="15" t="s">
        <v>51</v>
      </c>
      <c r="D547" s="15" t="s">
        <v>52</v>
      </c>
      <c r="E547" s="19">
        <v>319013</v>
      </c>
      <c r="F547" s="19">
        <v>322323</v>
      </c>
      <c r="G547" s="20">
        <f t="shared" si="8"/>
        <v>0.50258055060062123</v>
      </c>
      <c r="H547" s="24" t="s">
        <v>558</v>
      </c>
      <c r="I547" s="24" t="s">
        <v>568</v>
      </c>
      <c r="J547" s="24" t="s">
        <v>569</v>
      </c>
      <c r="K547" s="24" t="s">
        <v>570</v>
      </c>
    </row>
    <row r="548" spans="1:11">
      <c r="A548" s="12">
        <v>2013</v>
      </c>
      <c r="B548" s="15" t="s">
        <v>21</v>
      </c>
      <c r="C548" s="15" t="s">
        <v>53</v>
      </c>
      <c r="D548" s="15" t="s">
        <v>54</v>
      </c>
      <c r="E548" s="19">
        <v>215610</v>
      </c>
      <c r="F548" s="19">
        <v>207485</v>
      </c>
      <c r="G548" s="20">
        <f t="shared" si="8"/>
        <v>0.49039813753412353</v>
      </c>
      <c r="H548" s="24" t="s">
        <v>558</v>
      </c>
      <c r="I548" s="24" t="s">
        <v>568</v>
      </c>
      <c r="J548" s="24" t="s">
        <v>569</v>
      </c>
      <c r="K548" s="24" t="s">
        <v>570</v>
      </c>
    </row>
    <row r="549" spans="1:11">
      <c r="A549" s="12">
        <v>2013</v>
      </c>
      <c r="B549" s="15" t="s">
        <v>21</v>
      </c>
      <c r="C549" s="15" t="s">
        <v>55</v>
      </c>
      <c r="D549" s="15" t="s">
        <v>56</v>
      </c>
      <c r="E549" s="19">
        <v>354330</v>
      </c>
      <c r="F549" s="19">
        <v>323026</v>
      </c>
      <c r="G549" s="20">
        <f t="shared" si="8"/>
        <v>0.47689250556575863</v>
      </c>
      <c r="H549" s="24" t="s">
        <v>558</v>
      </c>
      <c r="I549" s="24" t="s">
        <v>568</v>
      </c>
      <c r="J549" s="24" t="s">
        <v>569</v>
      </c>
      <c r="K549" s="24" t="s">
        <v>570</v>
      </c>
    </row>
    <row r="550" spans="1:11">
      <c r="A550" s="12">
        <v>2013</v>
      </c>
      <c r="B550" s="15" t="s">
        <v>21</v>
      </c>
      <c r="C550" s="15" t="s">
        <v>57</v>
      </c>
      <c r="D550" s="15" t="s">
        <v>58</v>
      </c>
      <c r="E550" s="19">
        <v>524411</v>
      </c>
      <c r="F550" s="19">
        <v>408807</v>
      </c>
      <c r="G550" s="20">
        <f t="shared" si="8"/>
        <v>0.43806163190165642</v>
      </c>
      <c r="H550" s="24" t="s">
        <v>558</v>
      </c>
      <c r="I550" s="24" t="s">
        <v>568</v>
      </c>
      <c r="J550" s="24" t="s">
        <v>569</v>
      </c>
      <c r="K550" s="24" t="s">
        <v>570</v>
      </c>
    </row>
    <row r="551" spans="1:11">
      <c r="A551" s="12">
        <v>2013</v>
      </c>
      <c r="B551" s="15" t="s">
        <v>21</v>
      </c>
      <c r="C551" s="15" t="s">
        <v>59</v>
      </c>
      <c r="D551" s="15" t="s">
        <v>60</v>
      </c>
      <c r="E551" s="19">
        <v>376327</v>
      </c>
      <c r="F551" s="19">
        <v>326407</v>
      </c>
      <c r="G551" s="20">
        <f t="shared" si="8"/>
        <v>0.46448158193569689</v>
      </c>
      <c r="H551" s="24" t="s">
        <v>558</v>
      </c>
      <c r="I551" s="24" t="s">
        <v>568</v>
      </c>
      <c r="J551" s="24" t="s">
        <v>569</v>
      </c>
      <c r="K551" s="24" t="s">
        <v>570</v>
      </c>
    </row>
    <row r="552" spans="1:11">
      <c r="A552" s="12">
        <v>2013</v>
      </c>
      <c r="B552" s="15" t="s">
        <v>21</v>
      </c>
      <c r="C552" s="15" t="s">
        <v>61</v>
      </c>
      <c r="D552" s="15" t="s">
        <v>62</v>
      </c>
      <c r="E552" s="19">
        <v>301649</v>
      </c>
      <c r="F552" s="19">
        <v>257481</v>
      </c>
      <c r="G552" s="20">
        <f t="shared" si="8"/>
        <v>0.46050292418578864</v>
      </c>
      <c r="H552" s="24" t="s">
        <v>558</v>
      </c>
      <c r="I552" s="24" t="s">
        <v>568</v>
      </c>
      <c r="J552" s="24" t="s">
        <v>569</v>
      </c>
      <c r="K552" s="24" t="s">
        <v>570</v>
      </c>
    </row>
    <row r="553" spans="1:11">
      <c r="A553" s="12">
        <v>2013</v>
      </c>
      <c r="B553" s="15" t="s">
        <v>21</v>
      </c>
      <c r="C553" s="15" t="s">
        <v>63</v>
      </c>
      <c r="D553" s="15" t="s">
        <v>64</v>
      </c>
      <c r="E553" s="19">
        <v>157384</v>
      </c>
      <c r="F553" s="19">
        <v>175720</v>
      </c>
      <c r="G553" s="20">
        <f t="shared" si="8"/>
        <v>0.52752293577981646</v>
      </c>
      <c r="H553" s="24" t="s">
        <v>558</v>
      </c>
      <c r="I553" s="24" t="s">
        <v>568</v>
      </c>
      <c r="J553" s="24" t="s">
        <v>569</v>
      </c>
      <c r="K553" s="24" t="s">
        <v>570</v>
      </c>
    </row>
    <row r="554" spans="1:11">
      <c r="A554" s="12">
        <v>2013</v>
      </c>
      <c r="B554" s="15" t="s">
        <v>21</v>
      </c>
      <c r="C554" s="15" t="s">
        <v>65</v>
      </c>
      <c r="D554" s="15" t="s">
        <v>66</v>
      </c>
      <c r="E554" s="19">
        <v>391082</v>
      </c>
      <c r="F554" s="19">
        <v>307370</v>
      </c>
      <c r="G554" s="20">
        <f t="shared" si="8"/>
        <v>0.44007319042682963</v>
      </c>
      <c r="H554" s="24" t="s">
        <v>558</v>
      </c>
      <c r="I554" s="24" t="s">
        <v>568</v>
      </c>
      <c r="J554" s="24" t="s">
        <v>569</v>
      </c>
      <c r="K554" s="24" t="s">
        <v>570</v>
      </c>
    </row>
    <row r="555" spans="1:11">
      <c r="A555" s="12">
        <v>2013</v>
      </c>
      <c r="B555" s="15" t="s">
        <v>21</v>
      </c>
      <c r="C555" s="15" t="s">
        <v>67</v>
      </c>
      <c r="D555" s="15" t="s">
        <v>68</v>
      </c>
      <c r="E555" s="19">
        <v>113660</v>
      </c>
      <c r="F555" s="19">
        <v>116349</v>
      </c>
      <c r="G555" s="20">
        <f t="shared" si="8"/>
        <v>0.50584542343995231</v>
      </c>
      <c r="H555" s="24" t="s">
        <v>558</v>
      </c>
      <c r="I555" s="24" t="s">
        <v>568</v>
      </c>
      <c r="J555" s="24" t="s">
        <v>569</v>
      </c>
      <c r="K555" s="24" t="s">
        <v>570</v>
      </c>
    </row>
    <row r="556" spans="1:11">
      <c r="A556" s="12">
        <v>2013</v>
      </c>
      <c r="B556" s="15" t="s">
        <v>21</v>
      </c>
      <c r="C556" s="15" t="s">
        <v>69</v>
      </c>
      <c r="D556" s="15" t="s">
        <v>70</v>
      </c>
      <c r="E556" s="19">
        <v>96587</v>
      </c>
      <c r="F556" s="19">
        <v>92646</v>
      </c>
      <c r="G556" s="20">
        <f t="shared" si="8"/>
        <v>0.489586911373809</v>
      </c>
      <c r="H556" s="24" t="s">
        <v>558</v>
      </c>
      <c r="I556" s="24" t="s">
        <v>568</v>
      </c>
      <c r="J556" s="24" t="s">
        <v>569</v>
      </c>
      <c r="K556" s="24" t="s">
        <v>570</v>
      </c>
    </row>
    <row r="557" spans="1:11">
      <c r="A557" s="12">
        <v>2013</v>
      </c>
      <c r="B557" s="15" t="s">
        <v>21</v>
      </c>
      <c r="C557" s="15" t="s">
        <v>71</v>
      </c>
      <c r="D557" s="15" t="s">
        <v>72</v>
      </c>
      <c r="E557" s="19">
        <v>318297</v>
      </c>
      <c r="F557" s="19">
        <v>261867</v>
      </c>
      <c r="G557" s="20">
        <f t="shared" si="8"/>
        <v>0.45136719961941796</v>
      </c>
      <c r="H557" s="24" t="s">
        <v>558</v>
      </c>
      <c r="I557" s="24" t="s">
        <v>568</v>
      </c>
      <c r="J557" s="24" t="s">
        <v>569</v>
      </c>
      <c r="K557" s="24" t="s">
        <v>570</v>
      </c>
    </row>
    <row r="558" spans="1:11">
      <c r="A558" s="12">
        <v>2013</v>
      </c>
      <c r="B558" s="15" t="s">
        <v>73</v>
      </c>
      <c r="C558" s="15" t="s">
        <v>22</v>
      </c>
      <c r="D558" s="15" t="s">
        <v>73</v>
      </c>
      <c r="E558" s="19">
        <v>3162650</v>
      </c>
      <c r="F558" s="19">
        <v>641567</v>
      </c>
      <c r="G558" s="20">
        <f t="shared" si="8"/>
        <v>0.16864626807566446</v>
      </c>
      <c r="H558" s="24" t="s">
        <v>548</v>
      </c>
      <c r="I558" s="24" t="s">
        <v>571</v>
      </c>
      <c r="J558" s="24" t="s">
        <v>572</v>
      </c>
      <c r="K558" s="24" t="s">
        <v>570</v>
      </c>
    </row>
    <row r="559" spans="1:11">
      <c r="A559" s="12">
        <v>2013</v>
      </c>
      <c r="B559" s="15" t="s">
        <v>73</v>
      </c>
      <c r="C559" s="15" t="s">
        <v>29</v>
      </c>
      <c r="D559" s="15" t="s">
        <v>74</v>
      </c>
      <c r="E559" s="19">
        <v>36609</v>
      </c>
      <c r="F559" s="19">
        <v>62950</v>
      </c>
      <c r="G559" s="20">
        <f t="shared" si="8"/>
        <v>0.63228839180787277</v>
      </c>
      <c r="H559" s="24" t="s">
        <v>548</v>
      </c>
      <c r="I559" s="24" t="s">
        <v>571</v>
      </c>
      <c r="J559" s="24" t="s">
        <v>572</v>
      </c>
      <c r="K559" s="24" t="s">
        <v>570</v>
      </c>
    </row>
    <row r="560" spans="1:11">
      <c r="A560" s="12">
        <v>2013</v>
      </c>
      <c r="B560" s="15" t="s">
        <v>73</v>
      </c>
      <c r="C560" s="15" t="s">
        <v>75</v>
      </c>
      <c r="D560" s="15" t="s">
        <v>76</v>
      </c>
      <c r="E560" s="19">
        <v>198331</v>
      </c>
      <c r="F560" s="19">
        <v>165744</v>
      </c>
      <c r="G560" s="20">
        <f t="shared" si="8"/>
        <v>0.45524685847696217</v>
      </c>
      <c r="H560" s="24" t="s">
        <v>548</v>
      </c>
      <c r="I560" s="24" t="s">
        <v>571</v>
      </c>
      <c r="J560" s="24" t="s">
        <v>572</v>
      </c>
      <c r="K560" s="24" t="s">
        <v>570</v>
      </c>
    </row>
    <row r="561" spans="1:11">
      <c r="A561" s="12">
        <v>2013</v>
      </c>
      <c r="B561" s="15" t="s">
        <v>73</v>
      </c>
      <c r="C561" s="15" t="s">
        <v>77</v>
      </c>
      <c r="D561" s="15" t="s">
        <v>78</v>
      </c>
      <c r="E561" s="19">
        <v>99365</v>
      </c>
      <c r="F561" s="19">
        <v>91178</v>
      </c>
      <c r="G561" s="20">
        <f t="shared" si="8"/>
        <v>0.47851666028140627</v>
      </c>
      <c r="H561" s="24" t="s">
        <v>548</v>
      </c>
      <c r="I561" s="24" t="s">
        <v>571</v>
      </c>
      <c r="J561" s="24" t="s">
        <v>572</v>
      </c>
      <c r="K561" s="24" t="s">
        <v>570</v>
      </c>
    </row>
    <row r="562" spans="1:11">
      <c r="A562" s="12">
        <v>2013</v>
      </c>
      <c r="B562" s="15" t="s">
        <v>73</v>
      </c>
      <c r="C562" s="15" t="s">
        <v>79</v>
      </c>
      <c r="D562" s="15" t="s">
        <v>80</v>
      </c>
      <c r="E562" s="19">
        <v>223294</v>
      </c>
      <c r="F562" s="19">
        <v>199961</v>
      </c>
      <c r="G562" s="20">
        <f t="shared" si="8"/>
        <v>0.472436238201557</v>
      </c>
      <c r="H562" s="24" t="s">
        <v>548</v>
      </c>
      <c r="I562" s="24" t="s">
        <v>571</v>
      </c>
      <c r="J562" s="24" t="s">
        <v>572</v>
      </c>
      <c r="K562" s="24" t="s">
        <v>570</v>
      </c>
    </row>
    <row r="563" spans="1:11">
      <c r="A563" s="12">
        <v>2013</v>
      </c>
      <c r="B563" s="15" t="s">
        <v>73</v>
      </c>
      <c r="C563" s="15" t="s">
        <v>81</v>
      </c>
      <c r="D563" s="15" t="s">
        <v>82</v>
      </c>
      <c r="E563" s="19">
        <v>71817</v>
      </c>
      <c r="F563" s="19">
        <v>67442</v>
      </c>
      <c r="G563" s="20">
        <f t="shared" si="8"/>
        <v>0.48429185905399291</v>
      </c>
      <c r="H563" s="24" t="s">
        <v>548</v>
      </c>
      <c r="I563" s="24" t="s">
        <v>571</v>
      </c>
      <c r="J563" s="24" t="s">
        <v>572</v>
      </c>
      <c r="K563" s="24" t="s">
        <v>570</v>
      </c>
    </row>
    <row r="564" spans="1:11">
      <c r="A564" s="12">
        <v>2013</v>
      </c>
      <c r="B564" s="15" t="s">
        <v>73</v>
      </c>
      <c r="C564" s="15" t="s">
        <v>83</v>
      </c>
      <c r="D564" s="15" t="s">
        <v>84</v>
      </c>
      <c r="E564" s="19">
        <v>213084</v>
      </c>
      <c r="F564" s="19">
        <v>189038</v>
      </c>
      <c r="G564" s="20">
        <f t="shared" si="8"/>
        <v>0.47010111359239237</v>
      </c>
      <c r="H564" s="24" t="s">
        <v>548</v>
      </c>
      <c r="I564" s="24" t="s">
        <v>571</v>
      </c>
      <c r="J564" s="24" t="s">
        <v>572</v>
      </c>
      <c r="K564" s="24" t="s">
        <v>570</v>
      </c>
    </row>
    <row r="565" spans="1:11">
      <c r="A565" s="12">
        <v>2013</v>
      </c>
      <c r="B565" s="15" t="s">
        <v>73</v>
      </c>
      <c r="C565" s="15" t="s">
        <v>85</v>
      </c>
      <c r="D565" s="15" t="s">
        <v>86</v>
      </c>
      <c r="E565" s="19">
        <v>310864</v>
      </c>
      <c r="F565" s="19">
        <v>241934</v>
      </c>
      <c r="G565" s="20">
        <f t="shared" si="8"/>
        <v>0.43765353709673332</v>
      </c>
      <c r="H565" s="24" t="s">
        <v>548</v>
      </c>
      <c r="I565" s="24" t="s">
        <v>571</v>
      </c>
      <c r="J565" s="24" t="s">
        <v>572</v>
      </c>
      <c r="K565" s="24" t="s">
        <v>570</v>
      </c>
    </row>
    <row r="566" spans="1:11">
      <c r="A566" s="12">
        <v>2013</v>
      </c>
      <c r="B566" s="15" t="s">
        <v>73</v>
      </c>
      <c r="C566" s="15" t="s">
        <v>87</v>
      </c>
      <c r="D566" s="15" t="s">
        <v>88</v>
      </c>
      <c r="E566" s="19">
        <v>256079</v>
      </c>
      <c r="F566" s="19">
        <v>175904</v>
      </c>
      <c r="G566" s="20">
        <f t="shared" si="8"/>
        <v>0.40720120930684772</v>
      </c>
      <c r="H566" s="24" t="s">
        <v>548</v>
      </c>
      <c r="I566" s="24" t="s">
        <v>571</v>
      </c>
      <c r="J566" s="24" t="s">
        <v>572</v>
      </c>
      <c r="K566" s="24" t="s">
        <v>570</v>
      </c>
    </row>
    <row r="567" spans="1:11">
      <c r="A567" s="12">
        <v>2013</v>
      </c>
      <c r="B567" s="15" t="s">
        <v>73</v>
      </c>
      <c r="C567" s="15" t="s">
        <v>89</v>
      </c>
      <c r="D567" s="15" t="s">
        <v>90</v>
      </c>
      <c r="E567" s="19">
        <v>189201</v>
      </c>
      <c r="F567" s="19">
        <v>171987</v>
      </c>
      <c r="G567" s="20">
        <f t="shared" si="8"/>
        <v>0.4761703046612844</v>
      </c>
      <c r="H567" s="24" t="s">
        <v>548</v>
      </c>
      <c r="I567" s="24" t="s">
        <v>571</v>
      </c>
      <c r="J567" s="24" t="s">
        <v>572</v>
      </c>
      <c r="K567" s="24" t="s">
        <v>570</v>
      </c>
    </row>
    <row r="568" spans="1:11">
      <c r="A568" s="12">
        <v>2013</v>
      </c>
      <c r="B568" s="15" t="s">
        <v>73</v>
      </c>
      <c r="C568" s="15" t="s">
        <v>91</v>
      </c>
      <c r="D568" s="15" t="s">
        <v>92</v>
      </c>
      <c r="E568" s="19">
        <v>289138</v>
      </c>
      <c r="F568" s="19">
        <v>202491</v>
      </c>
      <c r="G568" s="20">
        <f t="shared" si="8"/>
        <v>0.41187765571192914</v>
      </c>
      <c r="H568" s="24" t="s">
        <v>548</v>
      </c>
      <c r="I568" s="24" t="s">
        <v>571</v>
      </c>
      <c r="J568" s="24" t="s">
        <v>572</v>
      </c>
      <c r="K568" s="24" t="s">
        <v>570</v>
      </c>
    </row>
    <row r="569" spans="1:11">
      <c r="A569" s="12">
        <v>2013</v>
      </c>
      <c r="B569" s="15" t="s">
        <v>73</v>
      </c>
      <c r="C569" s="15" t="s">
        <v>93</v>
      </c>
      <c r="D569" s="15" t="s">
        <v>94</v>
      </c>
      <c r="E569" s="19">
        <v>87832</v>
      </c>
      <c r="F569" s="19">
        <v>85428</v>
      </c>
      <c r="G569" s="20">
        <f t="shared" si="8"/>
        <v>0.49306244949786449</v>
      </c>
      <c r="H569" s="24" t="s">
        <v>548</v>
      </c>
      <c r="I569" s="24" t="s">
        <v>571</v>
      </c>
      <c r="J569" s="24" t="s">
        <v>572</v>
      </c>
      <c r="K569" s="24" t="s">
        <v>570</v>
      </c>
    </row>
    <row r="570" spans="1:11">
      <c r="A570" s="12">
        <v>2013</v>
      </c>
      <c r="B570" s="15" t="s">
        <v>73</v>
      </c>
      <c r="C570" s="15" t="s">
        <v>95</v>
      </c>
      <c r="D570" s="15" t="s">
        <v>96</v>
      </c>
      <c r="E570" s="19">
        <v>130699</v>
      </c>
      <c r="F570" s="19">
        <v>125367</v>
      </c>
      <c r="G570" s="20">
        <f t="shared" si="8"/>
        <v>0.48958862168347222</v>
      </c>
      <c r="H570" s="24" t="s">
        <v>548</v>
      </c>
      <c r="I570" s="24" t="s">
        <v>571</v>
      </c>
      <c r="J570" s="24" t="s">
        <v>572</v>
      </c>
      <c r="K570" s="24" t="s">
        <v>570</v>
      </c>
    </row>
    <row r="571" spans="1:11">
      <c r="A571" s="12">
        <v>2013</v>
      </c>
      <c r="B571" s="15" t="s">
        <v>73</v>
      </c>
      <c r="C571" s="15" t="s">
        <v>97</v>
      </c>
      <c r="D571" s="15" t="s">
        <v>98</v>
      </c>
      <c r="E571" s="19">
        <v>155020</v>
      </c>
      <c r="F571" s="19">
        <v>154988</v>
      </c>
      <c r="G571" s="20">
        <f t="shared" si="8"/>
        <v>0.49994838842868572</v>
      </c>
      <c r="H571" s="24" t="s">
        <v>548</v>
      </c>
      <c r="I571" s="24" t="s">
        <v>571</v>
      </c>
      <c r="J571" s="24" t="s">
        <v>572</v>
      </c>
      <c r="K571" s="24" t="s">
        <v>570</v>
      </c>
    </row>
    <row r="572" spans="1:11">
      <c r="A572" s="12">
        <v>2013</v>
      </c>
      <c r="B572" s="15" t="s">
        <v>73</v>
      </c>
      <c r="C572" s="15" t="s">
        <v>99</v>
      </c>
      <c r="D572" s="15" t="s">
        <v>100</v>
      </c>
      <c r="E572" s="19">
        <v>109484</v>
      </c>
      <c r="F572" s="19">
        <v>84338</v>
      </c>
      <c r="G572" s="20">
        <f t="shared" si="8"/>
        <v>0.43513120285622892</v>
      </c>
      <c r="H572" s="24" t="s">
        <v>548</v>
      </c>
      <c r="I572" s="24" t="s">
        <v>571</v>
      </c>
      <c r="J572" s="24" t="s">
        <v>572</v>
      </c>
      <c r="K572" s="24" t="s">
        <v>570</v>
      </c>
    </row>
    <row r="573" spans="1:11">
      <c r="A573" s="12">
        <v>2013</v>
      </c>
      <c r="B573" s="15" t="s">
        <v>73</v>
      </c>
      <c r="C573" s="15" t="s">
        <v>69</v>
      </c>
      <c r="D573" s="15" t="s">
        <v>101</v>
      </c>
      <c r="E573" s="19">
        <v>33818</v>
      </c>
      <c r="F573" s="19">
        <v>33567</v>
      </c>
      <c r="G573" s="20">
        <f t="shared" si="8"/>
        <v>0.49813756770794687</v>
      </c>
      <c r="H573" s="24" t="s">
        <v>548</v>
      </c>
      <c r="I573" s="24" t="s">
        <v>571</v>
      </c>
      <c r="J573" s="24" t="s">
        <v>572</v>
      </c>
      <c r="K573" s="24" t="s">
        <v>570</v>
      </c>
    </row>
    <row r="574" spans="1:11">
      <c r="A574" s="12">
        <v>2013</v>
      </c>
      <c r="B574" s="15" t="s">
        <v>73</v>
      </c>
      <c r="C574" s="15" t="s">
        <v>102</v>
      </c>
      <c r="D574" s="15" t="s">
        <v>103</v>
      </c>
      <c r="E574" s="19">
        <v>341614</v>
      </c>
      <c r="F574" s="19">
        <v>266058</v>
      </c>
      <c r="G574" s="20">
        <f t="shared" si="8"/>
        <v>0.43783159335957555</v>
      </c>
      <c r="H574" s="24" t="s">
        <v>548</v>
      </c>
      <c r="I574" s="24" t="s">
        <v>571</v>
      </c>
      <c r="J574" s="24" t="s">
        <v>572</v>
      </c>
      <c r="K574" s="24" t="s">
        <v>570</v>
      </c>
    </row>
    <row r="575" spans="1:11">
      <c r="A575" s="12">
        <v>2013</v>
      </c>
      <c r="B575" s="15" t="s">
        <v>104</v>
      </c>
      <c r="C575" s="15" t="s">
        <v>22</v>
      </c>
      <c r="D575" s="15" t="s">
        <v>104</v>
      </c>
      <c r="E575" s="19">
        <v>2262890</v>
      </c>
      <c r="F575" s="19">
        <v>439491</v>
      </c>
      <c r="G575" s="20">
        <f t="shared" si="8"/>
        <v>0.16263102797125942</v>
      </c>
      <c r="H575" s="24" t="s">
        <v>548</v>
      </c>
      <c r="I575" s="24" t="s">
        <v>571</v>
      </c>
      <c r="J575" s="24" t="s">
        <v>572</v>
      </c>
      <c r="K575" s="24" t="s">
        <v>570</v>
      </c>
    </row>
    <row r="576" spans="1:11">
      <c r="A576" s="12">
        <v>2013</v>
      </c>
      <c r="B576" s="15" t="s">
        <v>104</v>
      </c>
      <c r="C576" s="15" t="s">
        <v>79</v>
      </c>
      <c r="D576" s="15" t="s">
        <v>107</v>
      </c>
      <c r="E576" s="19">
        <v>118907</v>
      </c>
      <c r="F576" s="19">
        <v>124807</v>
      </c>
      <c r="G576" s="20">
        <f t="shared" si="8"/>
        <v>0.51210435182221781</v>
      </c>
      <c r="H576" s="24" t="s">
        <v>548</v>
      </c>
      <c r="I576" s="24" t="s">
        <v>571</v>
      </c>
      <c r="J576" s="24" t="s">
        <v>572</v>
      </c>
      <c r="K576" s="24" t="s">
        <v>570</v>
      </c>
    </row>
    <row r="577" spans="1:11">
      <c r="A577" s="12">
        <v>2013</v>
      </c>
      <c r="B577" s="15" t="s">
        <v>104</v>
      </c>
      <c r="C577" s="15" t="s">
        <v>108</v>
      </c>
      <c r="D577" s="15" t="s">
        <v>109</v>
      </c>
      <c r="E577" s="19">
        <v>512605</v>
      </c>
      <c r="F577" s="19">
        <v>371380</v>
      </c>
      <c r="G577" s="20">
        <f t="shared" si="8"/>
        <v>0.42012025090923488</v>
      </c>
      <c r="H577" s="24" t="s">
        <v>548</v>
      </c>
      <c r="I577" s="24" t="s">
        <v>571</v>
      </c>
      <c r="J577" s="24" t="s">
        <v>572</v>
      </c>
      <c r="K577" s="24" t="s">
        <v>570</v>
      </c>
    </row>
    <row r="578" spans="1:11">
      <c r="A578" s="12">
        <v>2013</v>
      </c>
      <c r="B578" s="15" t="s">
        <v>104</v>
      </c>
      <c r="C578" s="15" t="s">
        <v>110</v>
      </c>
      <c r="D578" s="15" t="s">
        <v>111</v>
      </c>
      <c r="E578" s="19">
        <v>142360</v>
      </c>
      <c r="F578" s="19">
        <v>133876</v>
      </c>
      <c r="G578" s="20">
        <f t="shared" si="8"/>
        <v>0.48464356564676581</v>
      </c>
      <c r="H578" s="24" t="s">
        <v>548</v>
      </c>
      <c r="I578" s="24" t="s">
        <v>571</v>
      </c>
      <c r="J578" s="24" t="s">
        <v>572</v>
      </c>
      <c r="K578" s="24" t="s">
        <v>570</v>
      </c>
    </row>
    <row r="579" spans="1:11">
      <c r="A579" s="12">
        <v>2013</v>
      </c>
      <c r="B579" s="15" t="s">
        <v>104</v>
      </c>
      <c r="C579" s="15" t="s">
        <v>81</v>
      </c>
      <c r="D579" s="15" t="s">
        <v>112</v>
      </c>
      <c r="E579" s="19">
        <v>270977</v>
      </c>
      <c r="F579" s="19">
        <v>227749</v>
      </c>
      <c r="G579" s="20">
        <f t="shared" si="8"/>
        <v>0.45666157368976151</v>
      </c>
      <c r="H579" s="24" t="s">
        <v>548</v>
      </c>
      <c r="I579" s="24" t="s">
        <v>571</v>
      </c>
      <c r="J579" s="24" t="s">
        <v>572</v>
      </c>
      <c r="K579" s="24" t="s">
        <v>570</v>
      </c>
    </row>
    <row r="580" spans="1:11">
      <c r="A580" s="12">
        <v>2013</v>
      </c>
      <c r="B580" s="15" t="s">
        <v>104</v>
      </c>
      <c r="C580" s="15" t="s">
        <v>87</v>
      </c>
      <c r="D580" s="15" t="s">
        <v>113</v>
      </c>
      <c r="E580" s="19">
        <v>371151</v>
      </c>
      <c r="F580" s="19">
        <v>257482</v>
      </c>
      <c r="G580" s="20">
        <f t="shared" si="8"/>
        <v>0.40959033331053252</v>
      </c>
      <c r="H580" s="24" t="s">
        <v>548</v>
      </c>
      <c r="I580" s="24" t="s">
        <v>571</v>
      </c>
      <c r="J580" s="24" t="s">
        <v>572</v>
      </c>
      <c r="K580" s="24" t="s">
        <v>570</v>
      </c>
    </row>
    <row r="581" spans="1:11">
      <c r="A581" s="12">
        <v>2013</v>
      </c>
      <c r="B581" s="15" t="s">
        <v>104</v>
      </c>
      <c r="C581" s="15" t="s">
        <v>93</v>
      </c>
      <c r="D581" s="15" t="s">
        <v>114</v>
      </c>
      <c r="E581" s="19">
        <v>160049</v>
      </c>
      <c r="F581" s="19">
        <v>157170</v>
      </c>
      <c r="G581" s="20">
        <f t="shared" si="8"/>
        <v>0.49546212553472524</v>
      </c>
      <c r="H581" s="24" t="s">
        <v>548</v>
      </c>
      <c r="I581" s="24" t="s">
        <v>571</v>
      </c>
      <c r="J581" s="24" t="s">
        <v>572</v>
      </c>
      <c r="K581" s="24" t="s">
        <v>570</v>
      </c>
    </row>
    <row r="582" spans="1:11">
      <c r="A582" s="12">
        <v>2013</v>
      </c>
      <c r="B582" s="15" t="s">
        <v>104</v>
      </c>
      <c r="C582" s="15" t="s">
        <v>115</v>
      </c>
      <c r="D582" s="15" t="s">
        <v>116</v>
      </c>
      <c r="E582" s="19">
        <v>375746</v>
      </c>
      <c r="F582" s="19">
        <v>297125</v>
      </c>
      <c r="G582" s="20">
        <f t="shared" ref="G582:G645" si="9">IFERROR(F582/(E582+F582),"")</f>
        <v>0.44157795476398892</v>
      </c>
      <c r="H582" s="24" t="s">
        <v>548</v>
      </c>
      <c r="I582" s="24" t="s">
        <v>571</v>
      </c>
      <c r="J582" s="24" t="s">
        <v>572</v>
      </c>
      <c r="K582" s="24" t="s">
        <v>570</v>
      </c>
    </row>
    <row r="583" spans="1:11">
      <c r="A583" s="12">
        <v>2013</v>
      </c>
      <c r="B583" s="15" t="s">
        <v>104</v>
      </c>
      <c r="C583" s="15" t="s">
        <v>69</v>
      </c>
      <c r="D583" s="15" t="s">
        <v>117</v>
      </c>
      <c r="E583" s="19">
        <v>55949</v>
      </c>
      <c r="F583" s="19">
        <v>56815</v>
      </c>
      <c r="G583" s="20">
        <f t="shared" si="9"/>
        <v>0.50383987797524032</v>
      </c>
      <c r="H583" s="24" t="s">
        <v>548</v>
      </c>
      <c r="I583" s="24" t="s">
        <v>571</v>
      </c>
      <c r="J583" s="24" t="s">
        <v>572</v>
      </c>
      <c r="K583" s="24" t="s">
        <v>570</v>
      </c>
    </row>
    <row r="584" spans="1:11">
      <c r="A584" s="12">
        <v>2013</v>
      </c>
      <c r="B584" s="15" t="s">
        <v>118</v>
      </c>
      <c r="C584" s="15" t="s">
        <v>22</v>
      </c>
      <c r="D584" s="15" t="s">
        <v>118</v>
      </c>
      <c r="E584" s="19">
        <v>2486934</v>
      </c>
      <c r="F584" s="19">
        <v>954037</v>
      </c>
      <c r="G584" s="20">
        <f t="shared" si="9"/>
        <v>0.27725807628137522</v>
      </c>
      <c r="H584" s="24" t="s">
        <v>558</v>
      </c>
      <c r="I584" s="24" t="s">
        <v>568</v>
      </c>
      <c r="J584" s="24" t="s">
        <v>569</v>
      </c>
      <c r="K584" s="24" t="s">
        <v>570</v>
      </c>
    </row>
    <row r="585" spans="1:11">
      <c r="A585" s="12">
        <v>2013</v>
      </c>
      <c r="B585" s="15" t="s">
        <v>118</v>
      </c>
      <c r="C585" s="15" t="s">
        <v>119</v>
      </c>
      <c r="D585" s="15" t="s">
        <v>120</v>
      </c>
      <c r="E585" s="19">
        <v>49907</v>
      </c>
      <c r="F585" s="19">
        <v>43725</v>
      </c>
      <c r="G585" s="20">
        <f t="shared" si="9"/>
        <v>0.46698778195488722</v>
      </c>
      <c r="H585" s="24" t="s">
        <v>558</v>
      </c>
      <c r="I585" s="24" t="s">
        <v>568</v>
      </c>
      <c r="J585" s="24" t="s">
        <v>569</v>
      </c>
      <c r="K585" s="24" t="s">
        <v>570</v>
      </c>
    </row>
    <row r="586" spans="1:11">
      <c r="A586" s="12">
        <v>2013</v>
      </c>
      <c r="B586" s="15" t="s">
        <v>118</v>
      </c>
      <c r="C586" s="15" t="s">
        <v>121</v>
      </c>
      <c r="D586" s="15" t="s">
        <v>122</v>
      </c>
      <c r="E586" s="19">
        <v>273479</v>
      </c>
      <c r="F586" s="19">
        <v>200666</v>
      </c>
      <c r="G586" s="20">
        <f t="shared" si="9"/>
        <v>0.42321652658996722</v>
      </c>
      <c r="H586" s="24" t="s">
        <v>558</v>
      </c>
      <c r="I586" s="24" t="s">
        <v>568</v>
      </c>
      <c r="J586" s="24" t="s">
        <v>569</v>
      </c>
      <c r="K586" s="24" t="s">
        <v>570</v>
      </c>
    </row>
    <row r="587" spans="1:11">
      <c r="A587" s="12">
        <v>2013</v>
      </c>
      <c r="B587" s="15" t="s">
        <v>118</v>
      </c>
      <c r="C587" s="15" t="s">
        <v>79</v>
      </c>
      <c r="D587" s="15" t="s">
        <v>123</v>
      </c>
      <c r="E587" s="19">
        <v>313379</v>
      </c>
      <c r="F587" s="19">
        <v>268462</v>
      </c>
      <c r="G587" s="20">
        <f t="shared" si="9"/>
        <v>0.46140096693082816</v>
      </c>
      <c r="H587" s="24" t="s">
        <v>558</v>
      </c>
      <c r="I587" s="24" t="s">
        <v>568</v>
      </c>
      <c r="J587" s="24" t="s">
        <v>569</v>
      </c>
      <c r="K587" s="24" t="s">
        <v>570</v>
      </c>
    </row>
    <row r="588" spans="1:11">
      <c r="A588" s="12">
        <v>2013</v>
      </c>
      <c r="B588" s="15" t="s">
        <v>118</v>
      </c>
      <c r="C588" s="15" t="s">
        <v>124</v>
      </c>
      <c r="D588" s="15" t="s">
        <v>125</v>
      </c>
      <c r="E588" s="19">
        <v>412053</v>
      </c>
      <c r="F588" s="19">
        <v>294275</v>
      </c>
      <c r="G588" s="20">
        <f t="shared" si="9"/>
        <v>0.41662655310280777</v>
      </c>
      <c r="H588" s="24" t="s">
        <v>558</v>
      </c>
      <c r="I588" s="24" t="s">
        <v>568</v>
      </c>
      <c r="J588" s="24" t="s">
        <v>569</v>
      </c>
      <c r="K588" s="24" t="s">
        <v>570</v>
      </c>
    </row>
    <row r="589" spans="1:11">
      <c r="A589" s="12">
        <v>2013</v>
      </c>
      <c r="B589" s="15" t="s">
        <v>118</v>
      </c>
      <c r="C589" s="15" t="s">
        <v>81</v>
      </c>
      <c r="D589" s="15" t="s">
        <v>126</v>
      </c>
      <c r="E589" s="19">
        <v>55663</v>
      </c>
      <c r="F589" s="19">
        <v>54662</v>
      </c>
      <c r="G589" s="20">
        <f t="shared" si="9"/>
        <v>0.49546340358033086</v>
      </c>
      <c r="H589" s="24" t="s">
        <v>558</v>
      </c>
      <c r="I589" s="24" t="s">
        <v>568</v>
      </c>
      <c r="J589" s="24" t="s">
        <v>569</v>
      </c>
      <c r="K589" s="24" t="s">
        <v>570</v>
      </c>
    </row>
    <row r="590" spans="1:11">
      <c r="A590" s="12">
        <v>2013</v>
      </c>
      <c r="B590" s="15" t="s">
        <v>118</v>
      </c>
      <c r="C590" s="15" t="s">
        <v>129</v>
      </c>
      <c r="D590" s="15" t="s">
        <v>130</v>
      </c>
      <c r="E590" s="19">
        <v>444583</v>
      </c>
      <c r="F590" s="19">
        <v>317997</v>
      </c>
      <c r="G590" s="20">
        <f t="shared" si="9"/>
        <v>0.41700149492512262</v>
      </c>
      <c r="H590" s="24" t="s">
        <v>558</v>
      </c>
      <c r="I590" s="24" t="s">
        <v>568</v>
      </c>
      <c r="J590" s="24" t="s">
        <v>569</v>
      </c>
      <c r="K590" s="24" t="s">
        <v>570</v>
      </c>
    </row>
    <row r="591" spans="1:11">
      <c r="A591" s="12">
        <v>2013</v>
      </c>
      <c r="B591" s="15" t="s">
        <v>118</v>
      </c>
      <c r="C591" s="15" t="s">
        <v>93</v>
      </c>
      <c r="D591" s="15" t="s">
        <v>131</v>
      </c>
      <c r="E591" s="19">
        <v>391658</v>
      </c>
      <c r="F591" s="19">
        <v>292929</v>
      </c>
      <c r="G591" s="20">
        <f t="shared" si="9"/>
        <v>0.42789156089730013</v>
      </c>
      <c r="H591" s="24" t="s">
        <v>558</v>
      </c>
      <c r="I591" s="24" t="s">
        <v>568</v>
      </c>
      <c r="J591" s="24" t="s">
        <v>569</v>
      </c>
      <c r="K591" s="24" t="s">
        <v>570</v>
      </c>
    </row>
    <row r="592" spans="1:11">
      <c r="A592" s="12">
        <v>2013</v>
      </c>
      <c r="B592" s="15" t="s">
        <v>118</v>
      </c>
      <c r="C592" s="15" t="s">
        <v>132</v>
      </c>
      <c r="D592" s="15" t="s">
        <v>133</v>
      </c>
      <c r="E592" s="19">
        <v>238060</v>
      </c>
      <c r="F592" s="19">
        <v>182219</v>
      </c>
      <c r="G592" s="20">
        <f t="shared" si="9"/>
        <v>0.43356674970674242</v>
      </c>
      <c r="H592" s="24" t="s">
        <v>558</v>
      </c>
      <c r="I592" s="24" t="s">
        <v>568</v>
      </c>
      <c r="J592" s="24" t="s">
        <v>569</v>
      </c>
      <c r="K592" s="24" t="s">
        <v>570</v>
      </c>
    </row>
    <row r="593" spans="1:11">
      <c r="A593" s="12">
        <v>2013</v>
      </c>
      <c r="B593" s="15" t="s">
        <v>118</v>
      </c>
      <c r="C593" s="15" t="s">
        <v>134</v>
      </c>
      <c r="D593" s="15" t="s">
        <v>135</v>
      </c>
      <c r="E593" s="19">
        <v>11964</v>
      </c>
      <c r="F593" s="19">
        <v>17648</v>
      </c>
      <c r="G593" s="20">
        <f t="shared" si="9"/>
        <v>0.5959746048899095</v>
      </c>
      <c r="H593" s="24" t="s">
        <v>558</v>
      </c>
      <c r="I593" s="24" t="s">
        <v>568</v>
      </c>
      <c r="J593" s="24" t="s">
        <v>569</v>
      </c>
      <c r="K593" s="24" t="s">
        <v>570</v>
      </c>
    </row>
    <row r="594" spans="1:11">
      <c r="A594" s="12">
        <v>2013</v>
      </c>
      <c r="B594" s="15" t="s">
        <v>118</v>
      </c>
      <c r="C594" s="15" t="s">
        <v>69</v>
      </c>
      <c r="D594" s="15" t="s">
        <v>136</v>
      </c>
      <c r="E594" s="19">
        <v>76154</v>
      </c>
      <c r="F594" s="19">
        <v>77221</v>
      </c>
      <c r="G594" s="20">
        <f t="shared" si="9"/>
        <v>0.50347840260798693</v>
      </c>
      <c r="H594" s="24" t="s">
        <v>558</v>
      </c>
      <c r="I594" s="24" t="s">
        <v>568</v>
      </c>
      <c r="J594" s="24" t="s">
        <v>569</v>
      </c>
      <c r="K594" s="24" t="s">
        <v>570</v>
      </c>
    </row>
    <row r="595" spans="1:11">
      <c r="A595" s="12">
        <v>2013</v>
      </c>
      <c r="B595" s="15" t="s">
        <v>137</v>
      </c>
      <c r="C595" s="15" t="s">
        <v>22</v>
      </c>
      <c r="D595" s="15" t="s">
        <v>137</v>
      </c>
      <c r="E595" s="19">
        <v>1336689</v>
      </c>
      <c r="F595" s="19">
        <v>315343</v>
      </c>
      <c r="G595" s="20">
        <f t="shared" si="9"/>
        <v>0.1908818957502034</v>
      </c>
      <c r="H595" s="24" t="s">
        <v>552</v>
      </c>
      <c r="I595" s="24" t="s">
        <v>573</v>
      </c>
      <c r="J595" s="24" t="s">
        <v>550</v>
      </c>
      <c r="K595" s="24" t="s">
        <v>570</v>
      </c>
    </row>
    <row r="596" spans="1:11">
      <c r="A596" s="12">
        <v>2013</v>
      </c>
      <c r="B596" s="15" t="s">
        <v>137</v>
      </c>
      <c r="C596" s="15" t="s">
        <v>138</v>
      </c>
      <c r="D596" s="15" t="s">
        <v>139</v>
      </c>
      <c r="E596" s="19">
        <v>336865</v>
      </c>
      <c r="F596" s="19">
        <v>215201</v>
      </c>
      <c r="G596" s="20">
        <f t="shared" si="9"/>
        <v>0.38981027630754295</v>
      </c>
      <c r="H596" s="24" t="s">
        <v>552</v>
      </c>
      <c r="I596" s="24" t="s">
        <v>573</v>
      </c>
      <c r="J596" s="24" t="s">
        <v>550</v>
      </c>
      <c r="K596" s="24" t="s">
        <v>570</v>
      </c>
    </row>
    <row r="597" spans="1:11">
      <c r="A597" s="12">
        <v>2013</v>
      </c>
      <c r="B597" s="15" t="s">
        <v>137</v>
      </c>
      <c r="C597" s="15" t="s">
        <v>79</v>
      </c>
      <c r="D597" s="15" t="s">
        <v>140</v>
      </c>
      <c r="E597" s="19">
        <v>168263</v>
      </c>
      <c r="F597" s="19">
        <v>152000</v>
      </c>
      <c r="G597" s="20">
        <f t="shared" si="9"/>
        <v>0.47460992996381102</v>
      </c>
      <c r="H597" s="24" t="s">
        <v>552</v>
      </c>
      <c r="I597" s="24" t="s">
        <v>573</v>
      </c>
      <c r="J597" s="24" t="s">
        <v>550</v>
      </c>
      <c r="K597" s="24" t="s">
        <v>570</v>
      </c>
    </row>
    <row r="598" spans="1:11">
      <c r="A598" s="12">
        <v>2013</v>
      </c>
      <c r="B598" s="15" t="s">
        <v>137</v>
      </c>
      <c r="C598" s="15" t="s">
        <v>81</v>
      </c>
      <c r="D598" s="15" t="s">
        <v>141</v>
      </c>
      <c r="E598" s="19">
        <v>77260</v>
      </c>
      <c r="F598" s="19">
        <v>75879</v>
      </c>
      <c r="G598" s="20">
        <f t="shared" si="9"/>
        <v>0.49549102449408705</v>
      </c>
      <c r="H598" s="24" t="s">
        <v>552</v>
      </c>
      <c r="I598" s="24" t="s">
        <v>573</v>
      </c>
      <c r="J598" s="24" t="s">
        <v>550</v>
      </c>
      <c r="K598" s="24" t="s">
        <v>570</v>
      </c>
    </row>
    <row r="599" spans="1:11">
      <c r="A599" s="12">
        <v>2013</v>
      </c>
      <c r="B599" s="15" t="s">
        <v>137</v>
      </c>
      <c r="C599" s="15" t="s">
        <v>87</v>
      </c>
      <c r="D599" s="15" t="s">
        <v>142</v>
      </c>
      <c r="E599" s="19">
        <v>362726</v>
      </c>
      <c r="F599" s="19">
        <v>286373</v>
      </c>
      <c r="G599" s="20">
        <f t="shared" si="9"/>
        <v>0.44118539698874903</v>
      </c>
      <c r="H599" s="24" t="s">
        <v>552</v>
      </c>
      <c r="I599" s="24" t="s">
        <v>573</v>
      </c>
      <c r="J599" s="24" t="s">
        <v>550</v>
      </c>
      <c r="K599" s="24" t="s">
        <v>570</v>
      </c>
    </row>
    <row r="600" spans="1:11">
      <c r="A600" s="12">
        <v>2013</v>
      </c>
      <c r="B600" s="15" t="s">
        <v>137</v>
      </c>
      <c r="C600" s="15" t="s">
        <v>93</v>
      </c>
      <c r="D600" s="15" t="s">
        <v>143</v>
      </c>
      <c r="E600" s="19">
        <v>257686</v>
      </c>
      <c r="F600" s="19">
        <v>206834</v>
      </c>
      <c r="G600" s="20">
        <f t="shared" si="9"/>
        <v>0.44526392835615258</v>
      </c>
      <c r="H600" s="24" t="s">
        <v>552</v>
      </c>
      <c r="I600" s="24" t="s">
        <v>573</v>
      </c>
      <c r="J600" s="24" t="s">
        <v>550</v>
      </c>
      <c r="K600" s="24" t="s">
        <v>570</v>
      </c>
    </row>
    <row r="601" spans="1:11">
      <c r="A601" s="12">
        <v>2013</v>
      </c>
      <c r="B601" s="15" t="s">
        <v>144</v>
      </c>
      <c r="C601" s="15" t="s">
        <v>22</v>
      </c>
      <c r="D601" s="15" t="s">
        <v>144</v>
      </c>
      <c r="E601" s="19">
        <v>1389284</v>
      </c>
      <c r="F601" s="19">
        <v>326368</v>
      </c>
      <c r="G601" s="20">
        <f t="shared" si="9"/>
        <v>0.19022972024629703</v>
      </c>
      <c r="H601" s="24" t="s">
        <v>555</v>
      </c>
      <c r="I601" s="24" t="s">
        <v>559</v>
      </c>
      <c r="J601" s="24" t="s">
        <v>574</v>
      </c>
      <c r="K601" s="24" t="s">
        <v>570</v>
      </c>
    </row>
    <row r="602" spans="1:11">
      <c r="A602" s="12">
        <v>2013</v>
      </c>
      <c r="B602" s="15" t="s">
        <v>144</v>
      </c>
      <c r="C602" s="15" t="s">
        <v>145</v>
      </c>
      <c r="D602" s="15" t="s">
        <v>146</v>
      </c>
      <c r="E602" s="19">
        <v>164985</v>
      </c>
      <c r="F602" s="19">
        <v>139553</v>
      </c>
      <c r="G602" s="20">
        <f t="shared" si="9"/>
        <v>0.45824494808529642</v>
      </c>
      <c r="H602" s="24" t="s">
        <v>555</v>
      </c>
      <c r="I602" s="24" t="s">
        <v>559</v>
      </c>
      <c r="J602" s="24" t="s">
        <v>574</v>
      </c>
      <c r="K602" s="24" t="s">
        <v>570</v>
      </c>
    </row>
    <row r="603" spans="1:11">
      <c r="A603" s="12">
        <v>2013</v>
      </c>
      <c r="B603" s="15" t="s">
        <v>144</v>
      </c>
      <c r="C603" s="15" t="s">
        <v>81</v>
      </c>
      <c r="D603" s="15" t="s">
        <v>147</v>
      </c>
      <c r="E603" s="19">
        <v>190566</v>
      </c>
      <c r="F603" s="19">
        <v>190157</v>
      </c>
      <c r="G603" s="20">
        <f t="shared" si="9"/>
        <v>0.49946286407703239</v>
      </c>
      <c r="H603" s="24" t="s">
        <v>555</v>
      </c>
      <c r="I603" s="24" t="s">
        <v>559</v>
      </c>
      <c r="J603" s="24" t="s">
        <v>574</v>
      </c>
      <c r="K603" s="24" t="s">
        <v>570</v>
      </c>
    </row>
    <row r="604" spans="1:11">
      <c r="A604" s="12">
        <v>2013</v>
      </c>
      <c r="B604" s="15" t="s">
        <v>144</v>
      </c>
      <c r="C604" s="15" t="s">
        <v>93</v>
      </c>
      <c r="D604" s="15" t="s">
        <v>148</v>
      </c>
      <c r="E604" s="19">
        <v>428853</v>
      </c>
      <c r="F604" s="19">
        <v>277440</v>
      </c>
      <c r="G604" s="20">
        <f t="shared" si="9"/>
        <v>0.39281148192039284</v>
      </c>
      <c r="H604" s="24" t="s">
        <v>555</v>
      </c>
      <c r="I604" s="24" t="s">
        <v>559</v>
      </c>
      <c r="J604" s="24" t="s">
        <v>574</v>
      </c>
      <c r="K604" s="24" t="s">
        <v>570</v>
      </c>
    </row>
    <row r="605" spans="1:11">
      <c r="A605" s="12">
        <v>2013</v>
      </c>
      <c r="B605" s="15" t="s">
        <v>144</v>
      </c>
      <c r="C605" s="15" t="s">
        <v>149</v>
      </c>
      <c r="D605" s="15" t="s">
        <v>150</v>
      </c>
      <c r="E605" s="19">
        <v>253161</v>
      </c>
      <c r="F605" s="19">
        <v>221946</v>
      </c>
      <c r="G605" s="20">
        <f t="shared" si="9"/>
        <v>0.46714950526933935</v>
      </c>
      <c r="H605" s="24" t="s">
        <v>555</v>
      </c>
      <c r="I605" s="24" t="s">
        <v>559</v>
      </c>
      <c r="J605" s="24" t="s">
        <v>574</v>
      </c>
      <c r="K605" s="24" t="s">
        <v>570</v>
      </c>
    </row>
    <row r="606" spans="1:11">
      <c r="A606" s="12">
        <v>2013</v>
      </c>
      <c r="B606" s="15" t="s">
        <v>144</v>
      </c>
      <c r="C606" s="15" t="s">
        <v>69</v>
      </c>
      <c r="D606" s="15" t="s">
        <v>151</v>
      </c>
      <c r="E606" s="19">
        <v>215894</v>
      </c>
      <c r="F606" s="19">
        <v>180261</v>
      </c>
      <c r="G606" s="20">
        <f t="shared" si="9"/>
        <v>0.45502644167055822</v>
      </c>
      <c r="H606" s="24" t="s">
        <v>555</v>
      </c>
      <c r="I606" s="24" t="s">
        <v>559</v>
      </c>
      <c r="J606" s="24" t="s">
        <v>574</v>
      </c>
      <c r="K606" s="24" t="s">
        <v>570</v>
      </c>
    </row>
    <row r="607" spans="1:11">
      <c r="A607" s="12">
        <v>2013</v>
      </c>
      <c r="B607" s="15" t="s">
        <v>152</v>
      </c>
      <c r="C607" s="15" t="s">
        <v>22</v>
      </c>
      <c r="D607" s="15" t="s">
        <v>152</v>
      </c>
      <c r="E607" s="19">
        <v>1048534</v>
      </c>
      <c r="F607" s="19">
        <v>251873</v>
      </c>
      <c r="G607" s="20">
        <f t="shared" si="9"/>
        <v>0.1936878223510024</v>
      </c>
      <c r="H607" s="24" t="s">
        <v>548</v>
      </c>
      <c r="I607" s="24" t="s">
        <v>571</v>
      </c>
      <c r="J607" s="24" t="s">
        <v>572</v>
      </c>
      <c r="K607" s="24" t="s">
        <v>570</v>
      </c>
    </row>
    <row r="608" spans="1:11">
      <c r="A608" s="12">
        <v>2013</v>
      </c>
      <c r="B608" s="15" t="s">
        <v>152</v>
      </c>
      <c r="C608" s="15" t="s">
        <v>79</v>
      </c>
      <c r="D608" s="15" t="s">
        <v>153</v>
      </c>
      <c r="E608" s="19">
        <v>304402</v>
      </c>
      <c r="F608" s="19">
        <v>165115</v>
      </c>
      <c r="G608" s="20">
        <f t="shared" si="9"/>
        <v>0.35166990758588079</v>
      </c>
      <c r="H608" s="24" t="s">
        <v>548</v>
      </c>
      <c r="I608" s="24" t="s">
        <v>571</v>
      </c>
      <c r="J608" s="24" t="s">
        <v>572</v>
      </c>
      <c r="K608" s="24" t="s">
        <v>570</v>
      </c>
    </row>
    <row r="609" spans="1:11">
      <c r="A609" s="12">
        <v>2013</v>
      </c>
      <c r="B609" s="15" t="s">
        <v>152</v>
      </c>
      <c r="C609" s="15" t="s">
        <v>81</v>
      </c>
      <c r="D609" s="15" t="s">
        <v>154</v>
      </c>
      <c r="E609" s="19">
        <v>157835</v>
      </c>
      <c r="F609" s="19">
        <v>80953</v>
      </c>
      <c r="G609" s="20">
        <f t="shared" si="9"/>
        <v>0.33901619846893477</v>
      </c>
      <c r="H609" s="24" t="s">
        <v>548</v>
      </c>
      <c r="I609" s="24" t="s">
        <v>571</v>
      </c>
      <c r="J609" s="24" t="s">
        <v>572</v>
      </c>
      <c r="K609" s="24" t="s">
        <v>570</v>
      </c>
    </row>
    <row r="610" spans="1:11">
      <c r="A610" s="12">
        <v>2013</v>
      </c>
      <c r="B610" s="15" t="s">
        <v>152</v>
      </c>
      <c r="C610" s="15" t="s">
        <v>87</v>
      </c>
      <c r="D610" s="15" t="s">
        <v>155</v>
      </c>
      <c r="E610" s="19">
        <v>147900</v>
      </c>
      <c r="F610" s="19">
        <v>127505</v>
      </c>
      <c r="G610" s="20">
        <f t="shared" si="9"/>
        <v>0.46297271291370889</v>
      </c>
      <c r="H610" s="24" t="s">
        <v>548</v>
      </c>
      <c r="I610" s="24" t="s">
        <v>571</v>
      </c>
      <c r="J610" s="24" t="s">
        <v>572</v>
      </c>
      <c r="K610" s="24" t="s">
        <v>570</v>
      </c>
    </row>
    <row r="611" spans="1:11">
      <c r="A611" s="12">
        <v>2013</v>
      </c>
      <c r="B611" s="15" t="s">
        <v>152</v>
      </c>
      <c r="C611" s="15" t="s">
        <v>156</v>
      </c>
      <c r="D611" s="15" t="s">
        <v>157</v>
      </c>
      <c r="E611" s="19">
        <v>153774</v>
      </c>
      <c r="F611" s="19">
        <v>156283</v>
      </c>
      <c r="G611" s="20">
        <f t="shared" si="9"/>
        <v>0.50404603024605155</v>
      </c>
      <c r="H611" s="24" t="s">
        <v>548</v>
      </c>
      <c r="I611" s="24" t="s">
        <v>571</v>
      </c>
      <c r="J611" s="24" t="s">
        <v>572</v>
      </c>
      <c r="K611" s="24" t="s">
        <v>570</v>
      </c>
    </row>
    <row r="612" spans="1:11">
      <c r="A612" s="12">
        <v>2013</v>
      </c>
      <c r="B612" s="15" t="s">
        <v>152</v>
      </c>
      <c r="C612" s="15" t="s">
        <v>69</v>
      </c>
      <c r="D612" s="15" t="s">
        <v>158</v>
      </c>
      <c r="E612" s="19">
        <v>184745</v>
      </c>
      <c r="F612" s="19">
        <v>162747</v>
      </c>
      <c r="G612" s="20">
        <f t="shared" si="9"/>
        <v>0.46834747274757405</v>
      </c>
      <c r="H612" s="24" t="s">
        <v>548</v>
      </c>
      <c r="I612" s="24" t="s">
        <v>571</v>
      </c>
      <c r="J612" s="24" t="s">
        <v>572</v>
      </c>
      <c r="K612" s="24" t="s">
        <v>570</v>
      </c>
    </row>
    <row r="613" spans="1:11">
      <c r="A613" s="12">
        <v>2013</v>
      </c>
      <c r="B613" s="15" t="s">
        <v>159</v>
      </c>
      <c r="C613" s="15" t="s">
        <v>22</v>
      </c>
      <c r="D613" s="15" t="s">
        <v>159</v>
      </c>
      <c r="E613" s="19">
        <v>88778</v>
      </c>
      <c r="F613" s="19">
        <v>87887</v>
      </c>
      <c r="G613" s="20">
        <f t="shared" si="9"/>
        <v>0.49747827809696316</v>
      </c>
      <c r="H613" s="24" t="s">
        <v>555</v>
      </c>
      <c r="I613" s="24" t="s">
        <v>559</v>
      </c>
      <c r="J613" s="24" t="s">
        <v>574</v>
      </c>
      <c r="K613" s="24" t="s">
        <v>570</v>
      </c>
    </row>
    <row r="614" spans="1:11">
      <c r="A614" s="12">
        <v>2013</v>
      </c>
      <c r="B614" s="15" t="s">
        <v>160</v>
      </c>
      <c r="C614" s="15" t="s">
        <v>22</v>
      </c>
      <c r="D614" s="15" t="s">
        <v>160</v>
      </c>
      <c r="E614" s="19">
        <v>10729570</v>
      </c>
      <c r="F614" s="19">
        <v>4025826</v>
      </c>
      <c r="G614" s="20">
        <f t="shared" si="9"/>
        <v>0.27283754363488449</v>
      </c>
      <c r="H614" s="24" t="s">
        <v>558</v>
      </c>
      <c r="I614" s="24" t="s">
        <v>568</v>
      </c>
      <c r="J614" s="24" t="s">
        <v>569</v>
      </c>
      <c r="K614" s="24" t="s">
        <v>570</v>
      </c>
    </row>
    <row r="615" spans="1:11">
      <c r="A615" s="12">
        <v>2013</v>
      </c>
      <c r="B615" s="15" t="s">
        <v>160</v>
      </c>
      <c r="C615" s="15" t="s">
        <v>161</v>
      </c>
      <c r="D615" s="15" t="s">
        <v>162</v>
      </c>
      <c r="E615" s="19">
        <v>46658</v>
      </c>
      <c r="F615" s="19">
        <v>42064</v>
      </c>
      <c r="G615" s="20">
        <f t="shared" si="9"/>
        <v>0.47411014179121302</v>
      </c>
      <c r="H615" s="24" t="s">
        <v>558</v>
      </c>
      <c r="I615" s="24" t="s">
        <v>575</v>
      </c>
      <c r="J615" s="24" t="s">
        <v>576</v>
      </c>
      <c r="K615" s="24" t="s">
        <v>570</v>
      </c>
    </row>
    <row r="616" spans="1:11">
      <c r="A616" s="12">
        <v>2013</v>
      </c>
      <c r="B616" s="15" t="s">
        <v>160</v>
      </c>
      <c r="C616" s="15" t="s">
        <v>163</v>
      </c>
      <c r="D616" s="15" t="s">
        <v>164</v>
      </c>
      <c r="E616" s="19">
        <v>311084</v>
      </c>
      <c r="F616" s="19">
        <v>253838</v>
      </c>
      <c r="G616" s="20">
        <f t="shared" si="9"/>
        <v>0.44933282824885562</v>
      </c>
      <c r="H616" s="24" t="s">
        <v>558</v>
      </c>
      <c r="I616" s="24" t="s">
        <v>575</v>
      </c>
      <c r="J616" s="24" t="s">
        <v>576</v>
      </c>
      <c r="K616" s="24" t="s">
        <v>570</v>
      </c>
    </row>
    <row r="617" spans="1:11">
      <c r="A617" s="12">
        <v>2013</v>
      </c>
      <c r="B617" s="15" t="s">
        <v>160</v>
      </c>
      <c r="C617" s="15" t="s">
        <v>167</v>
      </c>
      <c r="D617" s="15" t="s">
        <v>168</v>
      </c>
      <c r="E617" s="19">
        <v>218249</v>
      </c>
      <c r="F617" s="19">
        <v>187987</v>
      </c>
      <c r="G617" s="20">
        <f t="shared" si="9"/>
        <v>0.46275317795567111</v>
      </c>
      <c r="H617" s="24" t="s">
        <v>558</v>
      </c>
      <c r="I617" s="24" t="s">
        <v>575</v>
      </c>
      <c r="J617" s="24" t="s">
        <v>576</v>
      </c>
      <c r="K617" s="24" t="s">
        <v>570</v>
      </c>
    </row>
    <row r="618" spans="1:11">
      <c r="A618" s="12">
        <v>2013</v>
      </c>
      <c r="B618" s="15" t="s">
        <v>160</v>
      </c>
      <c r="C618" s="15" t="s">
        <v>169</v>
      </c>
      <c r="D618" s="15" t="s">
        <v>170</v>
      </c>
      <c r="E618" s="19">
        <v>232036</v>
      </c>
      <c r="F618" s="19">
        <v>192889</v>
      </c>
      <c r="G618" s="20">
        <f t="shared" si="9"/>
        <v>0.45393657704300761</v>
      </c>
      <c r="H618" s="24" t="s">
        <v>558</v>
      </c>
      <c r="I618" s="24" t="s">
        <v>575</v>
      </c>
      <c r="J618" s="24" t="s">
        <v>576</v>
      </c>
      <c r="K618" s="24" t="s">
        <v>570</v>
      </c>
    </row>
    <row r="619" spans="1:11">
      <c r="A619" s="12">
        <v>2013</v>
      </c>
      <c r="B619" s="15" t="s">
        <v>160</v>
      </c>
      <c r="C619" s="15" t="s">
        <v>171</v>
      </c>
      <c r="D619" s="15" t="s">
        <v>172</v>
      </c>
      <c r="E619" s="19">
        <v>49534</v>
      </c>
      <c r="F619" s="19">
        <v>51392</v>
      </c>
      <c r="G619" s="20">
        <f t="shared" si="9"/>
        <v>0.50920476388641178</v>
      </c>
      <c r="H619" s="24" t="s">
        <v>558</v>
      </c>
      <c r="I619" s="24" t="s">
        <v>575</v>
      </c>
      <c r="J619" s="24" t="s">
        <v>576</v>
      </c>
      <c r="K619" s="24" t="s">
        <v>570</v>
      </c>
    </row>
    <row r="620" spans="1:11">
      <c r="A620" s="12">
        <v>2013</v>
      </c>
      <c r="B620" s="15" t="s">
        <v>160</v>
      </c>
      <c r="C620" s="15" t="s">
        <v>173</v>
      </c>
      <c r="D620" s="15" t="s">
        <v>174</v>
      </c>
      <c r="E620" s="19">
        <v>286126</v>
      </c>
      <c r="F620" s="19">
        <v>206379</v>
      </c>
      <c r="G620" s="20">
        <f t="shared" si="9"/>
        <v>0.41903940061522216</v>
      </c>
      <c r="H620" s="24" t="s">
        <v>558</v>
      </c>
      <c r="I620" s="24" t="s">
        <v>575</v>
      </c>
      <c r="J620" s="24" t="s">
        <v>576</v>
      </c>
      <c r="K620" s="24" t="s">
        <v>570</v>
      </c>
    </row>
    <row r="621" spans="1:11">
      <c r="A621" s="12">
        <v>2013</v>
      </c>
      <c r="B621" s="15" t="s">
        <v>160</v>
      </c>
      <c r="C621" s="15" t="s">
        <v>175</v>
      </c>
      <c r="D621" s="15" t="s">
        <v>176</v>
      </c>
      <c r="E621" s="19">
        <v>207116</v>
      </c>
      <c r="F621" s="19">
        <v>186306</v>
      </c>
      <c r="G621" s="20">
        <f t="shared" si="9"/>
        <v>0.47355257204731815</v>
      </c>
      <c r="H621" s="24" t="s">
        <v>558</v>
      </c>
      <c r="I621" s="24" t="s">
        <v>575</v>
      </c>
      <c r="J621" s="24" t="s">
        <v>576</v>
      </c>
      <c r="K621" s="24" t="s">
        <v>570</v>
      </c>
    </row>
    <row r="622" spans="1:11">
      <c r="A622" s="12">
        <v>2013</v>
      </c>
      <c r="B622" s="15" t="s">
        <v>160</v>
      </c>
      <c r="C622" s="15" t="s">
        <v>177</v>
      </c>
      <c r="D622" s="15" t="s">
        <v>178</v>
      </c>
      <c r="E622" s="19">
        <v>153084</v>
      </c>
      <c r="F622" s="19">
        <v>103663</v>
      </c>
      <c r="G622" s="20">
        <f t="shared" si="9"/>
        <v>0.40375544797018076</v>
      </c>
      <c r="H622" s="24" t="s">
        <v>558</v>
      </c>
      <c r="I622" s="24" t="s">
        <v>575</v>
      </c>
      <c r="J622" s="24" t="s">
        <v>576</v>
      </c>
      <c r="K622" s="24" t="s">
        <v>570</v>
      </c>
    </row>
    <row r="623" spans="1:11">
      <c r="A623" s="12">
        <v>2013</v>
      </c>
      <c r="B623" s="15" t="s">
        <v>160</v>
      </c>
      <c r="C623" s="15" t="s">
        <v>179</v>
      </c>
      <c r="D623" s="15" t="s">
        <v>180</v>
      </c>
      <c r="E623" s="19">
        <v>232603</v>
      </c>
      <c r="F623" s="19">
        <v>171032</v>
      </c>
      <c r="G623" s="20">
        <f t="shared" si="9"/>
        <v>0.42372935944603418</v>
      </c>
      <c r="H623" s="24" t="s">
        <v>558</v>
      </c>
      <c r="I623" s="24" t="s">
        <v>575</v>
      </c>
      <c r="J623" s="24" t="s">
        <v>576</v>
      </c>
      <c r="K623" s="24" t="s">
        <v>570</v>
      </c>
    </row>
    <row r="624" spans="1:11">
      <c r="A624" s="12">
        <v>2013</v>
      </c>
      <c r="B624" s="15" t="s">
        <v>160</v>
      </c>
      <c r="C624" s="15" t="s">
        <v>181</v>
      </c>
      <c r="D624" s="15" t="s">
        <v>182</v>
      </c>
      <c r="E624" s="19">
        <v>237390</v>
      </c>
      <c r="F624" s="19">
        <v>174181</v>
      </c>
      <c r="G624" s="20">
        <f t="shared" si="9"/>
        <v>0.4232100901181084</v>
      </c>
      <c r="H624" s="24" t="s">
        <v>558</v>
      </c>
      <c r="I624" s="24" t="s">
        <v>575</v>
      </c>
      <c r="J624" s="24" t="s">
        <v>576</v>
      </c>
      <c r="K624" s="24" t="s">
        <v>570</v>
      </c>
    </row>
    <row r="625" spans="1:11">
      <c r="A625" s="12">
        <v>2013</v>
      </c>
      <c r="B625" s="15" t="s">
        <v>160</v>
      </c>
      <c r="C625" s="15" t="s">
        <v>183</v>
      </c>
      <c r="D625" s="15" t="s">
        <v>184</v>
      </c>
      <c r="E625" s="19">
        <v>485188</v>
      </c>
      <c r="F625" s="19">
        <v>372485</v>
      </c>
      <c r="G625" s="20">
        <f t="shared" si="9"/>
        <v>0.43429722050245256</v>
      </c>
      <c r="H625" s="24" t="s">
        <v>558</v>
      </c>
      <c r="I625" s="24" t="s">
        <v>575</v>
      </c>
      <c r="J625" s="24" t="s">
        <v>576</v>
      </c>
      <c r="K625" s="24" t="s">
        <v>570</v>
      </c>
    </row>
    <row r="626" spans="1:11">
      <c r="A626" s="12">
        <v>2013</v>
      </c>
      <c r="B626" s="15" t="s">
        <v>160</v>
      </c>
      <c r="C626" s="15" t="s">
        <v>185</v>
      </c>
      <c r="D626" s="15" t="s">
        <v>186</v>
      </c>
      <c r="E626" s="19">
        <v>78178</v>
      </c>
      <c r="F626" s="19">
        <v>53100</v>
      </c>
      <c r="G626" s="20">
        <f t="shared" si="9"/>
        <v>0.40448513840856809</v>
      </c>
      <c r="H626" s="24" t="s">
        <v>558</v>
      </c>
      <c r="I626" s="24" t="s">
        <v>575</v>
      </c>
      <c r="J626" s="24" t="s">
        <v>576</v>
      </c>
      <c r="K626" s="24" t="s">
        <v>570</v>
      </c>
    </row>
    <row r="627" spans="1:11">
      <c r="A627" s="12">
        <v>2013</v>
      </c>
      <c r="B627" s="15" t="s">
        <v>160</v>
      </c>
      <c r="C627" s="15" t="s">
        <v>189</v>
      </c>
      <c r="D627" s="15" t="s">
        <v>190</v>
      </c>
      <c r="E627" s="19">
        <v>169905</v>
      </c>
      <c r="F627" s="19">
        <v>165941</v>
      </c>
      <c r="G627" s="20">
        <f t="shared" si="9"/>
        <v>0.4940984856154309</v>
      </c>
      <c r="H627" s="24" t="s">
        <v>558</v>
      </c>
      <c r="I627" s="24" t="s">
        <v>568</v>
      </c>
      <c r="J627" s="24" t="s">
        <v>569</v>
      </c>
      <c r="K627" s="24" t="s">
        <v>570</v>
      </c>
    </row>
    <row r="628" spans="1:11">
      <c r="A628" s="12">
        <v>2013</v>
      </c>
      <c r="B628" s="15" t="s">
        <v>160</v>
      </c>
      <c r="C628" s="15" t="s">
        <v>191</v>
      </c>
      <c r="D628" s="15" t="s">
        <v>192</v>
      </c>
      <c r="E628" s="19">
        <v>141691</v>
      </c>
      <c r="F628" s="19">
        <v>127196</v>
      </c>
      <c r="G628" s="20">
        <f t="shared" si="9"/>
        <v>0.47304629825911998</v>
      </c>
      <c r="H628" s="24" t="s">
        <v>558</v>
      </c>
      <c r="I628" s="24" t="s">
        <v>568</v>
      </c>
      <c r="J628" s="24" t="s">
        <v>569</v>
      </c>
      <c r="K628" s="24" t="s">
        <v>570</v>
      </c>
    </row>
    <row r="629" spans="1:11">
      <c r="A629" s="12">
        <v>2013</v>
      </c>
      <c r="B629" s="15" t="s">
        <v>160</v>
      </c>
      <c r="C629" s="15" t="s">
        <v>193</v>
      </c>
      <c r="D629" s="15" t="s">
        <v>194</v>
      </c>
      <c r="E629" s="19">
        <v>363903</v>
      </c>
      <c r="F629" s="19">
        <v>246753</v>
      </c>
      <c r="G629" s="20">
        <f t="shared" si="9"/>
        <v>0.40407856469108633</v>
      </c>
      <c r="H629" s="24" t="s">
        <v>558</v>
      </c>
      <c r="I629" s="24" t="s">
        <v>568</v>
      </c>
      <c r="J629" s="24" t="s">
        <v>569</v>
      </c>
      <c r="K629" s="24" t="s">
        <v>570</v>
      </c>
    </row>
    <row r="630" spans="1:11">
      <c r="A630" s="12">
        <v>2013</v>
      </c>
      <c r="B630" s="15" t="s">
        <v>160</v>
      </c>
      <c r="C630" s="15" t="s">
        <v>195</v>
      </c>
      <c r="D630" s="15" t="s">
        <v>196</v>
      </c>
      <c r="E630" s="19">
        <v>407673</v>
      </c>
      <c r="F630" s="19">
        <v>271082</v>
      </c>
      <c r="G630" s="20">
        <f t="shared" si="9"/>
        <v>0.3993812200278451</v>
      </c>
      <c r="H630" s="24" t="s">
        <v>558</v>
      </c>
      <c r="I630" s="24" t="s">
        <v>568</v>
      </c>
      <c r="J630" s="24" t="s">
        <v>569</v>
      </c>
      <c r="K630" s="24" t="s">
        <v>570</v>
      </c>
    </row>
    <row r="631" spans="1:11">
      <c r="A631" s="12">
        <v>2013</v>
      </c>
      <c r="B631" s="15" t="s">
        <v>160</v>
      </c>
      <c r="C631" s="15" t="s">
        <v>197</v>
      </c>
      <c r="D631" s="15" t="s">
        <v>198</v>
      </c>
      <c r="E631" s="19">
        <v>158198</v>
      </c>
      <c r="F631" s="19">
        <v>163551</v>
      </c>
      <c r="G631" s="20">
        <f t="shared" si="9"/>
        <v>0.50831859617279307</v>
      </c>
      <c r="H631" s="24" t="s">
        <v>558</v>
      </c>
      <c r="I631" s="24" t="s">
        <v>568</v>
      </c>
      <c r="J631" s="24" t="s">
        <v>569</v>
      </c>
      <c r="K631" s="24" t="s">
        <v>570</v>
      </c>
    </row>
    <row r="632" spans="1:11">
      <c r="A632" s="12">
        <v>2013</v>
      </c>
      <c r="B632" s="15" t="s">
        <v>160</v>
      </c>
      <c r="C632" s="15" t="s">
        <v>199</v>
      </c>
      <c r="D632" s="15" t="s">
        <v>200</v>
      </c>
      <c r="E632" s="19">
        <v>189339</v>
      </c>
      <c r="F632" s="19">
        <v>180006</v>
      </c>
      <c r="G632" s="20">
        <f t="shared" si="9"/>
        <v>0.48736547130731428</v>
      </c>
      <c r="H632" s="24" t="s">
        <v>558</v>
      </c>
      <c r="I632" s="24" t="s">
        <v>568</v>
      </c>
      <c r="J632" s="24" t="s">
        <v>569</v>
      </c>
      <c r="K632" s="24" t="s">
        <v>570</v>
      </c>
    </row>
    <row r="633" spans="1:11">
      <c r="A633" s="12">
        <v>2013</v>
      </c>
      <c r="B633" s="15" t="s">
        <v>160</v>
      </c>
      <c r="C633" s="15" t="s">
        <v>201</v>
      </c>
      <c r="D633" s="15" t="s">
        <v>202</v>
      </c>
      <c r="E633" s="19">
        <v>243153</v>
      </c>
      <c r="F633" s="19">
        <v>240983</v>
      </c>
      <c r="G633" s="20">
        <f t="shared" si="9"/>
        <v>0.49775889419501956</v>
      </c>
      <c r="H633" s="24" t="s">
        <v>558</v>
      </c>
      <c r="I633" s="24" t="s">
        <v>568</v>
      </c>
      <c r="J633" s="24" t="s">
        <v>569</v>
      </c>
      <c r="K633" s="24" t="s">
        <v>570</v>
      </c>
    </row>
    <row r="634" spans="1:11">
      <c r="A634" s="12">
        <v>2013</v>
      </c>
      <c r="B634" s="15" t="s">
        <v>160</v>
      </c>
      <c r="C634" s="15" t="s">
        <v>203</v>
      </c>
      <c r="D634" s="15" t="s">
        <v>204</v>
      </c>
      <c r="E634" s="19">
        <v>241999</v>
      </c>
      <c r="F634" s="19">
        <v>210870</v>
      </c>
      <c r="G634" s="20">
        <f t="shared" si="9"/>
        <v>0.46563134151377111</v>
      </c>
      <c r="H634" s="24" t="s">
        <v>558</v>
      </c>
      <c r="I634" s="24" t="s">
        <v>568</v>
      </c>
      <c r="J634" s="24" t="s">
        <v>569</v>
      </c>
      <c r="K634" s="24" t="s">
        <v>570</v>
      </c>
    </row>
    <row r="635" spans="1:11">
      <c r="A635" s="12">
        <v>2013</v>
      </c>
      <c r="B635" s="15" t="s">
        <v>160</v>
      </c>
      <c r="C635" s="15" t="s">
        <v>205</v>
      </c>
      <c r="D635" s="15" t="s">
        <v>206</v>
      </c>
      <c r="E635" s="19">
        <v>237111</v>
      </c>
      <c r="F635" s="19">
        <v>196802</v>
      </c>
      <c r="G635" s="20">
        <f t="shared" si="9"/>
        <v>0.45355174885288063</v>
      </c>
      <c r="H635" s="24" t="s">
        <v>558</v>
      </c>
      <c r="I635" s="24" t="s">
        <v>568</v>
      </c>
      <c r="J635" s="24" t="s">
        <v>569</v>
      </c>
      <c r="K635" s="24" t="s">
        <v>570</v>
      </c>
    </row>
    <row r="636" spans="1:11">
      <c r="A636" s="12">
        <v>2013</v>
      </c>
      <c r="B636" s="15" t="s">
        <v>160</v>
      </c>
      <c r="C636" s="15" t="s">
        <v>207</v>
      </c>
      <c r="D636" s="15" t="s">
        <v>208</v>
      </c>
      <c r="E636" s="19">
        <v>153851</v>
      </c>
      <c r="F636" s="19">
        <v>144884</v>
      </c>
      <c r="G636" s="20">
        <f t="shared" si="9"/>
        <v>0.48499171506519156</v>
      </c>
      <c r="H636" s="24" t="s">
        <v>558</v>
      </c>
      <c r="I636" s="24" t="s">
        <v>568</v>
      </c>
      <c r="J636" s="24" t="s">
        <v>569</v>
      </c>
      <c r="K636" s="24" t="s">
        <v>570</v>
      </c>
    </row>
    <row r="637" spans="1:11">
      <c r="A637" s="12">
        <v>2013</v>
      </c>
      <c r="B637" s="15" t="s">
        <v>160</v>
      </c>
      <c r="C637" s="15" t="s">
        <v>209</v>
      </c>
      <c r="D637" s="15" t="s">
        <v>210</v>
      </c>
      <c r="E637" s="19">
        <v>329000</v>
      </c>
      <c r="F637" s="19">
        <v>216681</v>
      </c>
      <c r="G637" s="20">
        <f t="shared" si="9"/>
        <v>0.39708364410708819</v>
      </c>
      <c r="H637" s="24" t="s">
        <v>558</v>
      </c>
      <c r="I637" s="24" t="s">
        <v>575</v>
      </c>
      <c r="J637" s="24" t="s">
        <v>576</v>
      </c>
      <c r="K637" s="24" t="s">
        <v>570</v>
      </c>
    </row>
    <row r="638" spans="1:11">
      <c r="A638" s="12">
        <v>2013</v>
      </c>
      <c r="B638" s="15" t="s">
        <v>160</v>
      </c>
      <c r="C638" s="15" t="s">
        <v>211</v>
      </c>
      <c r="D638" s="15" t="s">
        <v>212</v>
      </c>
      <c r="E638" s="19">
        <v>286799</v>
      </c>
      <c r="F638" s="19">
        <v>159839</v>
      </c>
      <c r="G638" s="20">
        <f t="shared" si="9"/>
        <v>0.35787147533349156</v>
      </c>
      <c r="H638" s="24" t="s">
        <v>558</v>
      </c>
      <c r="I638" s="24" t="s">
        <v>575</v>
      </c>
      <c r="J638" s="24" t="s">
        <v>576</v>
      </c>
      <c r="K638" s="24" t="s">
        <v>570</v>
      </c>
    </row>
    <row r="639" spans="1:11">
      <c r="A639" s="12">
        <v>2013</v>
      </c>
      <c r="B639" s="15" t="s">
        <v>160</v>
      </c>
      <c r="C639" s="15" t="s">
        <v>213</v>
      </c>
      <c r="D639" s="15" t="s">
        <v>214</v>
      </c>
      <c r="E639" s="19">
        <v>289310</v>
      </c>
      <c r="F639" s="19">
        <v>257358</v>
      </c>
      <c r="G639" s="20">
        <f t="shared" si="9"/>
        <v>0.47077568103492429</v>
      </c>
      <c r="H639" s="24" t="s">
        <v>558</v>
      </c>
      <c r="I639" s="24" t="s">
        <v>575</v>
      </c>
      <c r="J639" s="24" t="s">
        <v>576</v>
      </c>
      <c r="K639" s="24" t="s">
        <v>570</v>
      </c>
    </row>
    <row r="640" spans="1:11">
      <c r="A640" s="12">
        <v>2013</v>
      </c>
      <c r="B640" s="15" t="s">
        <v>160</v>
      </c>
      <c r="C640" s="15" t="s">
        <v>215</v>
      </c>
      <c r="D640" s="15" t="s">
        <v>216</v>
      </c>
      <c r="E640" s="19">
        <v>151713</v>
      </c>
      <c r="F640" s="19">
        <v>104331</v>
      </c>
      <c r="G640" s="20">
        <f t="shared" si="9"/>
        <v>0.4074729343394104</v>
      </c>
      <c r="H640" s="24" t="s">
        <v>558</v>
      </c>
      <c r="I640" s="24" t="s">
        <v>575</v>
      </c>
      <c r="J640" s="24" t="s">
        <v>576</v>
      </c>
      <c r="K640" s="24" t="s">
        <v>570</v>
      </c>
    </row>
    <row r="641" spans="1:11">
      <c r="A641" s="12">
        <v>2013</v>
      </c>
      <c r="B641" s="15" t="s">
        <v>160</v>
      </c>
      <c r="C641" s="15" t="s">
        <v>217</v>
      </c>
      <c r="D641" s="15" t="s">
        <v>218</v>
      </c>
      <c r="E641" s="19">
        <v>290229</v>
      </c>
      <c r="F641" s="19">
        <v>211459</v>
      </c>
      <c r="G641" s="20">
        <f t="shared" si="9"/>
        <v>0.42149503276937061</v>
      </c>
      <c r="H641" s="24" t="s">
        <v>558</v>
      </c>
      <c r="I641" s="24" t="s">
        <v>568</v>
      </c>
      <c r="J641" s="24" t="s">
        <v>569</v>
      </c>
      <c r="K641" s="24" t="s">
        <v>570</v>
      </c>
    </row>
    <row r="642" spans="1:11">
      <c r="A642" s="12">
        <v>2013</v>
      </c>
      <c r="B642" s="15" t="s">
        <v>160</v>
      </c>
      <c r="C642" s="15" t="s">
        <v>219</v>
      </c>
      <c r="D642" s="15" t="s">
        <v>220</v>
      </c>
      <c r="E642" s="19">
        <v>190723</v>
      </c>
      <c r="F642" s="19">
        <v>163813</v>
      </c>
      <c r="G642" s="20">
        <f t="shared" si="9"/>
        <v>0.46204898797301264</v>
      </c>
      <c r="H642" s="24" t="s">
        <v>558</v>
      </c>
      <c r="I642" s="24" t="s">
        <v>568</v>
      </c>
      <c r="J642" s="24" t="s">
        <v>569</v>
      </c>
      <c r="K642" s="24" t="s">
        <v>570</v>
      </c>
    </row>
    <row r="643" spans="1:11">
      <c r="A643" s="12">
        <v>2013</v>
      </c>
      <c r="B643" s="15" t="s">
        <v>160</v>
      </c>
      <c r="C643" s="15" t="s">
        <v>221</v>
      </c>
      <c r="D643" s="15" t="s">
        <v>222</v>
      </c>
      <c r="E643" s="19">
        <v>148088</v>
      </c>
      <c r="F643" s="19">
        <v>134779</v>
      </c>
      <c r="G643" s="20">
        <f t="shared" si="9"/>
        <v>0.47647480971622708</v>
      </c>
      <c r="H643" s="24" t="s">
        <v>558</v>
      </c>
      <c r="I643" s="24" t="s">
        <v>575</v>
      </c>
      <c r="J643" s="24" t="s">
        <v>576</v>
      </c>
      <c r="K643" s="24" t="s">
        <v>570</v>
      </c>
    </row>
    <row r="644" spans="1:11">
      <c r="A644" s="12">
        <v>2013</v>
      </c>
      <c r="B644" s="15" t="s">
        <v>160</v>
      </c>
      <c r="C644" s="15" t="s">
        <v>223</v>
      </c>
      <c r="D644" s="15" t="s">
        <v>224</v>
      </c>
      <c r="E644" s="19">
        <v>75377</v>
      </c>
      <c r="F644" s="19">
        <v>66112</v>
      </c>
      <c r="G644" s="20">
        <f t="shared" si="9"/>
        <v>0.46725893885743769</v>
      </c>
      <c r="H644" s="24" t="s">
        <v>558</v>
      </c>
      <c r="I644" s="24" t="s">
        <v>575</v>
      </c>
      <c r="J644" s="24" t="s">
        <v>576</v>
      </c>
      <c r="K644" s="24" t="s">
        <v>570</v>
      </c>
    </row>
    <row r="645" spans="1:11">
      <c r="A645" s="12">
        <v>2013</v>
      </c>
      <c r="B645" s="15" t="s">
        <v>160</v>
      </c>
      <c r="C645" s="15" t="s">
        <v>227</v>
      </c>
      <c r="D645" s="15" t="s">
        <v>228</v>
      </c>
      <c r="E645" s="19">
        <v>83493</v>
      </c>
      <c r="F645" s="19">
        <v>63832</v>
      </c>
      <c r="G645" s="20">
        <f t="shared" si="9"/>
        <v>0.43327337519090448</v>
      </c>
      <c r="H645" s="24" t="s">
        <v>558</v>
      </c>
      <c r="I645" s="24" t="s">
        <v>575</v>
      </c>
      <c r="J645" s="24" t="s">
        <v>576</v>
      </c>
      <c r="K645" s="24" t="s">
        <v>570</v>
      </c>
    </row>
    <row r="646" spans="1:11">
      <c r="A646" s="12">
        <v>2013</v>
      </c>
      <c r="B646" s="15" t="s">
        <v>160</v>
      </c>
      <c r="C646" s="15" t="s">
        <v>229</v>
      </c>
      <c r="D646" s="15" t="s">
        <v>230</v>
      </c>
      <c r="E646" s="19">
        <v>32604</v>
      </c>
      <c r="F646" s="19">
        <v>31351</v>
      </c>
      <c r="G646" s="20">
        <f t="shared" ref="G646:G709" si="10">IFERROR(F646/(E646+F646),"")</f>
        <v>0.49020404972246112</v>
      </c>
      <c r="H646" s="24" t="s">
        <v>558</v>
      </c>
      <c r="I646" s="24" t="s">
        <v>575</v>
      </c>
      <c r="J646" s="24" t="s">
        <v>576</v>
      </c>
      <c r="K646" s="24" t="s">
        <v>570</v>
      </c>
    </row>
    <row r="647" spans="1:11">
      <c r="A647" s="12">
        <v>2013</v>
      </c>
      <c r="B647" s="15" t="s">
        <v>160</v>
      </c>
      <c r="C647" s="15" t="s">
        <v>231</v>
      </c>
      <c r="D647" s="15" t="s">
        <v>232</v>
      </c>
      <c r="E647" s="19">
        <v>166223</v>
      </c>
      <c r="F647" s="19">
        <v>117339</v>
      </c>
      <c r="G647" s="20">
        <f t="shared" si="10"/>
        <v>0.41380368314513227</v>
      </c>
      <c r="H647" s="24" t="s">
        <v>558</v>
      </c>
      <c r="I647" s="24" t="s">
        <v>575</v>
      </c>
      <c r="J647" s="24" t="s">
        <v>576</v>
      </c>
      <c r="K647" s="24" t="s">
        <v>570</v>
      </c>
    </row>
    <row r="648" spans="1:11">
      <c r="A648" s="12">
        <v>2013</v>
      </c>
      <c r="B648" s="15" t="s">
        <v>160</v>
      </c>
      <c r="C648" s="15" t="s">
        <v>235</v>
      </c>
      <c r="D648" s="15" t="s">
        <v>236</v>
      </c>
      <c r="E648" s="19">
        <v>292663</v>
      </c>
      <c r="F648" s="19">
        <v>276244</v>
      </c>
      <c r="G648" s="20">
        <f t="shared" si="10"/>
        <v>0.48556969768345265</v>
      </c>
      <c r="H648" s="24" t="s">
        <v>558</v>
      </c>
      <c r="I648" s="24" t="s">
        <v>575</v>
      </c>
      <c r="J648" s="24" t="s">
        <v>576</v>
      </c>
      <c r="K648" s="24" t="s">
        <v>570</v>
      </c>
    </row>
    <row r="649" spans="1:11">
      <c r="A649" s="12">
        <v>2013</v>
      </c>
      <c r="B649" s="15" t="s">
        <v>160</v>
      </c>
      <c r="C649" s="15" t="s">
        <v>237</v>
      </c>
      <c r="D649" s="15" t="s">
        <v>238</v>
      </c>
      <c r="E649" s="19">
        <v>246103</v>
      </c>
      <c r="F649" s="19">
        <v>245507</v>
      </c>
      <c r="G649" s="20">
        <f t="shared" si="10"/>
        <v>0.49939382844124408</v>
      </c>
      <c r="H649" s="24" t="s">
        <v>558</v>
      </c>
      <c r="I649" s="24" t="s">
        <v>575</v>
      </c>
      <c r="J649" s="24" t="s">
        <v>576</v>
      </c>
      <c r="K649" s="24" t="s">
        <v>570</v>
      </c>
    </row>
    <row r="650" spans="1:11">
      <c r="A650" s="12">
        <v>2013</v>
      </c>
      <c r="B650" s="15" t="s">
        <v>160</v>
      </c>
      <c r="C650" s="15" t="s">
        <v>239</v>
      </c>
      <c r="D650" s="15" t="s">
        <v>240</v>
      </c>
      <c r="E650" s="19">
        <v>166462</v>
      </c>
      <c r="F650" s="19">
        <v>115462</v>
      </c>
      <c r="G650" s="20">
        <f t="shared" si="10"/>
        <v>0.40955009151402505</v>
      </c>
      <c r="H650" s="24" t="s">
        <v>558</v>
      </c>
      <c r="I650" s="24" t="s">
        <v>575</v>
      </c>
      <c r="J650" s="24" t="s">
        <v>576</v>
      </c>
      <c r="K650" s="24" t="s">
        <v>570</v>
      </c>
    </row>
    <row r="651" spans="1:11">
      <c r="A651" s="12">
        <v>2013</v>
      </c>
      <c r="B651" s="15" t="s">
        <v>160</v>
      </c>
      <c r="C651" s="15" t="s">
        <v>241</v>
      </c>
      <c r="D651" s="15" t="s">
        <v>242</v>
      </c>
      <c r="E651" s="19">
        <v>108081</v>
      </c>
      <c r="F651" s="19">
        <v>125524</v>
      </c>
      <c r="G651" s="20">
        <f t="shared" si="10"/>
        <v>0.53733438924680554</v>
      </c>
      <c r="H651" s="24" t="s">
        <v>558</v>
      </c>
      <c r="I651" s="24" t="s">
        <v>575</v>
      </c>
      <c r="J651" s="24" t="s">
        <v>576</v>
      </c>
      <c r="K651" s="24" t="s">
        <v>570</v>
      </c>
    </row>
    <row r="652" spans="1:11">
      <c r="A652" s="12">
        <v>2013</v>
      </c>
      <c r="B652" s="15" t="s">
        <v>160</v>
      </c>
      <c r="C652" s="15" t="s">
        <v>243</v>
      </c>
      <c r="D652" s="15" t="s">
        <v>244</v>
      </c>
      <c r="E652" s="19">
        <v>353345</v>
      </c>
      <c r="F652" s="19">
        <v>201642</v>
      </c>
      <c r="G652" s="20">
        <f t="shared" si="10"/>
        <v>0.36332742929113654</v>
      </c>
      <c r="H652" s="24" t="s">
        <v>558</v>
      </c>
      <c r="I652" s="24" t="s">
        <v>568</v>
      </c>
      <c r="J652" s="24" t="s">
        <v>569</v>
      </c>
      <c r="K652" s="24" t="s">
        <v>570</v>
      </c>
    </row>
    <row r="653" spans="1:11">
      <c r="A653" s="12">
        <v>2013</v>
      </c>
      <c r="B653" s="15" t="s">
        <v>160</v>
      </c>
      <c r="C653" s="15" t="s">
        <v>245</v>
      </c>
      <c r="D653" s="15" t="s">
        <v>246</v>
      </c>
      <c r="E653" s="19">
        <v>173022</v>
      </c>
      <c r="F653" s="19">
        <v>100372</v>
      </c>
      <c r="G653" s="20">
        <f t="shared" si="10"/>
        <v>0.36713314849630935</v>
      </c>
      <c r="H653" s="24" t="s">
        <v>558</v>
      </c>
      <c r="I653" s="24" t="s">
        <v>575</v>
      </c>
      <c r="J653" s="24" t="s">
        <v>576</v>
      </c>
      <c r="K653" s="24" t="s">
        <v>570</v>
      </c>
    </row>
    <row r="654" spans="1:11">
      <c r="A654" s="12">
        <v>2013</v>
      </c>
      <c r="B654" s="15" t="s">
        <v>160</v>
      </c>
      <c r="C654" s="15" t="s">
        <v>247</v>
      </c>
      <c r="D654" s="15" t="s">
        <v>248</v>
      </c>
      <c r="E654" s="19">
        <v>321061</v>
      </c>
      <c r="F654" s="19">
        <v>235239</v>
      </c>
      <c r="G654" s="20">
        <f t="shared" si="10"/>
        <v>0.42286356282581339</v>
      </c>
      <c r="H654" s="24" t="s">
        <v>558</v>
      </c>
      <c r="I654" s="24" t="s">
        <v>575</v>
      </c>
      <c r="J654" s="24" t="s">
        <v>576</v>
      </c>
      <c r="K654" s="24" t="s">
        <v>570</v>
      </c>
    </row>
    <row r="655" spans="1:11">
      <c r="A655" s="12">
        <v>2013</v>
      </c>
      <c r="B655" s="15" t="s">
        <v>160</v>
      </c>
      <c r="C655" s="15" t="s">
        <v>249</v>
      </c>
      <c r="D655" s="15" t="s">
        <v>250</v>
      </c>
      <c r="E655" s="19">
        <v>376806</v>
      </c>
      <c r="F655" s="19">
        <v>195183</v>
      </c>
      <c r="G655" s="20">
        <f t="shared" si="10"/>
        <v>0.34123558320177488</v>
      </c>
      <c r="H655" s="24" t="s">
        <v>558</v>
      </c>
      <c r="I655" s="24" t="s">
        <v>575</v>
      </c>
      <c r="J655" s="24" t="s">
        <v>576</v>
      </c>
      <c r="K655" s="24" t="s">
        <v>570</v>
      </c>
    </row>
    <row r="656" spans="1:11">
      <c r="A656" s="12">
        <v>2013</v>
      </c>
      <c r="B656" s="15" t="s">
        <v>160</v>
      </c>
      <c r="C656" s="15" t="s">
        <v>251</v>
      </c>
      <c r="D656" s="15" t="s">
        <v>252</v>
      </c>
      <c r="E656" s="19">
        <v>125353</v>
      </c>
      <c r="F656" s="19">
        <v>86760</v>
      </c>
      <c r="G656" s="20">
        <f t="shared" si="10"/>
        <v>0.4090272637697831</v>
      </c>
      <c r="H656" s="24" t="s">
        <v>558</v>
      </c>
      <c r="I656" s="24" t="s">
        <v>575</v>
      </c>
      <c r="J656" s="24" t="s">
        <v>576</v>
      </c>
      <c r="K656" s="24" t="s">
        <v>570</v>
      </c>
    </row>
    <row r="657" spans="1:11">
      <c r="A657" s="12">
        <v>2013</v>
      </c>
      <c r="B657" s="15" t="s">
        <v>160</v>
      </c>
      <c r="C657" s="15" t="s">
        <v>253</v>
      </c>
      <c r="D657" s="15" t="s">
        <v>254</v>
      </c>
      <c r="E657" s="19">
        <v>108500</v>
      </c>
      <c r="F657" s="19">
        <v>94581</v>
      </c>
      <c r="G657" s="20">
        <f t="shared" si="10"/>
        <v>0.46573042283620819</v>
      </c>
      <c r="H657" s="24" t="s">
        <v>558</v>
      </c>
      <c r="I657" s="24" t="s">
        <v>575</v>
      </c>
      <c r="J657" s="24" t="s">
        <v>576</v>
      </c>
      <c r="K657" s="24" t="s">
        <v>570</v>
      </c>
    </row>
    <row r="658" spans="1:11">
      <c r="A658" s="12">
        <v>2013</v>
      </c>
      <c r="B658" s="15" t="s">
        <v>160</v>
      </c>
      <c r="C658" s="15" t="s">
        <v>255</v>
      </c>
      <c r="D658" s="15" t="s">
        <v>256</v>
      </c>
      <c r="E658" s="19">
        <v>437211</v>
      </c>
      <c r="F658" s="19">
        <v>327116</v>
      </c>
      <c r="G658" s="20">
        <f t="shared" si="10"/>
        <v>0.42797912411834199</v>
      </c>
      <c r="H658" s="24" t="s">
        <v>558</v>
      </c>
      <c r="I658" s="24" t="s">
        <v>575</v>
      </c>
      <c r="J658" s="24" t="s">
        <v>576</v>
      </c>
      <c r="K658" s="24" t="s">
        <v>570</v>
      </c>
    </row>
    <row r="659" spans="1:11">
      <c r="A659" s="12">
        <v>2013</v>
      </c>
      <c r="B659" s="15" t="s">
        <v>257</v>
      </c>
      <c r="C659" s="15" t="s">
        <v>22</v>
      </c>
      <c r="D659" s="15" t="s">
        <v>257</v>
      </c>
      <c r="E659" s="19">
        <v>1336037</v>
      </c>
      <c r="F659" s="19">
        <v>403638</v>
      </c>
      <c r="G659" s="20">
        <f t="shared" si="10"/>
        <v>0.23201919898831677</v>
      </c>
      <c r="H659" s="24" t="s">
        <v>558</v>
      </c>
      <c r="I659" s="24" t="s">
        <v>575</v>
      </c>
      <c r="J659" s="24" t="s">
        <v>576</v>
      </c>
      <c r="K659" s="24" t="s">
        <v>570</v>
      </c>
    </row>
    <row r="660" spans="1:11">
      <c r="A660" s="12">
        <v>2013</v>
      </c>
      <c r="B660" s="15" t="s">
        <v>257</v>
      </c>
      <c r="C660" s="15" t="s">
        <v>258</v>
      </c>
      <c r="D660" s="15" t="s">
        <v>259</v>
      </c>
      <c r="E660" s="19">
        <v>186424</v>
      </c>
      <c r="F660" s="19">
        <v>55767</v>
      </c>
      <c r="G660" s="20">
        <f t="shared" si="10"/>
        <v>0.23026041430110947</v>
      </c>
      <c r="H660" s="24" t="s">
        <v>558</v>
      </c>
      <c r="I660" s="24" t="s">
        <v>575</v>
      </c>
      <c r="J660" s="24" t="s">
        <v>576</v>
      </c>
      <c r="K660" s="24" t="s">
        <v>570</v>
      </c>
    </row>
    <row r="661" spans="1:11">
      <c r="A661" s="12">
        <v>2013</v>
      </c>
      <c r="B661" s="15" t="s">
        <v>257</v>
      </c>
      <c r="C661" s="15" t="s">
        <v>260</v>
      </c>
      <c r="D661" s="15" t="s">
        <v>261</v>
      </c>
      <c r="E661" s="19">
        <v>17433</v>
      </c>
      <c r="F661" s="19">
        <v>24441</v>
      </c>
      <c r="G661" s="20">
        <f t="shared" si="10"/>
        <v>0.58367961025934945</v>
      </c>
      <c r="H661" s="24" t="s">
        <v>558</v>
      </c>
      <c r="I661" s="24" t="s">
        <v>575</v>
      </c>
      <c r="J661" s="24" t="s">
        <v>576</v>
      </c>
      <c r="K661" s="24" t="s">
        <v>570</v>
      </c>
    </row>
    <row r="662" spans="1:11">
      <c r="A662" s="12">
        <v>2013</v>
      </c>
      <c r="B662" s="15" t="s">
        <v>257</v>
      </c>
      <c r="C662" s="15" t="s">
        <v>262</v>
      </c>
      <c r="D662" s="15" t="s">
        <v>263</v>
      </c>
      <c r="E662" s="19">
        <v>81402</v>
      </c>
      <c r="F662" s="19">
        <v>41818</v>
      </c>
      <c r="G662" s="20">
        <f t="shared" si="10"/>
        <v>0.33937672455770168</v>
      </c>
      <c r="H662" s="24" t="s">
        <v>558</v>
      </c>
      <c r="I662" s="24" t="s">
        <v>575</v>
      </c>
      <c r="J662" s="24" t="s">
        <v>576</v>
      </c>
      <c r="K662" s="24" t="s">
        <v>570</v>
      </c>
    </row>
    <row r="663" spans="1:11">
      <c r="A663" s="12">
        <v>2013</v>
      </c>
      <c r="B663" s="15" t="s">
        <v>257</v>
      </c>
      <c r="C663" s="15" t="s">
        <v>264</v>
      </c>
      <c r="D663" s="15" t="s">
        <v>265</v>
      </c>
      <c r="E663" s="19">
        <v>58111</v>
      </c>
      <c r="F663" s="19">
        <v>42903</v>
      </c>
      <c r="G663" s="20">
        <f t="shared" si="10"/>
        <v>0.42472330568040073</v>
      </c>
      <c r="H663" s="24" t="s">
        <v>558</v>
      </c>
      <c r="I663" s="24" t="s">
        <v>575</v>
      </c>
      <c r="J663" s="24" t="s">
        <v>576</v>
      </c>
      <c r="K663" s="24" t="s">
        <v>570</v>
      </c>
    </row>
    <row r="664" spans="1:11">
      <c r="A664" s="12">
        <v>2013</v>
      </c>
      <c r="B664" s="15" t="s">
        <v>257</v>
      </c>
      <c r="C664" s="15" t="s">
        <v>266</v>
      </c>
      <c r="D664" s="15" t="s">
        <v>267</v>
      </c>
      <c r="E664" s="19">
        <v>70527</v>
      </c>
      <c r="F664" s="19">
        <v>32685</v>
      </c>
      <c r="G664" s="20">
        <f t="shared" si="10"/>
        <v>0.31667829322171842</v>
      </c>
      <c r="H664" s="24" t="s">
        <v>558</v>
      </c>
      <c r="I664" s="24" t="s">
        <v>575</v>
      </c>
      <c r="J664" s="24" t="s">
        <v>576</v>
      </c>
      <c r="K664" s="24" t="s">
        <v>570</v>
      </c>
    </row>
    <row r="665" spans="1:11">
      <c r="A665" s="12">
        <v>2013</v>
      </c>
      <c r="B665" s="15" t="s">
        <v>257</v>
      </c>
      <c r="C665" s="15" t="s">
        <v>268</v>
      </c>
      <c r="D665" s="15" t="s">
        <v>269</v>
      </c>
      <c r="E665" s="19">
        <v>17218</v>
      </c>
      <c r="F665" s="19">
        <v>16834</v>
      </c>
      <c r="G665" s="20">
        <f t="shared" si="10"/>
        <v>0.49436156466580522</v>
      </c>
      <c r="H665" s="24" t="s">
        <v>558</v>
      </c>
      <c r="I665" s="24" t="s">
        <v>575</v>
      </c>
      <c r="J665" s="24" t="s">
        <v>576</v>
      </c>
      <c r="K665" s="24" t="s">
        <v>570</v>
      </c>
    </row>
    <row r="666" spans="1:11">
      <c r="A666" s="12">
        <v>2013</v>
      </c>
      <c r="B666" s="15" t="s">
        <v>257</v>
      </c>
      <c r="C666" s="15" t="s">
        <v>270</v>
      </c>
      <c r="D666" s="15" t="s">
        <v>271</v>
      </c>
      <c r="E666" s="19">
        <v>17702</v>
      </c>
      <c r="F666" s="19">
        <v>22386</v>
      </c>
      <c r="G666" s="20">
        <f t="shared" si="10"/>
        <v>0.55842147275992815</v>
      </c>
      <c r="H666" s="24" t="s">
        <v>558</v>
      </c>
      <c r="I666" s="24" t="s">
        <v>575</v>
      </c>
      <c r="J666" s="24" t="s">
        <v>576</v>
      </c>
      <c r="K666" s="24" t="s">
        <v>570</v>
      </c>
    </row>
    <row r="667" spans="1:11">
      <c r="A667" s="12">
        <v>2013</v>
      </c>
      <c r="B667" s="15" t="s">
        <v>257</v>
      </c>
      <c r="C667" s="15" t="s">
        <v>272</v>
      </c>
      <c r="D667" s="15" t="s">
        <v>273</v>
      </c>
      <c r="E667" s="19">
        <v>30051</v>
      </c>
      <c r="F667" s="19">
        <v>27064</v>
      </c>
      <c r="G667" s="20">
        <f t="shared" si="10"/>
        <v>0.4738510023636523</v>
      </c>
      <c r="H667" s="24" t="s">
        <v>558</v>
      </c>
      <c r="I667" s="24" t="s">
        <v>575</v>
      </c>
      <c r="J667" s="24" t="s">
        <v>576</v>
      </c>
      <c r="K667" s="24" t="s">
        <v>570</v>
      </c>
    </row>
    <row r="668" spans="1:11">
      <c r="A668" s="12">
        <v>2013</v>
      </c>
      <c r="B668" s="15" t="s">
        <v>257</v>
      </c>
      <c r="C668" s="15" t="s">
        <v>274</v>
      </c>
      <c r="D668" s="15" t="s">
        <v>275</v>
      </c>
      <c r="E668" s="19">
        <v>284002</v>
      </c>
      <c r="F668" s="19">
        <v>86799</v>
      </c>
      <c r="G668" s="20">
        <f t="shared" si="10"/>
        <v>0.23408512922025562</v>
      </c>
      <c r="H668" s="24" t="s">
        <v>558</v>
      </c>
      <c r="I668" s="24" t="s">
        <v>575</v>
      </c>
      <c r="J668" s="24" t="s">
        <v>576</v>
      </c>
      <c r="K668" s="24" t="s">
        <v>570</v>
      </c>
    </row>
    <row r="669" spans="1:11">
      <c r="A669" s="12">
        <v>2013</v>
      </c>
      <c r="B669" s="15" t="s">
        <v>257</v>
      </c>
      <c r="C669" s="15" t="s">
        <v>276</v>
      </c>
      <c r="D669" s="15" t="s">
        <v>277</v>
      </c>
      <c r="E669" s="19">
        <v>24661</v>
      </c>
      <c r="F669" s="19">
        <v>22639</v>
      </c>
      <c r="G669" s="20">
        <f t="shared" si="10"/>
        <v>0.47862579281183931</v>
      </c>
      <c r="H669" s="24" t="s">
        <v>558</v>
      </c>
      <c r="I669" s="24" t="s">
        <v>575</v>
      </c>
      <c r="J669" s="24" t="s">
        <v>576</v>
      </c>
      <c r="K669" s="24" t="s">
        <v>570</v>
      </c>
    </row>
    <row r="670" spans="1:11">
      <c r="A670" s="12">
        <v>2013</v>
      </c>
      <c r="B670" s="15" t="s">
        <v>257</v>
      </c>
      <c r="C670" s="15" t="s">
        <v>278</v>
      </c>
      <c r="D670" s="15" t="s">
        <v>279</v>
      </c>
      <c r="E670" s="19">
        <v>27547</v>
      </c>
      <c r="F670" s="19">
        <v>29441</v>
      </c>
      <c r="G670" s="20">
        <f t="shared" si="10"/>
        <v>0.51661753351582784</v>
      </c>
      <c r="H670" s="24" t="s">
        <v>558</v>
      </c>
      <c r="I670" s="24" t="s">
        <v>575</v>
      </c>
      <c r="J670" s="24" t="s">
        <v>576</v>
      </c>
      <c r="K670" s="24" t="s">
        <v>570</v>
      </c>
    </row>
    <row r="671" spans="1:11">
      <c r="A671" s="12">
        <v>2013</v>
      </c>
      <c r="B671" s="15" t="s">
        <v>257</v>
      </c>
      <c r="C671" s="15" t="s">
        <v>280</v>
      </c>
      <c r="D671" s="15" t="s">
        <v>281</v>
      </c>
      <c r="E671" s="19">
        <v>37200</v>
      </c>
      <c r="F671" s="19">
        <v>31755</v>
      </c>
      <c r="G671" s="20">
        <f t="shared" si="10"/>
        <v>0.46051772895366544</v>
      </c>
      <c r="H671" s="24" t="s">
        <v>558</v>
      </c>
      <c r="I671" s="24" t="s">
        <v>575</v>
      </c>
      <c r="J671" s="24" t="s">
        <v>576</v>
      </c>
      <c r="K671" s="24" t="s">
        <v>570</v>
      </c>
    </row>
    <row r="672" spans="1:11">
      <c r="A672" s="12">
        <v>2013</v>
      </c>
      <c r="B672" s="15" t="s">
        <v>257</v>
      </c>
      <c r="C672" s="15" t="s">
        <v>282</v>
      </c>
      <c r="D672" s="15" t="s">
        <v>283</v>
      </c>
      <c r="E672" s="19">
        <v>238857</v>
      </c>
      <c r="F672" s="19">
        <v>71996</v>
      </c>
      <c r="G672" s="20">
        <f t="shared" si="10"/>
        <v>0.23160786609748016</v>
      </c>
      <c r="H672" s="24" t="s">
        <v>558</v>
      </c>
      <c r="I672" s="24" t="s">
        <v>575</v>
      </c>
      <c r="J672" s="24" t="s">
        <v>576</v>
      </c>
      <c r="K672" s="24" t="s">
        <v>570</v>
      </c>
    </row>
    <row r="673" spans="1:11">
      <c r="A673" s="12">
        <v>2013</v>
      </c>
      <c r="B673" s="15" t="s">
        <v>257</v>
      </c>
      <c r="C673" s="15" t="s">
        <v>284</v>
      </c>
      <c r="D673" s="15" t="s">
        <v>285</v>
      </c>
      <c r="E673" s="19">
        <v>40088</v>
      </c>
      <c r="F673" s="19">
        <v>25191</v>
      </c>
      <c r="G673" s="20">
        <f t="shared" si="10"/>
        <v>0.38589745553700272</v>
      </c>
      <c r="H673" s="24" t="s">
        <v>558</v>
      </c>
      <c r="I673" s="24" t="s">
        <v>575</v>
      </c>
      <c r="J673" s="24" t="s">
        <v>576</v>
      </c>
      <c r="K673" s="24" t="s">
        <v>570</v>
      </c>
    </row>
    <row r="674" spans="1:11">
      <c r="A674" s="12">
        <v>2013</v>
      </c>
      <c r="B674" s="15" t="s">
        <v>257</v>
      </c>
      <c r="C674" s="15" t="s">
        <v>286</v>
      </c>
      <c r="D674" s="15" t="s">
        <v>287</v>
      </c>
      <c r="E674" s="19">
        <v>31219</v>
      </c>
      <c r="F674" s="19">
        <v>32460</v>
      </c>
      <c r="G674" s="20">
        <f t="shared" si="10"/>
        <v>0.50974418568130786</v>
      </c>
      <c r="H674" s="24" t="s">
        <v>558</v>
      </c>
      <c r="I674" s="24" t="s">
        <v>575</v>
      </c>
      <c r="J674" s="24" t="s">
        <v>576</v>
      </c>
      <c r="K674" s="24" t="s">
        <v>570</v>
      </c>
    </row>
    <row r="675" spans="1:11">
      <c r="A675" s="12">
        <v>2013</v>
      </c>
      <c r="B675" s="15" t="s">
        <v>257</v>
      </c>
      <c r="C675" s="15" t="s">
        <v>288</v>
      </c>
      <c r="D675" s="15" t="s">
        <v>289</v>
      </c>
      <c r="E675" s="19">
        <v>56007</v>
      </c>
      <c r="F675" s="19">
        <v>38831</v>
      </c>
      <c r="G675" s="20">
        <f t="shared" si="10"/>
        <v>0.40944558088529914</v>
      </c>
      <c r="H675" s="24" t="s">
        <v>558</v>
      </c>
      <c r="I675" s="24" t="s">
        <v>575</v>
      </c>
      <c r="J675" s="24" t="s">
        <v>576</v>
      </c>
      <c r="K675" s="24" t="s">
        <v>570</v>
      </c>
    </row>
    <row r="676" spans="1:11">
      <c r="A676" s="12">
        <v>2013</v>
      </c>
      <c r="B676" s="15" t="s">
        <v>257</v>
      </c>
      <c r="C676" s="15" t="s">
        <v>290</v>
      </c>
      <c r="D676" s="15" t="s">
        <v>291</v>
      </c>
      <c r="E676" s="19">
        <v>17457</v>
      </c>
      <c r="F676" s="19">
        <v>19234</v>
      </c>
      <c r="G676" s="20">
        <f t="shared" si="10"/>
        <v>0.52421574773105117</v>
      </c>
      <c r="H676" s="24" t="s">
        <v>558</v>
      </c>
      <c r="I676" s="24" t="s">
        <v>575</v>
      </c>
      <c r="J676" s="24" t="s">
        <v>576</v>
      </c>
      <c r="K676" s="24" t="s">
        <v>570</v>
      </c>
    </row>
    <row r="677" spans="1:11">
      <c r="A677" s="12">
        <v>2013</v>
      </c>
      <c r="B677" s="15" t="s">
        <v>257</v>
      </c>
      <c r="C677" s="15" t="s">
        <v>292</v>
      </c>
      <c r="D677" s="15" t="s">
        <v>293</v>
      </c>
      <c r="E677" s="19">
        <v>33457</v>
      </c>
      <c r="F677" s="19">
        <v>32496</v>
      </c>
      <c r="G677" s="20">
        <f t="shared" si="10"/>
        <v>0.49271450881688478</v>
      </c>
      <c r="H677" s="24" t="s">
        <v>558</v>
      </c>
      <c r="I677" s="24" t="s">
        <v>575</v>
      </c>
      <c r="J677" s="24" t="s">
        <v>576</v>
      </c>
      <c r="K677" s="24" t="s">
        <v>570</v>
      </c>
    </row>
    <row r="678" spans="1:11">
      <c r="A678" s="12">
        <v>2013</v>
      </c>
      <c r="B678" s="15" t="s">
        <v>294</v>
      </c>
      <c r="C678" s="15" t="s">
        <v>22</v>
      </c>
      <c r="D678" s="15" t="s">
        <v>294</v>
      </c>
      <c r="E678" s="19">
        <v>1400577</v>
      </c>
      <c r="F678" s="19">
        <v>450981</v>
      </c>
      <c r="G678" s="20">
        <f t="shared" si="10"/>
        <v>0.24356838943203507</v>
      </c>
      <c r="H678" s="24" t="s">
        <v>555</v>
      </c>
      <c r="I678" s="24" t="s">
        <v>559</v>
      </c>
      <c r="J678" s="24" t="s">
        <v>574</v>
      </c>
      <c r="K678" s="24" t="s">
        <v>570</v>
      </c>
    </row>
    <row r="679" spans="1:11">
      <c r="A679" s="12">
        <v>2013</v>
      </c>
      <c r="B679" s="15" t="s">
        <v>294</v>
      </c>
      <c r="C679" s="15" t="s">
        <v>295</v>
      </c>
      <c r="D679" s="15" t="s">
        <v>296</v>
      </c>
      <c r="E679" s="19">
        <v>25631</v>
      </c>
      <c r="F679" s="19">
        <v>30216</v>
      </c>
      <c r="G679" s="20">
        <f t="shared" si="10"/>
        <v>0.54104965351764644</v>
      </c>
      <c r="H679" s="24" t="s">
        <v>555</v>
      </c>
      <c r="I679" s="24" t="s">
        <v>559</v>
      </c>
      <c r="J679" s="24" t="s">
        <v>574</v>
      </c>
      <c r="K679" s="24" t="s">
        <v>570</v>
      </c>
    </row>
    <row r="680" spans="1:11">
      <c r="A680" s="12">
        <v>2013</v>
      </c>
      <c r="B680" s="15" t="s">
        <v>294</v>
      </c>
      <c r="C680" s="15" t="s">
        <v>297</v>
      </c>
      <c r="D680" s="15" t="s">
        <v>298</v>
      </c>
      <c r="E680" s="19">
        <v>22573</v>
      </c>
      <c r="F680" s="19">
        <v>24433</v>
      </c>
      <c r="G680" s="20">
        <f t="shared" si="10"/>
        <v>0.51978470833510615</v>
      </c>
      <c r="H680" s="24" t="s">
        <v>555</v>
      </c>
      <c r="I680" s="24" t="s">
        <v>559</v>
      </c>
      <c r="J680" s="24" t="s">
        <v>574</v>
      </c>
      <c r="K680" s="24" t="s">
        <v>570</v>
      </c>
    </row>
    <row r="681" spans="1:11">
      <c r="A681" s="12">
        <v>2013</v>
      </c>
      <c r="B681" s="15" t="s">
        <v>294</v>
      </c>
      <c r="C681" s="15" t="s">
        <v>299</v>
      </c>
      <c r="D681" s="15" t="s">
        <v>300</v>
      </c>
      <c r="E681" s="19">
        <v>27121</v>
      </c>
      <c r="F681" s="19">
        <v>22688</v>
      </c>
      <c r="G681" s="20">
        <f t="shared" si="10"/>
        <v>0.4555000100383465</v>
      </c>
      <c r="H681" s="24" t="s">
        <v>555</v>
      </c>
      <c r="I681" s="24" t="s">
        <v>559</v>
      </c>
      <c r="J681" s="24" t="s">
        <v>574</v>
      </c>
      <c r="K681" s="24" t="s">
        <v>570</v>
      </c>
    </row>
    <row r="682" spans="1:11">
      <c r="A682" s="12">
        <v>2013</v>
      </c>
      <c r="B682" s="15" t="s">
        <v>294</v>
      </c>
      <c r="C682" s="15" t="s">
        <v>301</v>
      </c>
      <c r="D682" s="15" t="s">
        <v>302</v>
      </c>
      <c r="E682" s="19">
        <v>40796</v>
      </c>
      <c r="F682" s="19">
        <v>31861</v>
      </c>
      <c r="G682" s="20">
        <f t="shared" si="10"/>
        <v>0.43851246266705202</v>
      </c>
      <c r="H682" s="24" t="s">
        <v>555</v>
      </c>
      <c r="I682" s="24" t="s">
        <v>559</v>
      </c>
      <c r="J682" s="24" t="s">
        <v>574</v>
      </c>
      <c r="K682" s="24" t="s">
        <v>570</v>
      </c>
    </row>
    <row r="683" spans="1:11">
      <c r="A683" s="12">
        <v>2013</v>
      </c>
      <c r="B683" s="15" t="s">
        <v>294</v>
      </c>
      <c r="C683" s="15" t="s">
        <v>303</v>
      </c>
      <c r="D683" s="15" t="s">
        <v>304</v>
      </c>
      <c r="E683" s="19">
        <v>43653</v>
      </c>
      <c r="F683" s="19">
        <v>33655</v>
      </c>
      <c r="G683" s="20">
        <f t="shared" si="10"/>
        <v>0.43533657577482276</v>
      </c>
      <c r="H683" s="24" t="s">
        <v>555</v>
      </c>
      <c r="I683" s="24" t="s">
        <v>559</v>
      </c>
      <c r="J683" s="24" t="s">
        <v>574</v>
      </c>
      <c r="K683" s="24" t="s">
        <v>570</v>
      </c>
    </row>
    <row r="684" spans="1:11">
      <c r="A684" s="12">
        <v>2013</v>
      </c>
      <c r="B684" s="15" t="s">
        <v>294</v>
      </c>
      <c r="C684" s="15" t="s">
        <v>305</v>
      </c>
      <c r="D684" s="15" t="s">
        <v>306</v>
      </c>
      <c r="E684" s="19">
        <v>77171</v>
      </c>
      <c r="F684" s="19">
        <v>65457</v>
      </c>
      <c r="G684" s="20">
        <f t="shared" si="10"/>
        <v>0.45893513195165042</v>
      </c>
      <c r="H684" s="24" t="s">
        <v>555</v>
      </c>
      <c r="I684" s="24" t="s">
        <v>559</v>
      </c>
      <c r="J684" s="24" t="s">
        <v>574</v>
      </c>
      <c r="K684" s="24" t="s">
        <v>570</v>
      </c>
    </row>
    <row r="685" spans="1:11">
      <c r="A685" s="12">
        <v>2013</v>
      </c>
      <c r="B685" s="15" t="s">
        <v>294</v>
      </c>
      <c r="C685" s="15" t="s">
        <v>307</v>
      </c>
      <c r="D685" s="15" t="s">
        <v>308</v>
      </c>
      <c r="E685" s="19">
        <v>118881</v>
      </c>
      <c r="F685" s="19">
        <v>54673</v>
      </c>
      <c r="G685" s="20">
        <f t="shared" si="10"/>
        <v>0.31502010901506161</v>
      </c>
      <c r="H685" s="24" t="s">
        <v>555</v>
      </c>
      <c r="I685" s="24" t="s">
        <v>559</v>
      </c>
      <c r="J685" s="24" t="s">
        <v>574</v>
      </c>
      <c r="K685" s="24" t="s">
        <v>570</v>
      </c>
    </row>
    <row r="686" spans="1:11">
      <c r="A686" s="12">
        <v>2013</v>
      </c>
      <c r="B686" s="15" t="s">
        <v>294</v>
      </c>
      <c r="C686" s="15" t="s">
        <v>309</v>
      </c>
      <c r="D686" s="15" t="s">
        <v>310</v>
      </c>
      <c r="E686" s="19">
        <v>27453</v>
      </c>
      <c r="F686" s="19">
        <v>24074</v>
      </c>
      <c r="G686" s="20">
        <f t="shared" si="10"/>
        <v>0.46721136491548121</v>
      </c>
      <c r="H686" s="24" t="s">
        <v>555</v>
      </c>
      <c r="I686" s="24" t="s">
        <v>559</v>
      </c>
      <c r="J686" s="24" t="s">
        <v>574</v>
      </c>
      <c r="K686" s="24" t="s">
        <v>570</v>
      </c>
    </row>
    <row r="687" spans="1:11">
      <c r="A687" s="12">
        <v>2013</v>
      </c>
      <c r="B687" s="15" t="s">
        <v>294</v>
      </c>
      <c r="C687" s="15" t="s">
        <v>311</v>
      </c>
      <c r="D687" s="15" t="s">
        <v>312</v>
      </c>
      <c r="E687" s="19">
        <v>53643</v>
      </c>
      <c r="F687" s="19">
        <v>40120</v>
      </c>
      <c r="G687" s="20">
        <f t="shared" si="10"/>
        <v>0.42788733295649672</v>
      </c>
      <c r="H687" s="24" t="s">
        <v>555</v>
      </c>
      <c r="I687" s="24" t="s">
        <v>559</v>
      </c>
      <c r="J687" s="24" t="s">
        <v>574</v>
      </c>
      <c r="K687" s="24" t="s">
        <v>570</v>
      </c>
    </row>
    <row r="688" spans="1:11">
      <c r="A688" s="12">
        <v>2013</v>
      </c>
      <c r="B688" s="15" t="s">
        <v>294</v>
      </c>
      <c r="C688" s="15" t="s">
        <v>313</v>
      </c>
      <c r="D688" s="15" t="s">
        <v>314</v>
      </c>
      <c r="E688" s="19">
        <v>99618</v>
      </c>
      <c r="F688" s="19">
        <v>124711</v>
      </c>
      <c r="G688" s="20">
        <f t="shared" si="10"/>
        <v>0.5559290149735433</v>
      </c>
      <c r="H688" s="24" t="s">
        <v>555</v>
      </c>
      <c r="I688" s="24" t="s">
        <v>559</v>
      </c>
      <c r="J688" s="24" t="s">
        <v>574</v>
      </c>
      <c r="K688" s="24" t="s">
        <v>570</v>
      </c>
    </row>
    <row r="689" spans="1:11">
      <c r="A689" s="12">
        <v>2013</v>
      </c>
      <c r="B689" s="15" t="s">
        <v>294</v>
      </c>
      <c r="C689" s="15" t="s">
        <v>315</v>
      </c>
      <c r="D689" s="15" t="s">
        <v>316</v>
      </c>
      <c r="E689" s="19">
        <v>209407</v>
      </c>
      <c r="F689" s="19">
        <v>141752</v>
      </c>
      <c r="G689" s="20">
        <f t="shared" si="10"/>
        <v>0.40366899324807282</v>
      </c>
      <c r="H689" s="24" t="s">
        <v>555</v>
      </c>
      <c r="I689" s="24" t="s">
        <v>559</v>
      </c>
      <c r="J689" s="24" t="s">
        <v>574</v>
      </c>
      <c r="K689" s="24" t="s">
        <v>570</v>
      </c>
    </row>
    <row r="690" spans="1:11">
      <c r="A690" s="12">
        <v>2013</v>
      </c>
      <c r="B690" s="15" t="s">
        <v>294</v>
      </c>
      <c r="C690" s="15" t="s">
        <v>321</v>
      </c>
      <c r="D690" s="15" t="s">
        <v>322</v>
      </c>
      <c r="E690" s="19">
        <v>367318</v>
      </c>
      <c r="F690" s="19">
        <v>223537</v>
      </c>
      <c r="G690" s="20">
        <f t="shared" si="10"/>
        <v>0.37832801617994261</v>
      </c>
      <c r="H690" s="24" t="s">
        <v>555</v>
      </c>
      <c r="I690" s="24" t="s">
        <v>559</v>
      </c>
      <c r="J690" s="24" t="s">
        <v>574</v>
      </c>
      <c r="K690" s="24" t="s">
        <v>570</v>
      </c>
    </row>
    <row r="691" spans="1:11">
      <c r="A691" s="12">
        <v>2013</v>
      </c>
      <c r="B691" s="15" t="s">
        <v>294</v>
      </c>
      <c r="C691" s="15" t="s">
        <v>323</v>
      </c>
      <c r="D691" s="15" t="s">
        <v>324</v>
      </c>
      <c r="E691" s="19">
        <v>181482</v>
      </c>
      <c r="F691" s="19">
        <v>70932</v>
      </c>
      <c r="G691" s="20">
        <f t="shared" si="10"/>
        <v>0.2810145237585871</v>
      </c>
      <c r="H691" s="24" t="s">
        <v>555</v>
      </c>
      <c r="I691" s="24" t="s">
        <v>559</v>
      </c>
      <c r="J691" s="24" t="s">
        <v>574</v>
      </c>
      <c r="K691" s="24" t="s">
        <v>570</v>
      </c>
    </row>
    <row r="692" spans="1:11">
      <c r="A692" s="12">
        <v>2013</v>
      </c>
      <c r="B692" s="15" t="s">
        <v>325</v>
      </c>
      <c r="C692" s="15" t="s">
        <v>22</v>
      </c>
      <c r="D692" s="15" t="s">
        <v>325</v>
      </c>
      <c r="E692" s="19">
        <v>1806747</v>
      </c>
      <c r="F692" s="19">
        <v>736757</v>
      </c>
      <c r="G692" s="20">
        <f t="shared" si="10"/>
        <v>0.28966221401656927</v>
      </c>
      <c r="H692" s="24" t="s">
        <v>555</v>
      </c>
      <c r="I692" s="24" t="s">
        <v>559</v>
      </c>
      <c r="J692" s="24" t="s">
        <v>574</v>
      </c>
      <c r="K692" s="24" t="s">
        <v>570</v>
      </c>
    </row>
    <row r="693" spans="1:11">
      <c r="A693" s="12">
        <v>2013</v>
      </c>
      <c r="B693" s="15" t="s">
        <v>325</v>
      </c>
      <c r="C693" s="15" t="s">
        <v>326</v>
      </c>
      <c r="D693" s="15" t="s">
        <v>327</v>
      </c>
      <c r="E693" s="19">
        <v>31577</v>
      </c>
      <c r="F693" s="19">
        <v>30249</v>
      </c>
      <c r="G693" s="20">
        <f t="shared" si="10"/>
        <v>0.48926018180053699</v>
      </c>
      <c r="H693" s="24" t="s">
        <v>555</v>
      </c>
      <c r="I693" s="24" t="s">
        <v>559</v>
      </c>
      <c r="J693" s="24" t="s">
        <v>574</v>
      </c>
      <c r="K693" s="24" t="s">
        <v>570</v>
      </c>
    </row>
    <row r="694" spans="1:11">
      <c r="A694" s="12">
        <v>2013</v>
      </c>
      <c r="B694" s="15" t="s">
        <v>325</v>
      </c>
      <c r="C694" s="15" t="s">
        <v>328</v>
      </c>
      <c r="D694" s="15" t="s">
        <v>329</v>
      </c>
      <c r="E694" s="19">
        <v>95947</v>
      </c>
      <c r="F694" s="19">
        <v>61258</v>
      </c>
      <c r="G694" s="20">
        <f t="shared" si="10"/>
        <v>0.38966953977290797</v>
      </c>
      <c r="H694" s="24" t="s">
        <v>555</v>
      </c>
      <c r="I694" s="24" t="s">
        <v>559</v>
      </c>
      <c r="J694" s="24" t="s">
        <v>574</v>
      </c>
      <c r="K694" s="24" t="s">
        <v>570</v>
      </c>
    </row>
    <row r="695" spans="1:11">
      <c r="A695" s="12">
        <v>2013</v>
      </c>
      <c r="B695" s="15" t="s">
        <v>325</v>
      </c>
      <c r="C695" s="15" t="s">
        <v>330</v>
      </c>
      <c r="D695" s="15" t="s">
        <v>331</v>
      </c>
      <c r="E695" s="19">
        <v>44204</v>
      </c>
      <c r="F695" s="19">
        <v>37678</v>
      </c>
      <c r="G695" s="20">
        <f t="shared" si="10"/>
        <v>0.46014997191079848</v>
      </c>
      <c r="H695" s="24" t="s">
        <v>555</v>
      </c>
      <c r="I695" s="24" t="s">
        <v>559</v>
      </c>
      <c r="J695" s="24" t="s">
        <v>574</v>
      </c>
      <c r="K695" s="24" t="s">
        <v>570</v>
      </c>
    </row>
    <row r="696" spans="1:11">
      <c r="A696" s="12">
        <v>2013</v>
      </c>
      <c r="B696" s="15" t="s">
        <v>325</v>
      </c>
      <c r="C696" s="15" t="s">
        <v>332</v>
      </c>
      <c r="D696" s="15" t="s">
        <v>333</v>
      </c>
      <c r="E696" s="19">
        <v>105527</v>
      </c>
      <c r="F696" s="19">
        <v>67393</v>
      </c>
      <c r="G696" s="20">
        <f t="shared" si="10"/>
        <v>0.38973513763590101</v>
      </c>
      <c r="H696" s="24" t="s">
        <v>555</v>
      </c>
      <c r="I696" s="24" t="s">
        <v>559</v>
      </c>
      <c r="J696" s="24" t="s">
        <v>574</v>
      </c>
      <c r="K696" s="24" t="s">
        <v>570</v>
      </c>
    </row>
    <row r="697" spans="1:11">
      <c r="A697" s="12">
        <v>2013</v>
      </c>
      <c r="B697" s="15" t="s">
        <v>325</v>
      </c>
      <c r="C697" s="15" t="s">
        <v>336</v>
      </c>
      <c r="D697" s="15" t="s">
        <v>337</v>
      </c>
      <c r="E697" s="19">
        <v>136015</v>
      </c>
      <c r="F697" s="19">
        <v>82206</v>
      </c>
      <c r="G697" s="20">
        <f t="shared" si="10"/>
        <v>0.37670984918958306</v>
      </c>
      <c r="H697" s="24" t="s">
        <v>555</v>
      </c>
      <c r="I697" s="24" t="s">
        <v>559</v>
      </c>
      <c r="J697" s="24" t="s">
        <v>574</v>
      </c>
      <c r="K697" s="24" t="s">
        <v>570</v>
      </c>
    </row>
    <row r="698" spans="1:11">
      <c r="A698" s="12">
        <v>2013</v>
      </c>
      <c r="B698" s="15" t="s">
        <v>325</v>
      </c>
      <c r="C698" s="15" t="s">
        <v>338</v>
      </c>
      <c r="D698" s="15" t="s">
        <v>339</v>
      </c>
      <c r="E698" s="19">
        <v>90013</v>
      </c>
      <c r="F698" s="19">
        <v>50015</v>
      </c>
      <c r="G698" s="20">
        <f t="shared" si="10"/>
        <v>0.35717856428714256</v>
      </c>
      <c r="H698" s="24" t="s">
        <v>555</v>
      </c>
      <c r="I698" s="24" t="s">
        <v>559</v>
      </c>
      <c r="J698" s="24" t="s">
        <v>574</v>
      </c>
      <c r="K698" s="24" t="s">
        <v>570</v>
      </c>
    </row>
    <row r="699" spans="1:11">
      <c r="A699" s="12">
        <v>2013</v>
      </c>
      <c r="B699" s="15" t="s">
        <v>325</v>
      </c>
      <c r="C699" s="15" t="s">
        <v>340</v>
      </c>
      <c r="D699" s="15" t="s">
        <v>341</v>
      </c>
      <c r="E699" s="19">
        <v>58388</v>
      </c>
      <c r="F699" s="19">
        <v>49085</v>
      </c>
      <c r="G699" s="20">
        <f t="shared" si="10"/>
        <v>0.45671936207233443</v>
      </c>
      <c r="H699" s="24" t="s">
        <v>555</v>
      </c>
      <c r="I699" s="24" t="s">
        <v>559</v>
      </c>
      <c r="J699" s="24" t="s">
        <v>574</v>
      </c>
      <c r="K699" s="24" t="s">
        <v>570</v>
      </c>
    </row>
    <row r="700" spans="1:11">
      <c r="A700" s="12">
        <v>2013</v>
      </c>
      <c r="B700" s="15" t="s">
        <v>325</v>
      </c>
      <c r="C700" s="15" t="s">
        <v>342</v>
      </c>
      <c r="D700" s="15" t="s">
        <v>343</v>
      </c>
      <c r="E700" s="19">
        <v>144233</v>
      </c>
      <c r="F700" s="19">
        <v>74545</v>
      </c>
      <c r="G700" s="20">
        <f t="shared" si="10"/>
        <v>0.34073352896543529</v>
      </c>
      <c r="H700" s="24" t="s">
        <v>555</v>
      </c>
      <c r="I700" s="24" t="s">
        <v>559</v>
      </c>
      <c r="J700" s="24" t="s">
        <v>574</v>
      </c>
      <c r="K700" s="24" t="s">
        <v>570</v>
      </c>
    </row>
    <row r="701" spans="1:11">
      <c r="A701" s="12">
        <v>2013</v>
      </c>
      <c r="B701" s="15" t="s">
        <v>325</v>
      </c>
      <c r="C701" s="15" t="s">
        <v>344</v>
      </c>
      <c r="D701" s="15" t="s">
        <v>345</v>
      </c>
      <c r="E701" s="19">
        <v>49318</v>
      </c>
      <c r="F701" s="19">
        <v>37547</v>
      </c>
      <c r="G701" s="20">
        <f t="shared" si="10"/>
        <v>0.43224543832383583</v>
      </c>
      <c r="H701" s="24" t="s">
        <v>555</v>
      </c>
      <c r="I701" s="24" t="s">
        <v>559</v>
      </c>
      <c r="J701" s="24" t="s">
        <v>574</v>
      </c>
      <c r="K701" s="24" t="s">
        <v>570</v>
      </c>
    </row>
    <row r="702" spans="1:11">
      <c r="A702" s="12">
        <v>2013</v>
      </c>
      <c r="B702" s="15" t="s">
        <v>325</v>
      </c>
      <c r="C702" s="15" t="s">
        <v>346</v>
      </c>
      <c r="D702" s="15" t="s">
        <v>347</v>
      </c>
      <c r="E702" s="19">
        <v>233540</v>
      </c>
      <c r="F702" s="19">
        <v>175897</v>
      </c>
      <c r="G702" s="20">
        <f t="shared" si="10"/>
        <v>0.42960699692504584</v>
      </c>
      <c r="H702" s="24" t="s">
        <v>555</v>
      </c>
      <c r="I702" s="24" t="s">
        <v>559</v>
      </c>
      <c r="J702" s="24" t="s">
        <v>574</v>
      </c>
      <c r="K702" s="24" t="s">
        <v>570</v>
      </c>
    </row>
    <row r="703" spans="1:11">
      <c r="A703" s="12">
        <v>2013</v>
      </c>
      <c r="B703" s="15" t="s">
        <v>325</v>
      </c>
      <c r="C703" s="15" t="s">
        <v>350</v>
      </c>
      <c r="D703" s="15" t="s">
        <v>351</v>
      </c>
      <c r="E703" s="19">
        <v>69626</v>
      </c>
      <c r="F703" s="19">
        <v>52891</v>
      </c>
      <c r="G703" s="20">
        <f t="shared" si="10"/>
        <v>0.43170335545271271</v>
      </c>
      <c r="H703" s="24" t="s">
        <v>555</v>
      </c>
      <c r="I703" s="24" t="s">
        <v>559</v>
      </c>
      <c r="J703" s="24" t="s">
        <v>574</v>
      </c>
      <c r="K703" s="24" t="s">
        <v>570</v>
      </c>
    </row>
    <row r="704" spans="1:11">
      <c r="A704" s="12">
        <v>2013</v>
      </c>
      <c r="B704" s="15" t="s">
        <v>325</v>
      </c>
      <c r="C704" s="15" t="s">
        <v>354</v>
      </c>
      <c r="D704" s="15" t="s">
        <v>355</v>
      </c>
      <c r="E704" s="19">
        <v>200032</v>
      </c>
      <c r="F704" s="19">
        <v>188538</v>
      </c>
      <c r="G704" s="20">
        <f t="shared" si="10"/>
        <v>0.48520987209511801</v>
      </c>
      <c r="H704" s="24" t="s">
        <v>555</v>
      </c>
      <c r="I704" s="24" t="s">
        <v>559</v>
      </c>
      <c r="J704" s="24" t="s">
        <v>574</v>
      </c>
      <c r="K704" s="24" t="s">
        <v>570</v>
      </c>
    </row>
    <row r="705" spans="1:11">
      <c r="A705" s="12">
        <v>2013</v>
      </c>
      <c r="B705" s="15" t="s">
        <v>325</v>
      </c>
      <c r="C705" s="15" t="s">
        <v>356</v>
      </c>
      <c r="D705" s="15" t="s">
        <v>357</v>
      </c>
      <c r="E705" s="19">
        <v>277568</v>
      </c>
      <c r="F705" s="19">
        <v>200271</v>
      </c>
      <c r="G705" s="20">
        <f t="shared" si="10"/>
        <v>0.41911815485969123</v>
      </c>
      <c r="H705" s="24" t="s">
        <v>555</v>
      </c>
      <c r="I705" s="24" t="s">
        <v>559</v>
      </c>
      <c r="J705" s="24" t="s">
        <v>574</v>
      </c>
      <c r="K705" s="24" t="s">
        <v>570</v>
      </c>
    </row>
    <row r="706" spans="1:11">
      <c r="A706" s="12">
        <v>2013</v>
      </c>
      <c r="B706" s="15" t="s">
        <v>325</v>
      </c>
      <c r="C706" s="15" t="s">
        <v>358</v>
      </c>
      <c r="D706" s="15" t="s">
        <v>359</v>
      </c>
      <c r="E706" s="19">
        <v>24273</v>
      </c>
      <c r="F706" s="19">
        <v>24834</v>
      </c>
      <c r="G706" s="20">
        <f t="shared" si="10"/>
        <v>0.50571201661677556</v>
      </c>
      <c r="H706" s="24" t="s">
        <v>555</v>
      </c>
      <c r="I706" s="24" t="s">
        <v>559</v>
      </c>
      <c r="J706" s="24" t="s">
        <v>574</v>
      </c>
      <c r="K706" s="24" t="s">
        <v>570</v>
      </c>
    </row>
    <row r="707" spans="1:11">
      <c r="A707" s="12">
        <v>2013</v>
      </c>
      <c r="B707" s="15" t="s">
        <v>325</v>
      </c>
      <c r="C707" s="15" t="s">
        <v>360</v>
      </c>
      <c r="D707" s="15" t="s">
        <v>361</v>
      </c>
      <c r="E707" s="19">
        <v>50266</v>
      </c>
      <c r="F707" s="19">
        <v>42396</v>
      </c>
      <c r="G707" s="20">
        <f t="shared" si="10"/>
        <v>0.45753383263905378</v>
      </c>
      <c r="H707" s="24" t="s">
        <v>555</v>
      </c>
      <c r="I707" s="24" t="s">
        <v>559</v>
      </c>
      <c r="J707" s="24" t="s">
        <v>574</v>
      </c>
      <c r="K707" s="24" t="s">
        <v>570</v>
      </c>
    </row>
    <row r="708" spans="1:11">
      <c r="A708" s="12">
        <v>2013</v>
      </c>
      <c r="B708" s="15" t="s">
        <v>325</v>
      </c>
      <c r="C708" s="15" t="s">
        <v>362</v>
      </c>
      <c r="D708" s="15" t="s">
        <v>363</v>
      </c>
      <c r="E708" s="19">
        <v>76873</v>
      </c>
      <c r="F708" s="19">
        <v>42842</v>
      </c>
      <c r="G708" s="20">
        <f t="shared" si="10"/>
        <v>0.35786659984128971</v>
      </c>
      <c r="H708" s="24" t="s">
        <v>555</v>
      </c>
      <c r="I708" s="24" t="s">
        <v>559</v>
      </c>
      <c r="J708" s="24" t="s">
        <v>574</v>
      </c>
      <c r="K708" s="24" t="s">
        <v>570</v>
      </c>
    </row>
    <row r="709" spans="1:11">
      <c r="A709" s="12">
        <v>2013</v>
      </c>
      <c r="B709" s="15" t="s">
        <v>364</v>
      </c>
      <c r="C709" s="15" t="s">
        <v>22</v>
      </c>
      <c r="D709" s="15" t="s">
        <v>364</v>
      </c>
      <c r="E709" s="19">
        <v>1700318</v>
      </c>
      <c r="F709" s="19">
        <v>385654</v>
      </c>
      <c r="G709" s="20">
        <f t="shared" si="10"/>
        <v>0.18487975869283002</v>
      </c>
      <c r="H709" s="24" t="s">
        <v>552</v>
      </c>
      <c r="I709" s="24" t="s">
        <v>573</v>
      </c>
      <c r="J709" s="24" t="s">
        <v>550</v>
      </c>
      <c r="K709" s="24" t="s">
        <v>570</v>
      </c>
    </row>
    <row r="710" spans="1:11">
      <c r="A710" s="12">
        <v>2013</v>
      </c>
      <c r="B710" s="15" t="s">
        <v>364</v>
      </c>
      <c r="C710" s="15" t="s">
        <v>365</v>
      </c>
      <c r="D710" s="15" t="s">
        <v>366</v>
      </c>
      <c r="E710" s="19">
        <v>48024</v>
      </c>
      <c r="F710" s="19">
        <v>41451</v>
      </c>
      <c r="G710" s="20">
        <f t="shared" ref="G710:G773" si="11">IFERROR(F710/(E710+F710),"")</f>
        <v>0.4632690695725063</v>
      </c>
      <c r="H710" s="24" t="s">
        <v>552</v>
      </c>
      <c r="I710" s="24" t="s">
        <v>573</v>
      </c>
      <c r="J710" s="24" t="s">
        <v>550</v>
      </c>
      <c r="K710" s="24" t="s">
        <v>570</v>
      </c>
    </row>
    <row r="711" spans="1:11">
      <c r="A711" s="12">
        <v>2013</v>
      </c>
      <c r="B711" s="15" t="s">
        <v>364</v>
      </c>
      <c r="C711" s="15" t="s">
        <v>367</v>
      </c>
      <c r="D711" s="15" t="s">
        <v>368</v>
      </c>
      <c r="E711" s="19">
        <v>248098</v>
      </c>
      <c r="F711" s="19">
        <v>99676</v>
      </c>
      <c r="G711" s="20">
        <f t="shared" si="11"/>
        <v>0.286611420060154</v>
      </c>
      <c r="H711" s="24" t="s">
        <v>552</v>
      </c>
      <c r="I711" s="24" t="s">
        <v>573</v>
      </c>
      <c r="J711" s="24" t="s">
        <v>550</v>
      </c>
      <c r="K711" s="24" t="s">
        <v>570</v>
      </c>
    </row>
    <row r="712" spans="1:11">
      <c r="A712" s="12">
        <v>2013</v>
      </c>
      <c r="B712" s="15" t="s">
        <v>364</v>
      </c>
      <c r="C712" s="15" t="s">
        <v>369</v>
      </c>
      <c r="D712" s="15" t="s">
        <v>370</v>
      </c>
      <c r="E712" s="19">
        <v>69959</v>
      </c>
      <c r="F712" s="19">
        <v>58756</v>
      </c>
      <c r="G712" s="20">
        <f t="shared" si="11"/>
        <v>0.45648137357728313</v>
      </c>
      <c r="H712" s="24" t="s">
        <v>552</v>
      </c>
      <c r="I712" s="24" t="s">
        <v>573</v>
      </c>
      <c r="J712" s="24" t="s">
        <v>550</v>
      </c>
      <c r="K712" s="24" t="s">
        <v>570</v>
      </c>
    </row>
    <row r="713" spans="1:11">
      <c r="A713" s="12">
        <v>2013</v>
      </c>
      <c r="B713" s="15" t="s">
        <v>364</v>
      </c>
      <c r="C713" s="15" t="s">
        <v>371</v>
      </c>
      <c r="D713" s="15" t="s">
        <v>372</v>
      </c>
      <c r="E713" s="19">
        <v>75218</v>
      </c>
      <c r="F713" s="19">
        <v>38996</v>
      </c>
      <c r="G713" s="20">
        <f t="shared" si="11"/>
        <v>0.34142924685239989</v>
      </c>
      <c r="H713" s="24" t="s">
        <v>552</v>
      </c>
      <c r="I713" s="24" t="s">
        <v>573</v>
      </c>
      <c r="J713" s="24" t="s">
        <v>550</v>
      </c>
      <c r="K713" s="24" t="s">
        <v>570</v>
      </c>
    </row>
    <row r="714" spans="1:11">
      <c r="A714" s="12">
        <v>2013</v>
      </c>
      <c r="B714" s="15" t="s">
        <v>364</v>
      </c>
      <c r="C714" s="15" t="s">
        <v>373</v>
      </c>
      <c r="D714" s="15" t="s">
        <v>374</v>
      </c>
      <c r="E714" s="19">
        <v>20167</v>
      </c>
      <c r="F714" s="19">
        <v>18804</v>
      </c>
      <c r="G714" s="20">
        <f t="shared" si="11"/>
        <v>0.48251263760231966</v>
      </c>
      <c r="H714" s="24" t="s">
        <v>552</v>
      </c>
      <c r="I714" s="24" t="s">
        <v>573</v>
      </c>
      <c r="J714" s="24" t="s">
        <v>550</v>
      </c>
      <c r="K714" s="24" t="s">
        <v>570</v>
      </c>
    </row>
    <row r="715" spans="1:11">
      <c r="A715" s="12">
        <v>2013</v>
      </c>
      <c r="B715" s="15" t="s">
        <v>364</v>
      </c>
      <c r="C715" s="15" t="s">
        <v>375</v>
      </c>
      <c r="D715" s="15" t="s">
        <v>376</v>
      </c>
      <c r="E715" s="19">
        <v>48394</v>
      </c>
      <c r="F715" s="19">
        <v>36258</v>
      </c>
      <c r="G715" s="20">
        <f t="shared" si="11"/>
        <v>0.428318291357558</v>
      </c>
      <c r="H715" s="24" t="s">
        <v>552</v>
      </c>
      <c r="I715" s="24" t="s">
        <v>573</v>
      </c>
      <c r="J715" s="24" t="s">
        <v>550</v>
      </c>
      <c r="K715" s="24" t="s">
        <v>570</v>
      </c>
    </row>
    <row r="716" spans="1:11">
      <c r="A716" s="12">
        <v>2013</v>
      </c>
      <c r="B716" s="15" t="s">
        <v>364</v>
      </c>
      <c r="C716" s="15" t="s">
        <v>377</v>
      </c>
      <c r="D716" s="15" t="s">
        <v>378</v>
      </c>
      <c r="E716" s="19">
        <v>22655</v>
      </c>
      <c r="F716" s="19">
        <v>24014</v>
      </c>
      <c r="G716" s="20">
        <f t="shared" si="11"/>
        <v>0.51455998628639998</v>
      </c>
      <c r="H716" s="24" t="s">
        <v>552</v>
      </c>
      <c r="I716" s="24" t="s">
        <v>573</v>
      </c>
      <c r="J716" s="24" t="s">
        <v>550</v>
      </c>
      <c r="K716" s="24" t="s">
        <v>570</v>
      </c>
    </row>
    <row r="717" spans="1:11">
      <c r="A717" s="12">
        <v>2013</v>
      </c>
      <c r="B717" s="15" t="s">
        <v>364</v>
      </c>
      <c r="C717" s="15" t="s">
        <v>379</v>
      </c>
      <c r="D717" s="15" t="s">
        <v>380</v>
      </c>
      <c r="E717" s="19">
        <v>56642</v>
      </c>
      <c r="F717" s="19">
        <v>72723</v>
      </c>
      <c r="G717" s="20">
        <f t="shared" si="11"/>
        <v>0.56215359641324936</v>
      </c>
      <c r="H717" s="24" t="s">
        <v>552</v>
      </c>
      <c r="I717" s="24" t="s">
        <v>573</v>
      </c>
      <c r="J717" s="24" t="s">
        <v>550</v>
      </c>
      <c r="K717" s="24" t="s">
        <v>570</v>
      </c>
    </row>
    <row r="718" spans="1:11">
      <c r="A718" s="12">
        <v>2013</v>
      </c>
      <c r="B718" s="15" t="s">
        <v>364</v>
      </c>
      <c r="C718" s="15" t="s">
        <v>381</v>
      </c>
      <c r="D718" s="15" t="s">
        <v>382</v>
      </c>
      <c r="E718" s="19">
        <v>268257</v>
      </c>
      <c r="F718" s="19">
        <v>100250</v>
      </c>
      <c r="G718" s="20">
        <f t="shared" si="11"/>
        <v>0.27204367895318138</v>
      </c>
      <c r="H718" s="24" t="s">
        <v>552</v>
      </c>
      <c r="I718" s="24" t="s">
        <v>573</v>
      </c>
      <c r="J718" s="24" t="s">
        <v>550</v>
      </c>
      <c r="K718" s="24" t="s">
        <v>570</v>
      </c>
    </row>
    <row r="719" spans="1:11">
      <c r="A719" s="12">
        <v>2013</v>
      </c>
      <c r="B719" s="15" t="s">
        <v>364</v>
      </c>
      <c r="C719" s="15" t="s">
        <v>383</v>
      </c>
      <c r="D719" s="15" t="s">
        <v>384</v>
      </c>
      <c r="E719" s="19">
        <v>20898</v>
      </c>
      <c r="F719" s="19">
        <v>24008</v>
      </c>
      <c r="G719" s="20">
        <f t="shared" si="11"/>
        <v>0.53462788936890393</v>
      </c>
      <c r="H719" s="24" t="s">
        <v>552</v>
      </c>
      <c r="I719" s="24" t="s">
        <v>573</v>
      </c>
      <c r="J719" s="24" t="s">
        <v>550</v>
      </c>
      <c r="K719" s="24" t="s">
        <v>570</v>
      </c>
    </row>
    <row r="720" spans="1:11">
      <c r="A720" s="12">
        <v>2013</v>
      </c>
      <c r="B720" s="15" t="s">
        <v>364</v>
      </c>
      <c r="C720" s="15" t="s">
        <v>385</v>
      </c>
      <c r="D720" s="15" t="s">
        <v>386</v>
      </c>
      <c r="E720" s="19">
        <v>16969</v>
      </c>
      <c r="F720" s="19">
        <v>19042</v>
      </c>
      <c r="G720" s="20">
        <f t="shared" si="11"/>
        <v>0.52878287190025275</v>
      </c>
      <c r="H720" s="24" t="s">
        <v>552</v>
      </c>
      <c r="I720" s="24" t="s">
        <v>573</v>
      </c>
      <c r="J720" s="24" t="s">
        <v>550</v>
      </c>
      <c r="K720" s="24" t="s">
        <v>570</v>
      </c>
    </row>
    <row r="721" spans="1:11">
      <c r="A721" s="12">
        <v>2013</v>
      </c>
      <c r="B721" s="15" t="s">
        <v>364</v>
      </c>
      <c r="C721" s="15" t="s">
        <v>387</v>
      </c>
      <c r="D721" s="15" t="s">
        <v>388</v>
      </c>
      <c r="E721" s="19">
        <v>243366</v>
      </c>
      <c r="F721" s="19">
        <v>170162</v>
      </c>
      <c r="G721" s="20">
        <f t="shared" si="11"/>
        <v>0.41148846027354857</v>
      </c>
      <c r="H721" s="24" t="s">
        <v>552</v>
      </c>
      <c r="I721" s="24" t="s">
        <v>573</v>
      </c>
      <c r="J721" s="24" t="s">
        <v>550</v>
      </c>
      <c r="K721" s="24" t="s">
        <v>570</v>
      </c>
    </row>
    <row r="722" spans="1:11">
      <c r="A722" s="12">
        <v>2013</v>
      </c>
      <c r="B722" s="15" t="s">
        <v>364</v>
      </c>
      <c r="C722" s="15" t="s">
        <v>389</v>
      </c>
      <c r="D722" s="15" t="s">
        <v>390</v>
      </c>
      <c r="E722" s="19">
        <v>315388</v>
      </c>
      <c r="F722" s="19">
        <v>188193</v>
      </c>
      <c r="G722" s="20">
        <f t="shared" si="11"/>
        <v>0.37370949261389924</v>
      </c>
      <c r="H722" s="24" t="s">
        <v>552</v>
      </c>
      <c r="I722" s="24" t="s">
        <v>573</v>
      </c>
      <c r="J722" s="24" t="s">
        <v>550</v>
      </c>
      <c r="K722" s="24" t="s">
        <v>570</v>
      </c>
    </row>
    <row r="723" spans="1:11">
      <c r="A723" s="12">
        <v>2013</v>
      </c>
      <c r="B723" s="15" t="s">
        <v>364</v>
      </c>
      <c r="C723" s="15" t="s">
        <v>391</v>
      </c>
      <c r="D723" s="15" t="s">
        <v>392</v>
      </c>
      <c r="E723" s="19">
        <v>101605</v>
      </c>
      <c r="F723" s="19">
        <v>58635</v>
      </c>
      <c r="G723" s="20">
        <f t="shared" si="11"/>
        <v>0.36591987019470795</v>
      </c>
      <c r="H723" s="24" t="s">
        <v>552</v>
      </c>
      <c r="I723" s="24" t="s">
        <v>573</v>
      </c>
      <c r="J723" s="24" t="s">
        <v>550</v>
      </c>
      <c r="K723" s="24" t="s">
        <v>570</v>
      </c>
    </row>
    <row r="724" spans="1:11">
      <c r="A724" s="12">
        <v>2013</v>
      </c>
      <c r="B724" s="15" t="s">
        <v>364</v>
      </c>
      <c r="C724" s="15" t="s">
        <v>393</v>
      </c>
      <c r="D724" s="15" t="s">
        <v>394</v>
      </c>
      <c r="E724" s="19">
        <v>18884</v>
      </c>
      <c r="F724" s="19">
        <v>21469</v>
      </c>
      <c r="G724" s="20">
        <f t="shared" si="11"/>
        <v>0.53202983669120019</v>
      </c>
      <c r="H724" s="24" t="s">
        <v>552</v>
      </c>
      <c r="I724" s="24" t="s">
        <v>573</v>
      </c>
      <c r="J724" s="24" t="s">
        <v>550</v>
      </c>
      <c r="K724" s="24" t="s">
        <v>570</v>
      </c>
    </row>
    <row r="725" spans="1:11">
      <c r="A725" s="12">
        <v>2013</v>
      </c>
      <c r="B725" s="15" t="s">
        <v>395</v>
      </c>
      <c r="C725" s="15" t="s">
        <v>22</v>
      </c>
      <c r="D725" s="15" t="s">
        <v>395</v>
      </c>
      <c r="E725" s="19">
        <v>1664175</v>
      </c>
      <c r="F725" s="19">
        <v>726723</v>
      </c>
      <c r="G725" s="20">
        <f t="shared" si="11"/>
        <v>0.30395399552804009</v>
      </c>
      <c r="H725" s="24" t="s">
        <v>552</v>
      </c>
      <c r="I725" s="24" t="s">
        <v>573</v>
      </c>
      <c r="J725" s="24" t="s">
        <v>550</v>
      </c>
      <c r="K725" s="24" t="s">
        <v>570</v>
      </c>
    </row>
    <row r="726" spans="1:11">
      <c r="A726" s="12">
        <v>2013</v>
      </c>
      <c r="B726" s="15" t="s">
        <v>395</v>
      </c>
      <c r="C726" s="15" t="s">
        <v>396</v>
      </c>
      <c r="D726" s="15" t="s">
        <v>397</v>
      </c>
      <c r="E726" s="19">
        <v>31308</v>
      </c>
      <c r="F726" s="19">
        <v>27935</v>
      </c>
      <c r="G726" s="20">
        <f t="shared" si="11"/>
        <v>0.4715325017301622</v>
      </c>
      <c r="H726" s="24" t="s">
        <v>552</v>
      </c>
      <c r="I726" s="24" t="s">
        <v>573</v>
      </c>
      <c r="J726" s="24" t="s">
        <v>550</v>
      </c>
      <c r="K726" s="24" t="s">
        <v>570</v>
      </c>
    </row>
    <row r="727" spans="1:11">
      <c r="A727" s="12">
        <v>2013</v>
      </c>
      <c r="B727" s="15" t="s">
        <v>395</v>
      </c>
      <c r="C727" s="15" t="s">
        <v>398</v>
      </c>
      <c r="D727" s="15" t="s">
        <v>399</v>
      </c>
      <c r="E727" s="19">
        <v>58473</v>
      </c>
      <c r="F727" s="19">
        <v>44060</v>
      </c>
      <c r="G727" s="20">
        <f t="shared" si="11"/>
        <v>0.42971531116811174</v>
      </c>
      <c r="H727" s="24" t="s">
        <v>552</v>
      </c>
      <c r="I727" s="24" t="s">
        <v>573</v>
      </c>
      <c r="J727" s="24" t="s">
        <v>550</v>
      </c>
      <c r="K727" s="24" t="s">
        <v>570</v>
      </c>
    </row>
    <row r="728" spans="1:11">
      <c r="A728" s="12">
        <v>2013</v>
      </c>
      <c r="B728" s="15" t="s">
        <v>395</v>
      </c>
      <c r="C728" s="15" t="s">
        <v>400</v>
      </c>
      <c r="D728" s="15" t="s">
        <v>401</v>
      </c>
      <c r="E728" s="19">
        <v>23477</v>
      </c>
      <c r="F728" s="19">
        <v>24526</v>
      </c>
      <c r="G728" s="20">
        <f t="shared" si="11"/>
        <v>0.51092640043330628</v>
      </c>
      <c r="H728" s="24" t="s">
        <v>552</v>
      </c>
      <c r="I728" s="24" t="s">
        <v>573</v>
      </c>
      <c r="J728" s="24" t="s">
        <v>550</v>
      </c>
      <c r="K728" s="24" t="s">
        <v>570</v>
      </c>
    </row>
    <row r="729" spans="1:11">
      <c r="A729" s="12">
        <v>2013</v>
      </c>
      <c r="B729" s="15" t="s">
        <v>395</v>
      </c>
      <c r="C729" s="15" t="s">
        <v>402</v>
      </c>
      <c r="D729" s="15" t="s">
        <v>403</v>
      </c>
      <c r="E729" s="19">
        <v>125347</v>
      </c>
      <c r="F729" s="19">
        <v>90373</v>
      </c>
      <c r="G729" s="20">
        <f t="shared" si="11"/>
        <v>0.41893658446133875</v>
      </c>
      <c r="H729" s="24" t="s">
        <v>552</v>
      </c>
      <c r="I729" s="24" t="s">
        <v>573</v>
      </c>
      <c r="J729" s="24" t="s">
        <v>550</v>
      </c>
      <c r="K729" s="24" t="s">
        <v>570</v>
      </c>
    </row>
    <row r="730" spans="1:11">
      <c r="A730" s="12">
        <v>2013</v>
      </c>
      <c r="B730" s="15" t="s">
        <v>395</v>
      </c>
      <c r="C730" s="15" t="s">
        <v>404</v>
      </c>
      <c r="D730" s="15" t="s">
        <v>405</v>
      </c>
      <c r="E730" s="19">
        <v>21428</v>
      </c>
      <c r="F730" s="19">
        <v>20133</v>
      </c>
      <c r="G730" s="20">
        <f t="shared" si="11"/>
        <v>0.484420490363562</v>
      </c>
      <c r="H730" s="24" t="s">
        <v>552</v>
      </c>
      <c r="I730" s="24" t="s">
        <v>573</v>
      </c>
      <c r="J730" s="24" t="s">
        <v>550</v>
      </c>
      <c r="K730" s="24" t="s">
        <v>570</v>
      </c>
    </row>
    <row r="731" spans="1:11">
      <c r="A731" s="12">
        <v>2013</v>
      </c>
      <c r="B731" s="15" t="s">
        <v>395</v>
      </c>
      <c r="C731" s="15" t="s">
        <v>406</v>
      </c>
      <c r="D731" s="15" t="s">
        <v>407</v>
      </c>
      <c r="E731" s="19">
        <v>68275</v>
      </c>
      <c r="F731" s="19">
        <v>57796</v>
      </c>
      <c r="G731" s="20">
        <f t="shared" si="11"/>
        <v>0.45844008534873204</v>
      </c>
      <c r="H731" s="24" t="s">
        <v>552</v>
      </c>
      <c r="I731" s="24" t="s">
        <v>573</v>
      </c>
      <c r="J731" s="24" t="s">
        <v>550</v>
      </c>
      <c r="K731" s="24" t="s">
        <v>570</v>
      </c>
    </row>
    <row r="732" spans="1:11">
      <c r="A732" s="12">
        <v>2013</v>
      </c>
      <c r="B732" s="15" t="s">
        <v>395</v>
      </c>
      <c r="C732" s="15" t="s">
        <v>408</v>
      </c>
      <c r="D732" s="15" t="s">
        <v>409</v>
      </c>
      <c r="E732" s="19">
        <v>32720</v>
      </c>
      <c r="F732" s="19">
        <v>36288</v>
      </c>
      <c r="G732" s="20">
        <f t="shared" si="11"/>
        <v>0.52585207512172505</v>
      </c>
      <c r="H732" s="24" t="s">
        <v>552</v>
      </c>
      <c r="I732" s="24" t="s">
        <v>573</v>
      </c>
      <c r="J732" s="24" t="s">
        <v>550</v>
      </c>
      <c r="K732" s="24" t="s">
        <v>570</v>
      </c>
    </row>
    <row r="733" spans="1:11">
      <c r="A733" s="12">
        <v>2013</v>
      </c>
      <c r="B733" s="15" t="s">
        <v>395</v>
      </c>
      <c r="C733" s="15" t="s">
        <v>410</v>
      </c>
      <c r="D733" s="15" t="s">
        <v>411</v>
      </c>
      <c r="E733" s="19">
        <v>214092</v>
      </c>
      <c r="F733" s="19">
        <v>93052</v>
      </c>
      <c r="G733" s="20">
        <f t="shared" si="11"/>
        <v>0.30295887271117133</v>
      </c>
      <c r="H733" s="24" t="s">
        <v>552</v>
      </c>
      <c r="I733" s="24" t="s">
        <v>573</v>
      </c>
      <c r="J733" s="24" t="s">
        <v>550</v>
      </c>
      <c r="K733" s="24" t="s">
        <v>570</v>
      </c>
    </row>
    <row r="734" spans="1:11">
      <c r="A734" s="12">
        <v>2013</v>
      </c>
      <c r="B734" s="15" t="s">
        <v>395</v>
      </c>
      <c r="C734" s="15" t="s">
        <v>412</v>
      </c>
      <c r="D734" s="15" t="s">
        <v>413</v>
      </c>
      <c r="E734" s="19">
        <v>56267</v>
      </c>
      <c r="F734" s="19">
        <v>63960</v>
      </c>
      <c r="G734" s="20">
        <f t="shared" si="11"/>
        <v>0.53199364535420501</v>
      </c>
      <c r="H734" s="24" t="s">
        <v>552</v>
      </c>
      <c r="I734" s="24" t="s">
        <v>573</v>
      </c>
      <c r="J734" s="24" t="s">
        <v>550</v>
      </c>
      <c r="K734" s="24" t="s">
        <v>570</v>
      </c>
    </row>
    <row r="735" spans="1:11">
      <c r="A735" s="12">
        <v>2013</v>
      </c>
      <c r="B735" s="15" t="s">
        <v>395</v>
      </c>
      <c r="C735" s="15" t="s">
        <v>414</v>
      </c>
      <c r="D735" s="15" t="s">
        <v>415</v>
      </c>
      <c r="E735" s="19">
        <v>35343</v>
      </c>
      <c r="F735" s="19">
        <v>33512</v>
      </c>
      <c r="G735" s="20">
        <f t="shared" si="11"/>
        <v>0.48670394306876769</v>
      </c>
      <c r="H735" s="24" t="s">
        <v>552</v>
      </c>
      <c r="I735" s="24" t="s">
        <v>573</v>
      </c>
      <c r="J735" s="24" t="s">
        <v>550</v>
      </c>
      <c r="K735" s="24" t="s">
        <v>570</v>
      </c>
    </row>
    <row r="736" spans="1:11">
      <c r="A736" s="12">
        <v>2013</v>
      </c>
      <c r="B736" s="15" t="s">
        <v>395</v>
      </c>
      <c r="C736" s="15" t="s">
        <v>416</v>
      </c>
      <c r="D736" s="15" t="s">
        <v>417</v>
      </c>
      <c r="E736" s="19">
        <v>242742</v>
      </c>
      <c r="F736" s="19">
        <v>101442</v>
      </c>
      <c r="G736" s="20">
        <f t="shared" si="11"/>
        <v>0.29473188759500735</v>
      </c>
      <c r="H736" s="24" t="s">
        <v>552</v>
      </c>
      <c r="I736" s="24" t="s">
        <v>573</v>
      </c>
      <c r="J736" s="24" t="s">
        <v>550</v>
      </c>
      <c r="K736" s="24" t="s">
        <v>570</v>
      </c>
    </row>
    <row r="737" spans="1:11">
      <c r="A737" s="12">
        <v>2013</v>
      </c>
      <c r="B737" s="15" t="s">
        <v>395</v>
      </c>
      <c r="C737" s="15" t="s">
        <v>418</v>
      </c>
      <c r="D737" s="15" t="s">
        <v>419</v>
      </c>
      <c r="E737" s="19">
        <v>28650</v>
      </c>
      <c r="F737" s="19">
        <v>38019</v>
      </c>
      <c r="G737" s="20">
        <f t="shared" si="11"/>
        <v>0.57026504072357465</v>
      </c>
      <c r="H737" s="24" t="s">
        <v>552</v>
      </c>
      <c r="I737" s="24" t="s">
        <v>573</v>
      </c>
      <c r="J737" s="24" t="s">
        <v>550</v>
      </c>
      <c r="K737" s="24" t="s">
        <v>570</v>
      </c>
    </row>
    <row r="738" spans="1:11">
      <c r="A738" s="12">
        <v>2013</v>
      </c>
      <c r="B738" s="15" t="s">
        <v>395</v>
      </c>
      <c r="C738" s="15" t="s">
        <v>420</v>
      </c>
      <c r="D738" s="15" t="s">
        <v>421</v>
      </c>
      <c r="E738" s="19">
        <v>258674</v>
      </c>
      <c r="F738" s="19">
        <v>104286</v>
      </c>
      <c r="G738" s="20">
        <f t="shared" si="11"/>
        <v>0.28732091690544415</v>
      </c>
      <c r="H738" s="24" t="s">
        <v>552</v>
      </c>
      <c r="I738" s="24" t="s">
        <v>573</v>
      </c>
      <c r="J738" s="24" t="s">
        <v>550</v>
      </c>
      <c r="K738" s="24" t="s">
        <v>570</v>
      </c>
    </row>
    <row r="739" spans="1:11">
      <c r="A739" s="12">
        <v>2013</v>
      </c>
      <c r="B739" s="15" t="s">
        <v>395</v>
      </c>
      <c r="C739" s="15" t="s">
        <v>422</v>
      </c>
      <c r="D739" s="15" t="s">
        <v>423</v>
      </c>
      <c r="E739" s="19">
        <v>46861</v>
      </c>
      <c r="F739" s="19">
        <v>33897</v>
      </c>
      <c r="G739" s="20">
        <f t="shared" si="11"/>
        <v>0.41973550607989302</v>
      </c>
      <c r="H739" s="24" t="s">
        <v>552</v>
      </c>
      <c r="I739" s="24" t="s">
        <v>573</v>
      </c>
      <c r="J739" s="24" t="s">
        <v>550</v>
      </c>
      <c r="K739" s="24" t="s">
        <v>570</v>
      </c>
    </row>
    <row r="740" spans="1:11">
      <c r="A740" s="12">
        <v>2013</v>
      </c>
      <c r="B740" s="15" t="s">
        <v>395</v>
      </c>
      <c r="C740" s="15" t="s">
        <v>424</v>
      </c>
      <c r="D740" s="15" t="s">
        <v>425</v>
      </c>
      <c r="E740" s="19">
        <v>44036</v>
      </c>
      <c r="F740" s="19">
        <v>49031</v>
      </c>
      <c r="G740" s="20">
        <f t="shared" si="11"/>
        <v>0.52683550560348991</v>
      </c>
      <c r="H740" s="24" t="s">
        <v>552</v>
      </c>
      <c r="I740" s="24" t="s">
        <v>573</v>
      </c>
      <c r="J740" s="24" t="s">
        <v>550</v>
      </c>
      <c r="K740" s="24" t="s">
        <v>570</v>
      </c>
    </row>
    <row r="741" spans="1:11">
      <c r="A741" s="12">
        <v>2013</v>
      </c>
      <c r="B741" s="15" t="s">
        <v>395</v>
      </c>
      <c r="C741" s="15" t="s">
        <v>426</v>
      </c>
      <c r="D741" s="15" t="s">
        <v>427</v>
      </c>
      <c r="E741" s="19">
        <v>43859</v>
      </c>
      <c r="F741" s="19">
        <v>40867</v>
      </c>
      <c r="G741" s="20">
        <f t="shared" si="11"/>
        <v>0.48234308240681728</v>
      </c>
      <c r="H741" s="24" t="s">
        <v>552</v>
      </c>
      <c r="I741" s="24" t="s">
        <v>573</v>
      </c>
      <c r="J741" s="24" t="s">
        <v>550</v>
      </c>
      <c r="K741" s="24" t="s">
        <v>570</v>
      </c>
    </row>
    <row r="742" spans="1:11">
      <c r="A742" s="12">
        <v>2013</v>
      </c>
      <c r="B742" s="15" t="s">
        <v>395</v>
      </c>
      <c r="C742" s="15" t="s">
        <v>428</v>
      </c>
      <c r="D742" s="15" t="s">
        <v>429</v>
      </c>
      <c r="E742" s="19">
        <v>31282</v>
      </c>
      <c r="F742" s="19">
        <v>36834</v>
      </c>
      <c r="G742" s="20">
        <f t="shared" si="11"/>
        <v>0.54075400786892946</v>
      </c>
      <c r="H742" s="24" t="s">
        <v>552</v>
      </c>
      <c r="I742" s="24" t="s">
        <v>573</v>
      </c>
      <c r="J742" s="24" t="s">
        <v>550</v>
      </c>
      <c r="K742" s="24" t="s">
        <v>570</v>
      </c>
    </row>
    <row r="743" spans="1:11">
      <c r="A743" s="12">
        <v>2013</v>
      </c>
      <c r="B743" s="15" t="s">
        <v>395</v>
      </c>
      <c r="C743" s="15" t="s">
        <v>430</v>
      </c>
      <c r="D743" s="15" t="s">
        <v>431</v>
      </c>
      <c r="E743" s="19">
        <v>33990</v>
      </c>
      <c r="F743" s="19">
        <v>28537</v>
      </c>
      <c r="G743" s="20">
        <f t="shared" si="11"/>
        <v>0.45639483743023013</v>
      </c>
      <c r="H743" s="24" t="s">
        <v>552</v>
      </c>
      <c r="I743" s="24" t="s">
        <v>573</v>
      </c>
      <c r="J743" s="24" t="s">
        <v>550</v>
      </c>
      <c r="K743" s="24" t="s">
        <v>570</v>
      </c>
    </row>
    <row r="744" spans="1:11">
      <c r="A744" s="12">
        <v>2013</v>
      </c>
      <c r="B744" s="15" t="s">
        <v>395</v>
      </c>
      <c r="C744" s="15" t="s">
        <v>432</v>
      </c>
      <c r="D744" s="15" t="s">
        <v>433</v>
      </c>
      <c r="E744" s="19">
        <v>25808</v>
      </c>
      <c r="F744" s="19">
        <v>25431</v>
      </c>
      <c r="G744" s="20">
        <f t="shared" si="11"/>
        <v>0.49632116161517592</v>
      </c>
      <c r="H744" s="24" t="s">
        <v>552</v>
      </c>
      <c r="I744" s="24" t="s">
        <v>573</v>
      </c>
      <c r="J744" s="24" t="s">
        <v>550</v>
      </c>
      <c r="K744" s="24" t="s">
        <v>570</v>
      </c>
    </row>
    <row r="745" spans="1:11">
      <c r="A745" s="12">
        <v>2013</v>
      </c>
      <c r="B745" s="15" t="s">
        <v>395</v>
      </c>
      <c r="C745" s="15" t="s">
        <v>434</v>
      </c>
      <c r="D745" s="15" t="s">
        <v>435</v>
      </c>
      <c r="E745" s="19">
        <v>26232</v>
      </c>
      <c r="F745" s="19">
        <v>28573</v>
      </c>
      <c r="G745" s="20">
        <f t="shared" si="11"/>
        <v>0.52135754037040416</v>
      </c>
      <c r="H745" s="24" t="s">
        <v>552</v>
      </c>
      <c r="I745" s="24" t="s">
        <v>573</v>
      </c>
      <c r="J745" s="24" t="s">
        <v>550</v>
      </c>
      <c r="K745" s="24" t="s">
        <v>570</v>
      </c>
    </row>
    <row r="746" spans="1:11">
      <c r="A746" s="12">
        <v>2013</v>
      </c>
      <c r="B746" s="15" t="s">
        <v>395</v>
      </c>
      <c r="C746" s="15" t="s">
        <v>436</v>
      </c>
      <c r="D746" s="15" t="s">
        <v>437</v>
      </c>
      <c r="E746" s="19">
        <v>63374</v>
      </c>
      <c r="F746" s="19">
        <v>46298</v>
      </c>
      <c r="G746" s="20">
        <f t="shared" si="11"/>
        <v>0.42214968269020353</v>
      </c>
      <c r="H746" s="24" t="s">
        <v>552</v>
      </c>
      <c r="I746" s="24" t="s">
        <v>573</v>
      </c>
      <c r="J746" s="24" t="s">
        <v>550</v>
      </c>
      <c r="K746" s="24" t="s">
        <v>570</v>
      </c>
    </row>
    <row r="747" spans="1:11">
      <c r="A747" s="12">
        <v>2013</v>
      </c>
      <c r="B747" s="15" t="s">
        <v>395</v>
      </c>
      <c r="C747" s="15" t="s">
        <v>438</v>
      </c>
      <c r="D747" s="15" t="s">
        <v>439</v>
      </c>
      <c r="E747" s="19">
        <v>53286</v>
      </c>
      <c r="F747" s="19">
        <v>42851</v>
      </c>
      <c r="G747" s="20">
        <f t="shared" si="11"/>
        <v>0.44572849163173389</v>
      </c>
      <c r="H747" s="24" t="s">
        <v>552</v>
      </c>
      <c r="I747" s="24" t="s">
        <v>573</v>
      </c>
      <c r="J747" s="24" t="s">
        <v>550</v>
      </c>
      <c r="K747" s="24" t="s">
        <v>570</v>
      </c>
    </row>
    <row r="748" spans="1:11">
      <c r="A748" s="12">
        <v>2013</v>
      </c>
      <c r="B748" s="15" t="s">
        <v>440</v>
      </c>
      <c r="C748" s="15" t="s">
        <v>22</v>
      </c>
      <c r="D748" s="15" t="s">
        <v>440</v>
      </c>
      <c r="E748" s="19">
        <v>2359384</v>
      </c>
      <c r="F748" s="19">
        <v>956122</v>
      </c>
      <c r="G748" s="20">
        <f t="shared" si="11"/>
        <v>0.288378908076173</v>
      </c>
      <c r="H748" s="24" t="s">
        <v>548</v>
      </c>
      <c r="I748" s="24" t="s">
        <v>571</v>
      </c>
      <c r="J748" s="24" t="s">
        <v>572</v>
      </c>
      <c r="K748" s="24" t="s">
        <v>570</v>
      </c>
    </row>
    <row r="749" spans="1:11">
      <c r="A749" s="12">
        <v>2013</v>
      </c>
      <c r="B749" s="15" t="s">
        <v>440</v>
      </c>
      <c r="C749" s="15" t="s">
        <v>441</v>
      </c>
      <c r="D749" s="15" t="s">
        <v>442</v>
      </c>
      <c r="E749" s="19">
        <v>205368</v>
      </c>
      <c r="F749" s="19">
        <v>148654</v>
      </c>
      <c r="G749" s="20">
        <f t="shared" si="11"/>
        <v>0.41990045816361693</v>
      </c>
      <c r="H749" s="24" t="s">
        <v>548</v>
      </c>
      <c r="I749" s="24" t="s">
        <v>577</v>
      </c>
      <c r="J749" s="24" t="s">
        <v>578</v>
      </c>
      <c r="K749" s="24" t="s">
        <v>570</v>
      </c>
    </row>
    <row r="750" spans="1:11">
      <c r="A750" s="12">
        <v>2013</v>
      </c>
      <c r="B750" s="15" t="s">
        <v>440</v>
      </c>
      <c r="C750" s="15" t="s">
        <v>443</v>
      </c>
      <c r="D750" s="15" t="s">
        <v>444</v>
      </c>
      <c r="E750" s="19">
        <v>221460</v>
      </c>
      <c r="F750" s="19">
        <v>113311</v>
      </c>
      <c r="G750" s="20">
        <f t="shared" si="11"/>
        <v>0.3384731652383271</v>
      </c>
      <c r="H750" s="24" t="s">
        <v>548</v>
      </c>
      <c r="I750" s="24" t="s">
        <v>571</v>
      </c>
      <c r="J750" s="24" t="s">
        <v>572</v>
      </c>
      <c r="K750" s="24" t="s">
        <v>570</v>
      </c>
    </row>
    <row r="751" spans="1:11">
      <c r="A751" s="12">
        <v>2013</v>
      </c>
      <c r="B751" s="15" t="s">
        <v>440</v>
      </c>
      <c r="C751" s="15" t="s">
        <v>445</v>
      </c>
      <c r="D751" s="15" t="s">
        <v>446</v>
      </c>
      <c r="E751" s="19">
        <v>22990</v>
      </c>
      <c r="F751" s="19">
        <v>28019</v>
      </c>
      <c r="G751" s="20">
        <f t="shared" si="11"/>
        <v>0.54929522241173123</v>
      </c>
      <c r="H751" s="24" t="s">
        <v>548</v>
      </c>
      <c r="I751" s="24" t="s">
        <v>577</v>
      </c>
      <c r="J751" s="24" t="s">
        <v>578</v>
      </c>
      <c r="K751" s="24" t="s">
        <v>570</v>
      </c>
    </row>
    <row r="752" spans="1:11">
      <c r="A752" s="12">
        <v>2013</v>
      </c>
      <c r="B752" s="15" t="s">
        <v>440</v>
      </c>
      <c r="C752" s="15" t="s">
        <v>447</v>
      </c>
      <c r="D752" s="15" t="s">
        <v>448</v>
      </c>
      <c r="E752" s="19">
        <v>369056</v>
      </c>
      <c r="F752" s="19">
        <v>145527</v>
      </c>
      <c r="G752" s="20">
        <f t="shared" si="11"/>
        <v>0.28280568926684324</v>
      </c>
      <c r="H752" s="24" t="s">
        <v>548</v>
      </c>
      <c r="I752" s="24" t="s">
        <v>577</v>
      </c>
      <c r="J752" s="24" t="s">
        <v>578</v>
      </c>
      <c r="K752" s="24" t="s">
        <v>570</v>
      </c>
    </row>
    <row r="753" spans="1:11">
      <c r="A753" s="12">
        <v>2013</v>
      </c>
      <c r="B753" s="15" t="s">
        <v>440</v>
      </c>
      <c r="C753" s="15" t="s">
        <v>105</v>
      </c>
      <c r="D753" s="15" t="s">
        <v>449</v>
      </c>
      <c r="E753" s="19">
        <v>16614</v>
      </c>
      <c r="F753" s="19">
        <v>19764</v>
      </c>
      <c r="G753" s="20">
        <f t="shared" si="11"/>
        <v>0.54329539831766449</v>
      </c>
      <c r="H753" s="24" t="s">
        <v>548</v>
      </c>
      <c r="I753" s="24" t="s">
        <v>577</v>
      </c>
      <c r="J753" s="24" t="s">
        <v>578</v>
      </c>
      <c r="K753" s="24" t="s">
        <v>570</v>
      </c>
    </row>
    <row r="754" spans="1:11">
      <c r="A754" s="12">
        <v>2013</v>
      </c>
      <c r="B754" s="15" t="s">
        <v>440</v>
      </c>
      <c r="C754" s="15" t="s">
        <v>450</v>
      </c>
      <c r="D754" s="15" t="s">
        <v>451</v>
      </c>
      <c r="E754" s="19">
        <v>110322</v>
      </c>
      <c r="F754" s="19">
        <v>64567</v>
      </c>
      <c r="G754" s="20">
        <f t="shared" si="11"/>
        <v>0.36918845667823591</v>
      </c>
      <c r="H754" s="24" t="s">
        <v>548</v>
      </c>
      <c r="I754" s="24" t="s">
        <v>571</v>
      </c>
      <c r="J754" s="24" t="s">
        <v>572</v>
      </c>
      <c r="K754" s="24" t="s">
        <v>570</v>
      </c>
    </row>
    <row r="755" spans="1:11">
      <c r="A755" s="12">
        <v>2013</v>
      </c>
      <c r="B755" s="15" t="s">
        <v>440</v>
      </c>
      <c r="C755" s="15" t="s">
        <v>452</v>
      </c>
      <c r="D755" s="15" t="s">
        <v>453</v>
      </c>
      <c r="E755" s="19">
        <v>63963</v>
      </c>
      <c r="F755" s="19">
        <v>39676</v>
      </c>
      <c r="G755" s="20">
        <f t="shared" si="11"/>
        <v>0.38282885786238768</v>
      </c>
      <c r="H755" s="24" t="s">
        <v>548</v>
      </c>
      <c r="I755" s="24" t="s">
        <v>577</v>
      </c>
      <c r="J755" s="24" t="s">
        <v>578</v>
      </c>
      <c r="K755" s="24" t="s">
        <v>570</v>
      </c>
    </row>
    <row r="756" spans="1:11">
      <c r="A756" s="12">
        <v>2013</v>
      </c>
      <c r="B756" s="15" t="s">
        <v>440</v>
      </c>
      <c r="C756" s="15" t="s">
        <v>454</v>
      </c>
      <c r="D756" s="15" t="s">
        <v>455</v>
      </c>
      <c r="E756" s="19">
        <v>23235</v>
      </c>
      <c r="F756" s="19">
        <v>27314</v>
      </c>
      <c r="G756" s="20">
        <f t="shared" si="11"/>
        <v>0.54034699004925912</v>
      </c>
      <c r="H756" s="24" t="s">
        <v>548</v>
      </c>
      <c r="I756" s="24" t="s">
        <v>577</v>
      </c>
      <c r="J756" s="24" t="s">
        <v>578</v>
      </c>
      <c r="K756" s="24" t="s">
        <v>570</v>
      </c>
    </row>
    <row r="757" spans="1:11">
      <c r="A757" s="12">
        <v>2013</v>
      </c>
      <c r="B757" s="15" t="s">
        <v>440</v>
      </c>
      <c r="C757" s="15" t="s">
        <v>456</v>
      </c>
      <c r="D757" s="15" t="s">
        <v>457</v>
      </c>
      <c r="E757" s="19">
        <v>86516</v>
      </c>
      <c r="F757" s="19">
        <v>55078</v>
      </c>
      <c r="G757" s="20">
        <f t="shared" si="11"/>
        <v>0.3889854089862565</v>
      </c>
      <c r="H757" s="24" t="s">
        <v>548</v>
      </c>
      <c r="I757" s="24" t="s">
        <v>577</v>
      </c>
      <c r="J757" s="24" t="s">
        <v>578</v>
      </c>
      <c r="K757" s="24" t="s">
        <v>570</v>
      </c>
    </row>
    <row r="758" spans="1:11">
      <c r="A758" s="12">
        <v>2013</v>
      </c>
      <c r="B758" s="15" t="s">
        <v>440</v>
      </c>
      <c r="C758" s="15" t="s">
        <v>458</v>
      </c>
      <c r="D758" s="15" t="s">
        <v>459</v>
      </c>
      <c r="E758" s="19">
        <v>31482</v>
      </c>
      <c r="F758" s="19">
        <v>34806</v>
      </c>
      <c r="G758" s="20">
        <f t="shared" si="11"/>
        <v>0.52507241129616222</v>
      </c>
      <c r="H758" s="24" t="s">
        <v>548</v>
      </c>
      <c r="I758" s="24" t="s">
        <v>577</v>
      </c>
      <c r="J758" s="24" t="s">
        <v>578</v>
      </c>
      <c r="K758" s="24" t="s">
        <v>570</v>
      </c>
    </row>
    <row r="759" spans="1:11">
      <c r="A759" s="12">
        <v>2013</v>
      </c>
      <c r="B759" s="15" t="s">
        <v>440</v>
      </c>
      <c r="C759" s="15" t="s">
        <v>460</v>
      </c>
      <c r="D759" s="15" t="s">
        <v>461</v>
      </c>
      <c r="E759" s="19">
        <v>147548</v>
      </c>
      <c r="F759" s="19">
        <v>53787</v>
      </c>
      <c r="G759" s="20">
        <f t="shared" si="11"/>
        <v>0.26715176198872526</v>
      </c>
      <c r="H759" s="24" t="s">
        <v>548</v>
      </c>
      <c r="I759" s="24" t="s">
        <v>571</v>
      </c>
      <c r="J759" s="24" t="s">
        <v>572</v>
      </c>
      <c r="K759" s="24" t="s">
        <v>570</v>
      </c>
    </row>
    <row r="760" spans="1:11">
      <c r="A760" s="12">
        <v>2013</v>
      </c>
      <c r="B760" s="15" t="s">
        <v>440</v>
      </c>
      <c r="C760" s="15" t="s">
        <v>462</v>
      </c>
      <c r="D760" s="15" t="s">
        <v>463</v>
      </c>
      <c r="E760" s="19">
        <v>32252</v>
      </c>
      <c r="F760" s="19">
        <v>28036</v>
      </c>
      <c r="G760" s="20">
        <f t="shared" si="11"/>
        <v>0.46503450106157113</v>
      </c>
      <c r="H760" s="24" t="s">
        <v>548</v>
      </c>
      <c r="I760" s="24" t="s">
        <v>577</v>
      </c>
      <c r="J760" s="24" t="s">
        <v>578</v>
      </c>
      <c r="K760" s="24" t="s">
        <v>570</v>
      </c>
    </row>
    <row r="761" spans="1:11">
      <c r="A761" s="12">
        <v>2013</v>
      </c>
      <c r="B761" s="15" t="s">
        <v>440</v>
      </c>
      <c r="C761" s="15" t="s">
        <v>464</v>
      </c>
      <c r="D761" s="15" t="s">
        <v>465</v>
      </c>
      <c r="E761" s="19">
        <v>12885</v>
      </c>
      <c r="F761" s="19">
        <v>14566</v>
      </c>
      <c r="G761" s="20">
        <f t="shared" si="11"/>
        <v>0.53061819241557684</v>
      </c>
      <c r="H761" s="24" t="s">
        <v>548</v>
      </c>
      <c r="I761" s="24" t="s">
        <v>577</v>
      </c>
      <c r="J761" s="24" t="s">
        <v>578</v>
      </c>
      <c r="K761" s="24" t="s">
        <v>570</v>
      </c>
    </row>
    <row r="762" spans="1:11">
      <c r="A762" s="12">
        <v>2013</v>
      </c>
      <c r="B762" s="15" t="s">
        <v>440</v>
      </c>
      <c r="C762" s="15" t="s">
        <v>466</v>
      </c>
      <c r="D762" s="15" t="s">
        <v>467</v>
      </c>
      <c r="E762" s="19">
        <v>95985</v>
      </c>
      <c r="F762" s="19">
        <v>58522</v>
      </c>
      <c r="G762" s="20">
        <f t="shared" si="11"/>
        <v>0.37876601060146142</v>
      </c>
      <c r="H762" s="24" t="s">
        <v>548</v>
      </c>
      <c r="I762" s="24" t="s">
        <v>577</v>
      </c>
      <c r="J762" s="24" t="s">
        <v>578</v>
      </c>
      <c r="K762" s="24" t="s">
        <v>570</v>
      </c>
    </row>
    <row r="763" spans="1:11">
      <c r="A763" s="12">
        <v>2013</v>
      </c>
      <c r="B763" s="15" t="s">
        <v>440</v>
      </c>
      <c r="C763" s="15" t="s">
        <v>468</v>
      </c>
      <c r="D763" s="15" t="s">
        <v>469</v>
      </c>
      <c r="E763" s="19">
        <v>81847</v>
      </c>
      <c r="F763" s="19">
        <v>57331</v>
      </c>
      <c r="G763" s="20">
        <f t="shared" si="11"/>
        <v>0.41192573538921379</v>
      </c>
      <c r="H763" s="24" t="s">
        <v>548</v>
      </c>
      <c r="I763" s="24" t="s">
        <v>577</v>
      </c>
      <c r="J763" s="24" t="s">
        <v>578</v>
      </c>
      <c r="K763" s="24" t="s">
        <v>570</v>
      </c>
    </row>
    <row r="764" spans="1:11">
      <c r="A764" s="12">
        <v>2013</v>
      </c>
      <c r="B764" s="15" t="s">
        <v>440</v>
      </c>
      <c r="C764" s="15" t="s">
        <v>470</v>
      </c>
      <c r="D764" s="15" t="s">
        <v>471</v>
      </c>
      <c r="E764" s="19">
        <v>34398</v>
      </c>
      <c r="F764" s="19">
        <v>33322</v>
      </c>
      <c r="G764" s="20">
        <f t="shared" si="11"/>
        <v>0.49205552274069697</v>
      </c>
      <c r="H764" s="24" t="s">
        <v>548</v>
      </c>
      <c r="I764" s="24" t="s">
        <v>577</v>
      </c>
      <c r="J764" s="24" t="s">
        <v>578</v>
      </c>
      <c r="K764" s="24" t="s">
        <v>570</v>
      </c>
    </row>
    <row r="765" spans="1:11">
      <c r="A765" s="12">
        <v>2013</v>
      </c>
      <c r="B765" s="15" t="s">
        <v>440</v>
      </c>
      <c r="C765" s="15" t="s">
        <v>472</v>
      </c>
      <c r="D765" s="15" t="s">
        <v>473</v>
      </c>
      <c r="E765" s="19">
        <v>7248</v>
      </c>
      <c r="F765" s="19">
        <v>8070</v>
      </c>
      <c r="G765" s="20">
        <f t="shared" si="11"/>
        <v>0.52683117900509202</v>
      </c>
      <c r="H765" s="24" t="s">
        <v>548</v>
      </c>
      <c r="I765" s="24" t="s">
        <v>577</v>
      </c>
      <c r="J765" s="24" t="s">
        <v>578</v>
      </c>
      <c r="K765" s="24" t="s">
        <v>570</v>
      </c>
    </row>
    <row r="766" spans="1:11">
      <c r="A766" s="12">
        <v>2013</v>
      </c>
      <c r="B766" s="15" t="s">
        <v>440</v>
      </c>
      <c r="C766" s="15" t="s">
        <v>474</v>
      </c>
      <c r="D766" s="15" t="s">
        <v>475</v>
      </c>
      <c r="E766" s="19">
        <v>43000</v>
      </c>
      <c r="F766" s="19">
        <v>32312</v>
      </c>
      <c r="G766" s="20">
        <f t="shared" si="11"/>
        <v>0.42904185256001698</v>
      </c>
      <c r="H766" s="24" t="s">
        <v>548</v>
      </c>
      <c r="I766" s="24" t="s">
        <v>577</v>
      </c>
      <c r="J766" s="24" t="s">
        <v>578</v>
      </c>
      <c r="K766" s="24" t="s">
        <v>570</v>
      </c>
    </row>
    <row r="767" spans="1:11">
      <c r="A767" s="12">
        <v>2013</v>
      </c>
      <c r="B767" s="15" t="s">
        <v>440</v>
      </c>
      <c r="C767" s="15" t="s">
        <v>476</v>
      </c>
      <c r="D767" s="15" t="s">
        <v>477</v>
      </c>
      <c r="E767" s="19">
        <v>44500</v>
      </c>
      <c r="F767" s="19">
        <v>39866</v>
      </c>
      <c r="G767" s="20">
        <f t="shared" si="11"/>
        <v>0.47253632980110472</v>
      </c>
      <c r="H767" s="24" t="s">
        <v>548</v>
      </c>
      <c r="I767" s="24" t="s">
        <v>577</v>
      </c>
      <c r="J767" s="24" t="s">
        <v>578</v>
      </c>
      <c r="K767" s="24" t="s">
        <v>570</v>
      </c>
    </row>
    <row r="768" spans="1:11">
      <c r="A768" s="12">
        <v>2013</v>
      </c>
      <c r="B768" s="15" t="s">
        <v>440</v>
      </c>
      <c r="C768" s="15" t="s">
        <v>478</v>
      </c>
      <c r="D768" s="15" t="s">
        <v>479</v>
      </c>
      <c r="E768" s="19">
        <v>32624</v>
      </c>
      <c r="F768" s="19">
        <v>33924</v>
      </c>
      <c r="G768" s="20">
        <f t="shared" si="11"/>
        <v>0.50976738594698567</v>
      </c>
      <c r="H768" s="24" t="s">
        <v>548</v>
      </c>
      <c r="I768" s="24" t="s">
        <v>577</v>
      </c>
      <c r="J768" s="24" t="s">
        <v>578</v>
      </c>
      <c r="K768" s="24" t="s">
        <v>570</v>
      </c>
    </row>
    <row r="769" spans="1:11">
      <c r="A769" s="12">
        <v>2013</v>
      </c>
      <c r="B769" s="15" t="s">
        <v>440</v>
      </c>
      <c r="C769" s="15" t="s">
        <v>480</v>
      </c>
      <c r="D769" s="15" t="s">
        <v>481</v>
      </c>
      <c r="E769" s="19">
        <v>19317</v>
      </c>
      <c r="F769" s="19">
        <v>20889</v>
      </c>
      <c r="G769" s="20">
        <f t="shared" si="11"/>
        <v>0.51954932099686613</v>
      </c>
      <c r="H769" s="24" t="s">
        <v>548</v>
      </c>
      <c r="I769" s="24" t="s">
        <v>577</v>
      </c>
      <c r="J769" s="24" t="s">
        <v>578</v>
      </c>
      <c r="K769" s="24" t="s">
        <v>570</v>
      </c>
    </row>
    <row r="770" spans="1:11">
      <c r="A770" s="12">
        <v>2013</v>
      </c>
      <c r="B770" s="15" t="s">
        <v>440</v>
      </c>
      <c r="C770" s="15" t="s">
        <v>482</v>
      </c>
      <c r="D770" s="15" t="s">
        <v>483</v>
      </c>
      <c r="E770" s="19">
        <v>90696</v>
      </c>
      <c r="F770" s="19">
        <v>86989</v>
      </c>
      <c r="G770" s="20">
        <f t="shared" si="11"/>
        <v>0.48956861862284379</v>
      </c>
      <c r="H770" s="24" t="s">
        <v>548</v>
      </c>
      <c r="I770" s="24" t="s">
        <v>577</v>
      </c>
      <c r="J770" s="24" t="s">
        <v>578</v>
      </c>
      <c r="K770" s="24" t="s">
        <v>570</v>
      </c>
    </row>
    <row r="771" spans="1:11">
      <c r="A771" s="12">
        <v>2013</v>
      </c>
      <c r="B771" s="15" t="s">
        <v>440</v>
      </c>
      <c r="C771" s="15" t="s">
        <v>484</v>
      </c>
      <c r="D771" s="15" t="s">
        <v>485</v>
      </c>
      <c r="E771" s="19">
        <v>202934</v>
      </c>
      <c r="F771" s="19">
        <v>165060</v>
      </c>
      <c r="G771" s="20">
        <f t="shared" si="11"/>
        <v>0.44853992184655184</v>
      </c>
      <c r="H771" s="24" t="s">
        <v>548</v>
      </c>
      <c r="I771" s="24" t="s">
        <v>571</v>
      </c>
      <c r="J771" s="24" t="s">
        <v>572</v>
      </c>
      <c r="K771" s="24" t="s">
        <v>570</v>
      </c>
    </row>
    <row r="772" spans="1:11">
      <c r="A772" s="12">
        <v>2013</v>
      </c>
      <c r="B772" s="15" t="s">
        <v>440</v>
      </c>
      <c r="C772" s="15" t="s">
        <v>486</v>
      </c>
      <c r="D772" s="15" t="s">
        <v>487</v>
      </c>
      <c r="E772" s="19">
        <v>228960</v>
      </c>
      <c r="F772" s="19">
        <v>145585</v>
      </c>
      <c r="G772" s="20">
        <f t="shared" si="11"/>
        <v>0.388698287255203</v>
      </c>
      <c r="H772" s="24" t="s">
        <v>548</v>
      </c>
      <c r="I772" s="24" t="s">
        <v>571</v>
      </c>
      <c r="J772" s="24" t="s">
        <v>572</v>
      </c>
      <c r="K772" s="24" t="s">
        <v>570</v>
      </c>
    </row>
    <row r="773" spans="1:11">
      <c r="A773" s="12">
        <v>2013</v>
      </c>
      <c r="B773" s="15" t="s">
        <v>488</v>
      </c>
      <c r="C773" s="15" t="s">
        <v>22</v>
      </c>
      <c r="D773" s="15" t="s">
        <v>488</v>
      </c>
      <c r="E773" s="19">
        <v>3000737</v>
      </c>
      <c r="F773" s="19">
        <v>887576</v>
      </c>
      <c r="G773" s="20">
        <f t="shared" si="11"/>
        <v>0.2282676317467241</v>
      </c>
      <c r="H773" s="24" t="s">
        <v>548</v>
      </c>
      <c r="I773" s="24" t="s">
        <v>577</v>
      </c>
      <c r="J773" s="24" t="s">
        <v>578</v>
      </c>
      <c r="K773" s="24" t="s">
        <v>570</v>
      </c>
    </row>
    <row r="774" spans="1:11">
      <c r="A774" s="12">
        <v>2013</v>
      </c>
      <c r="B774" s="15" t="s">
        <v>488</v>
      </c>
      <c r="C774" s="15" t="s">
        <v>489</v>
      </c>
      <c r="D774" s="15" t="s">
        <v>490</v>
      </c>
      <c r="E774" s="19">
        <v>216647</v>
      </c>
      <c r="F774" s="19">
        <v>108566</v>
      </c>
      <c r="G774" s="20">
        <f t="shared" ref="G774:G837" si="12">IFERROR(F774/(E774+F774),"")</f>
        <v>0.3338304434324581</v>
      </c>
      <c r="H774" s="24" t="s">
        <v>548</v>
      </c>
      <c r="I774" s="24" t="s">
        <v>577</v>
      </c>
      <c r="J774" s="24" t="s">
        <v>578</v>
      </c>
      <c r="K774" s="24" t="s">
        <v>570</v>
      </c>
    </row>
    <row r="775" spans="1:11">
      <c r="A775" s="12">
        <v>2013</v>
      </c>
      <c r="B775" s="15" t="s">
        <v>488</v>
      </c>
      <c r="C775" s="15" t="s">
        <v>491</v>
      </c>
      <c r="D775" s="15" t="s">
        <v>492</v>
      </c>
      <c r="E775" s="19">
        <v>54460</v>
      </c>
      <c r="F775" s="19">
        <v>32500</v>
      </c>
      <c r="G775" s="20">
        <f t="shared" si="12"/>
        <v>0.37373505059797607</v>
      </c>
      <c r="H775" s="24" t="s">
        <v>548</v>
      </c>
      <c r="I775" s="24" t="s">
        <v>577</v>
      </c>
      <c r="J775" s="24" t="s">
        <v>578</v>
      </c>
      <c r="K775" s="24" t="s">
        <v>570</v>
      </c>
    </row>
    <row r="776" spans="1:11">
      <c r="A776" s="12">
        <v>2013</v>
      </c>
      <c r="B776" s="15" t="s">
        <v>488</v>
      </c>
      <c r="C776" s="15" t="s">
        <v>260</v>
      </c>
      <c r="D776" s="15" t="s">
        <v>493</v>
      </c>
      <c r="E776" s="19">
        <v>43432</v>
      </c>
      <c r="F776" s="19">
        <v>40593</v>
      </c>
      <c r="G776" s="20">
        <f t="shared" si="12"/>
        <v>0.48310621838738471</v>
      </c>
      <c r="H776" s="24" t="s">
        <v>548</v>
      </c>
      <c r="I776" s="24" t="s">
        <v>577</v>
      </c>
      <c r="J776" s="24" t="s">
        <v>578</v>
      </c>
      <c r="K776" s="24" t="s">
        <v>570</v>
      </c>
    </row>
    <row r="777" spans="1:11">
      <c r="A777" s="12">
        <v>2013</v>
      </c>
      <c r="B777" s="15" t="s">
        <v>488</v>
      </c>
      <c r="C777" s="15" t="s">
        <v>494</v>
      </c>
      <c r="D777" s="15" t="s">
        <v>495</v>
      </c>
      <c r="E777" s="19">
        <v>454196</v>
      </c>
      <c r="F777" s="19">
        <v>229746</v>
      </c>
      <c r="G777" s="20">
        <f t="shared" si="12"/>
        <v>0.33591444888601663</v>
      </c>
      <c r="H777" s="24" t="s">
        <v>548</v>
      </c>
      <c r="I777" s="24" t="s">
        <v>577</v>
      </c>
      <c r="J777" s="24" t="s">
        <v>578</v>
      </c>
      <c r="K777" s="24" t="s">
        <v>570</v>
      </c>
    </row>
    <row r="778" spans="1:11">
      <c r="A778" s="12">
        <v>2013</v>
      </c>
      <c r="B778" s="15" t="s">
        <v>488</v>
      </c>
      <c r="C778" s="15" t="s">
        <v>496</v>
      </c>
      <c r="D778" s="15" t="s">
        <v>497</v>
      </c>
      <c r="E778" s="19">
        <v>37492</v>
      </c>
      <c r="F778" s="19">
        <v>33412</v>
      </c>
      <c r="G778" s="20">
        <f t="shared" si="12"/>
        <v>0.47122870359923275</v>
      </c>
      <c r="H778" s="24" t="s">
        <v>548</v>
      </c>
      <c r="I778" s="24" t="s">
        <v>577</v>
      </c>
      <c r="J778" s="24" t="s">
        <v>578</v>
      </c>
      <c r="K778" s="24" t="s">
        <v>570</v>
      </c>
    </row>
    <row r="779" spans="1:11">
      <c r="A779" s="12">
        <v>2013</v>
      </c>
      <c r="B779" s="15" t="s">
        <v>488</v>
      </c>
      <c r="C779" s="15" t="s">
        <v>498</v>
      </c>
      <c r="D779" s="15" t="s">
        <v>499</v>
      </c>
      <c r="E779" s="19">
        <v>89676</v>
      </c>
      <c r="F779" s="19">
        <v>58292</v>
      </c>
      <c r="G779" s="20">
        <f t="shared" si="12"/>
        <v>0.39395004325259514</v>
      </c>
      <c r="H779" s="24" t="s">
        <v>548</v>
      </c>
      <c r="I779" s="24" t="s">
        <v>577</v>
      </c>
      <c r="J779" s="24" t="s">
        <v>578</v>
      </c>
      <c r="K779" s="24" t="s">
        <v>570</v>
      </c>
    </row>
    <row r="780" spans="1:11">
      <c r="A780" s="12">
        <v>2013</v>
      </c>
      <c r="B780" s="15" t="s">
        <v>488</v>
      </c>
      <c r="C780" s="15" t="s">
        <v>500</v>
      </c>
      <c r="D780" s="15" t="s">
        <v>501</v>
      </c>
      <c r="E780" s="19">
        <v>96839</v>
      </c>
      <c r="F780" s="19">
        <v>70670</v>
      </c>
      <c r="G780" s="20">
        <f t="shared" si="12"/>
        <v>0.42188777916410464</v>
      </c>
      <c r="H780" s="24" t="s">
        <v>548</v>
      </c>
      <c r="I780" s="24" t="s">
        <v>577</v>
      </c>
      <c r="J780" s="24" t="s">
        <v>578</v>
      </c>
      <c r="K780" s="24" t="s">
        <v>570</v>
      </c>
    </row>
    <row r="781" spans="1:11">
      <c r="A781" s="12">
        <v>2013</v>
      </c>
      <c r="B781" s="15" t="s">
        <v>488</v>
      </c>
      <c r="C781" s="15" t="s">
        <v>502</v>
      </c>
      <c r="D781" s="15" t="s">
        <v>503</v>
      </c>
      <c r="E781" s="19">
        <v>25702</v>
      </c>
      <c r="F781" s="19">
        <v>29299</v>
      </c>
      <c r="G781" s="20">
        <f t="shared" si="12"/>
        <v>0.53269940546535521</v>
      </c>
      <c r="H781" s="24" t="s">
        <v>548</v>
      </c>
      <c r="I781" s="24" t="s">
        <v>577</v>
      </c>
      <c r="J781" s="24" t="s">
        <v>578</v>
      </c>
      <c r="K781" s="24" t="s">
        <v>570</v>
      </c>
    </row>
    <row r="782" spans="1:11">
      <c r="A782" s="12">
        <v>2013</v>
      </c>
      <c r="B782" s="15" t="s">
        <v>488</v>
      </c>
      <c r="C782" s="15" t="s">
        <v>504</v>
      </c>
      <c r="D782" s="15" t="s">
        <v>505</v>
      </c>
      <c r="E782" s="19">
        <v>234765</v>
      </c>
      <c r="F782" s="19">
        <v>136072</v>
      </c>
      <c r="G782" s="20">
        <f t="shared" si="12"/>
        <v>0.36693210224438233</v>
      </c>
      <c r="H782" s="24" t="s">
        <v>548</v>
      </c>
      <c r="I782" s="24" t="s">
        <v>577</v>
      </c>
      <c r="J782" s="24" t="s">
        <v>578</v>
      </c>
      <c r="K782" s="24" t="s">
        <v>570</v>
      </c>
    </row>
    <row r="783" spans="1:11">
      <c r="A783" s="12">
        <v>2013</v>
      </c>
      <c r="B783" s="15" t="s">
        <v>488</v>
      </c>
      <c r="C783" s="15" t="s">
        <v>506</v>
      </c>
      <c r="D783" s="15" t="s">
        <v>507</v>
      </c>
      <c r="E783" s="19">
        <v>21489</v>
      </c>
      <c r="F783" s="19">
        <v>23487</v>
      </c>
      <c r="G783" s="20">
        <f t="shared" si="12"/>
        <v>0.5222118463180363</v>
      </c>
      <c r="H783" s="24" t="s">
        <v>548</v>
      </c>
      <c r="I783" s="24" t="s">
        <v>577</v>
      </c>
      <c r="J783" s="24" t="s">
        <v>578</v>
      </c>
      <c r="K783" s="24" t="s">
        <v>570</v>
      </c>
    </row>
    <row r="784" spans="1:11">
      <c r="A784" s="12">
        <v>2013</v>
      </c>
      <c r="B784" s="15" t="s">
        <v>488</v>
      </c>
      <c r="C784" s="15" t="s">
        <v>508</v>
      </c>
      <c r="D784" s="15" t="s">
        <v>509</v>
      </c>
      <c r="E784" s="19">
        <v>298337</v>
      </c>
      <c r="F784" s="19">
        <v>89780</v>
      </c>
      <c r="G784" s="20">
        <f t="shared" si="12"/>
        <v>0.23132199826341027</v>
      </c>
      <c r="H784" s="24" t="s">
        <v>548</v>
      </c>
      <c r="I784" s="24" t="s">
        <v>577</v>
      </c>
      <c r="J784" s="24" t="s">
        <v>578</v>
      </c>
      <c r="K784" s="24" t="s">
        <v>570</v>
      </c>
    </row>
    <row r="785" spans="1:11">
      <c r="A785" s="12">
        <v>2013</v>
      </c>
      <c r="B785" s="15" t="s">
        <v>488</v>
      </c>
      <c r="C785" s="15" t="s">
        <v>510</v>
      </c>
      <c r="D785" s="15" t="s">
        <v>511</v>
      </c>
      <c r="E785" s="19">
        <v>49429</v>
      </c>
      <c r="F785" s="19">
        <v>46336</v>
      </c>
      <c r="G785" s="20">
        <f t="shared" si="12"/>
        <v>0.4838510938234219</v>
      </c>
      <c r="H785" s="24" t="s">
        <v>548</v>
      </c>
      <c r="I785" s="24" t="s">
        <v>577</v>
      </c>
      <c r="J785" s="24" t="s">
        <v>578</v>
      </c>
      <c r="K785" s="24" t="s">
        <v>570</v>
      </c>
    </row>
    <row r="786" spans="1:11">
      <c r="A786" s="12">
        <v>2013</v>
      </c>
      <c r="B786" s="15" t="s">
        <v>488</v>
      </c>
      <c r="C786" s="15" t="s">
        <v>512</v>
      </c>
      <c r="D786" s="15" t="s">
        <v>513</v>
      </c>
      <c r="E786" s="19">
        <v>149120</v>
      </c>
      <c r="F786" s="19">
        <v>111592</v>
      </c>
      <c r="G786" s="20">
        <f t="shared" si="12"/>
        <v>0.42802786216207922</v>
      </c>
      <c r="H786" s="24" t="s">
        <v>548</v>
      </c>
      <c r="I786" s="24" t="s">
        <v>577</v>
      </c>
      <c r="J786" s="24" t="s">
        <v>578</v>
      </c>
      <c r="K786" s="24" t="s">
        <v>570</v>
      </c>
    </row>
    <row r="787" spans="1:11">
      <c r="A787" s="12">
        <v>2013</v>
      </c>
      <c r="B787" s="15" t="s">
        <v>488</v>
      </c>
      <c r="C787" s="15" t="s">
        <v>514</v>
      </c>
      <c r="D787" s="15" t="s">
        <v>515</v>
      </c>
      <c r="E787" s="19">
        <v>178340</v>
      </c>
      <c r="F787" s="19">
        <v>137706</v>
      </c>
      <c r="G787" s="20">
        <f t="shared" si="12"/>
        <v>0.4357150541376888</v>
      </c>
      <c r="H787" s="24" t="s">
        <v>548</v>
      </c>
      <c r="I787" s="24" t="s">
        <v>577</v>
      </c>
      <c r="J787" s="24" t="s">
        <v>578</v>
      </c>
      <c r="K787" s="24" t="s">
        <v>570</v>
      </c>
    </row>
    <row r="788" spans="1:11">
      <c r="A788" s="12">
        <v>2013</v>
      </c>
      <c r="B788" s="15" t="s">
        <v>488</v>
      </c>
      <c r="C788" s="15" t="s">
        <v>516</v>
      </c>
      <c r="D788" s="15" t="s">
        <v>517</v>
      </c>
      <c r="E788" s="19">
        <v>199356</v>
      </c>
      <c r="F788" s="19">
        <v>150786</v>
      </c>
      <c r="G788" s="20">
        <f t="shared" si="12"/>
        <v>0.43064242507325601</v>
      </c>
      <c r="H788" s="24" t="s">
        <v>548</v>
      </c>
      <c r="I788" s="24" t="s">
        <v>577</v>
      </c>
      <c r="J788" s="24" t="s">
        <v>578</v>
      </c>
      <c r="K788" s="24" t="s">
        <v>570</v>
      </c>
    </row>
    <row r="789" spans="1:11">
      <c r="A789" s="12">
        <v>2013</v>
      </c>
      <c r="B789" s="15" t="s">
        <v>488</v>
      </c>
      <c r="C789" s="15" t="s">
        <v>518</v>
      </c>
      <c r="D789" s="15" t="s">
        <v>519</v>
      </c>
      <c r="E789" s="19">
        <v>198626</v>
      </c>
      <c r="F789" s="19">
        <v>173760</v>
      </c>
      <c r="G789" s="20">
        <f t="shared" si="12"/>
        <v>0.46661260090336371</v>
      </c>
      <c r="H789" s="24" t="s">
        <v>548</v>
      </c>
      <c r="I789" s="24" t="s">
        <v>577</v>
      </c>
      <c r="J789" s="24" t="s">
        <v>578</v>
      </c>
      <c r="K789" s="24" t="s">
        <v>570</v>
      </c>
    </row>
    <row r="790" spans="1:11">
      <c r="A790" s="12">
        <v>2013</v>
      </c>
      <c r="B790" s="15" t="s">
        <v>488</v>
      </c>
      <c r="C790" s="15" t="s">
        <v>520</v>
      </c>
      <c r="D790" s="15" t="s">
        <v>521</v>
      </c>
      <c r="E790" s="19">
        <v>153863</v>
      </c>
      <c r="F790" s="19">
        <v>103553</v>
      </c>
      <c r="G790" s="20">
        <f t="shared" si="12"/>
        <v>0.40227880162849239</v>
      </c>
      <c r="H790" s="24" t="s">
        <v>548</v>
      </c>
      <c r="I790" s="24" t="s">
        <v>577</v>
      </c>
      <c r="J790" s="24" t="s">
        <v>578</v>
      </c>
      <c r="K790" s="24" t="s">
        <v>570</v>
      </c>
    </row>
    <row r="791" spans="1:11">
      <c r="A791" s="12">
        <v>2013</v>
      </c>
      <c r="B791" s="15" t="s">
        <v>488</v>
      </c>
      <c r="C791" s="15" t="s">
        <v>522</v>
      </c>
      <c r="D791" s="15" t="s">
        <v>523</v>
      </c>
      <c r="E791" s="19">
        <v>123203</v>
      </c>
      <c r="F791" s="19">
        <v>60844</v>
      </c>
      <c r="G791" s="20">
        <f t="shared" si="12"/>
        <v>0.33058946899433295</v>
      </c>
      <c r="H791" s="24" t="s">
        <v>548</v>
      </c>
      <c r="I791" s="24" t="s">
        <v>577</v>
      </c>
      <c r="J791" s="24" t="s">
        <v>578</v>
      </c>
      <c r="K791" s="24" t="s">
        <v>570</v>
      </c>
    </row>
    <row r="792" spans="1:11">
      <c r="A792" s="12">
        <v>2013</v>
      </c>
      <c r="B792" s="15" t="s">
        <v>488</v>
      </c>
      <c r="C792" s="15" t="s">
        <v>524</v>
      </c>
      <c r="D792" s="15" t="s">
        <v>525</v>
      </c>
      <c r="E792" s="19">
        <v>37491</v>
      </c>
      <c r="F792" s="19">
        <v>36709</v>
      </c>
      <c r="G792" s="20">
        <f t="shared" si="12"/>
        <v>0.49473045822102424</v>
      </c>
      <c r="H792" s="24" t="s">
        <v>548</v>
      </c>
      <c r="I792" s="24" t="s">
        <v>577</v>
      </c>
      <c r="J792" s="24" t="s">
        <v>578</v>
      </c>
      <c r="K792" s="24" t="s">
        <v>570</v>
      </c>
    </row>
    <row r="793" spans="1:11">
      <c r="A793" s="12">
        <v>2013</v>
      </c>
      <c r="B793" s="15" t="s">
        <v>488</v>
      </c>
      <c r="C793" s="15" t="s">
        <v>526</v>
      </c>
      <c r="D793" s="15" t="s">
        <v>527</v>
      </c>
      <c r="E793" s="19">
        <v>47331</v>
      </c>
      <c r="F793" s="19">
        <v>52966</v>
      </c>
      <c r="G793" s="20">
        <f t="shared" si="12"/>
        <v>0.52809156804291257</v>
      </c>
      <c r="H793" s="24" t="s">
        <v>548</v>
      </c>
      <c r="I793" s="24" t="s">
        <v>577</v>
      </c>
      <c r="J793" s="24" t="s">
        <v>578</v>
      </c>
      <c r="K793" s="24" t="s">
        <v>570</v>
      </c>
    </row>
    <row r="794" spans="1:11">
      <c r="A794" s="12">
        <v>2013</v>
      </c>
      <c r="B794" s="15" t="s">
        <v>488</v>
      </c>
      <c r="C794" s="15" t="s">
        <v>528</v>
      </c>
      <c r="D794" s="15" t="s">
        <v>529</v>
      </c>
      <c r="E794" s="19">
        <v>33741</v>
      </c>
      <c r="F794" s="19">
        <v>28959</v>
      </c>
      <c r="G794" s="20">
        <f t="shared" si="12"/>
        <v>0.46186602870813398</v>
      </c>
      <c r="H794" s="24" t="s">
        <v>548</v>
      </c>
      <c r="I794" s="24" t="s">
        <v>577</v>
      </c>
      <c r="J794" s="24" t="s">
        <v>578</v>
      </c>
      <c r="K794" s="24" t="s">
        <v>570</v>
      </c>
    </row>
    <row r="795" spans="1:11">
      <c r="A795" s="12">
        <v>2013</v>
      </c>
      <c r="B795" s="15" t="s">
        <v>488</v>
      </c>
      <c r="C795" s="15" t="s">
        <v>530</v>
      </c>
      <c r="D795" s="15" t="s">
        <v>531</v>
      </c>
      <c r="E795" s="19">
        <v>37831</v>
      </c>
      <c r="F795" s="19">
        <v>36311</v>
      </c>
      <c r="G795" s="20">
        <f t="shared" si="12"/>
        <v>0.48974939980038307</v>
      </c>
      <c r="H795" s="24" t="s">
        <v>548</v>
      </c>
      <c r="I795" s="24" t="s">
        <v>577</v>
      </c>
      <c r="J795" s="24" t="s">
        <v>578</v>
      </c>
      <c r="K795" s="24" t="s">
        <v>570</v>
      </c>
    </row>
    <row r="796" spans="1:11">
      <c r="A796" s="12">
        <v>2013</v>
      </c>
      <c r="B796" s="15" t="s">
        <v>532</v>
      </c>
      <c r="C796" s="15" t="s">
        <v>22</v>
      </c>
      <c r="D796" s="15" t="s">
        <v>532</v>
      </c>
      <c r="E796" s="19">
        <v>535010</v>
      </c>
      <c r="F796" s="19">
        <v>90491</v>
      </c>
      <c r="G796" s="20">
        <f t="shared" si="12"/>
        <v>0.14466963282232961</v>
      </c>
      <c r="H796" s="24" t="s">
        <v>552</v>
      </c>
      <c r="I796" s="24" t="s">
        <v>573</v>
      </c>
      <c r="J796" s="24" t="s">
        <v>550</v>
      </c>
      <c r="K796" s="24" t="s">
        <v>570</v>
      </c>
    </row>
    <row r="797" spans="1:11">
      <c r="A797" s="12">
        <v>2013</v>
      </c>
      <c r="B797" s="15" t="s">
        <v>532</v>
      </c>
      <c r="C797" s="15" t="s">
        <v>533</v>
      </c>
      <c r="D797" s="15" t="s">
        <v>534</v>
      </c>
      <c r="E797" s="19">
        <v>127342</v>
      </c>
      <c r="F797" s="19">
        <v>90578</v>
      </c>
      <c r="G797" s="20">
        <f t="shared" si="12"/>
        <v>0.4156479441997063</v>
      </c>
      <c r="H797" s="24" t="s">
        <v>552</v>
      </c>
      <c r="I797" s="24" t="s">
        <v>573</v>
      </c>
      <c r="J797" s="24" t="s">
        <v>550</v>
      </c>
      <c r="K797" s="24" t="s">
        <v>570</v>
      </c>
    </row>
    <row r="798" spans="1:11">
      <c r="A798" s="12">
        <v>2013</v>
      </c>
      <c r="B798" s="15" t="s">
        <v>532</v>
      </c>
      <c r="C798" s="15" t="s">
        <v>535</v>
      </c>
      <c r="D798" s="15" t="s">
        <v>536</v>
      </c>
      <c r="E798" s="19">
        <v>393028</v>
      </c>
      <c r="F798" s="19">
        <v>81877</v>
      </c>
      <c r="G798" s="20">
        <f t="shared" si="12"/>
        <v>0.17240711300154768</v>
      </c>
      <c r="H798" s="24" t="s">
        <v>552</v>
      </c>
      <c r="I798" s="24" t="s">
        <v>573</v>
      </c>
      <c r="J798" s="24" t="s">
        <v>550</v>
      </c>
      <c r="K798" s="24" t="s">
        <v>570</v>
      </c>
    </row>
    <row r="799" spans="1:11">
      <c r="A799" s="12">
        <v>2014</v>
      </c>
      <c r="B799" s="15" t="s">
        <v>21</v>
      </c>
      <c r="C799" s="15" t="s">
        <v>22</v>
      </c>
      <c r="D799" s="15" t="s">
        <v>21</v>
      </c>
      <c r="E799" s="19">
        <v>9016965</v>
      </c>
      <c r="F799" s="19">
        <v>2209410</v>
      </c>
      <c r="G799" s="20">
        <f t="shared" si="12"/>
        <v>0.1968052911113338</v>
      </c>
      <c r="H799" s="24" t="s">
        <v>579</v>
      </c>
      <c r="I799" s="24" t="s">
        <v>580</v>
      </c>
      <c r="J799" s="24" t="s">
        <v>581</v>
      </c>
      <c r="K799" s="24" t="s">
        <v>582</v>
      </c>
    </row>
    <row r="800" spans="1:11">
      <c r="A800" s="12">
        <v>2014</v>
      </c>
      <c r="B800" s="15" t="s">
        <v>21</v>
      </c>
      <c r="C800" s="15" t="s">
        <v>23</v>
      </c>
      <c r="D800" s="15" t="s">
        <v>24</v>
      </c>
      <c r="E800" s="19">
        <v>449323</v>
      </c>
      <c r="F800" s="19">
        <v>378035</v>
      </c>
      <c r="G800" s="20">
        <f t="shared" si="12"/>
        <v>0.45691828688427499</v>
      </c>
      <c r="H800" s="24" t="s">
        <v>579</v>
      </c>
      <c r="I800" s="24" t="s">
        <v>580</v>
      </c>
      <c r="J800" s="24" t="s">
        <v>581</v>
      </c>
      <c r="K800" s="24" t="s">
        <v>582</v>
      </c>
    </row>
    <row r="801" spans="1:11">
      <c r="A801" s="12">
        <v>2014</v>
      </c>
      <c r="B801" s="15" t="s">
        <v>21</v>
      </c>
      <c r="C801" s="15" t="s">
        <v>25</v>
      </c>
      <c r="D801" s="15" t="s">
        <v>26</v>
      </c>
      <c r="E801" s="19">
        <v>390786</v>
      </c>
      <c r="F801" s="19">
        <v>254706</v>
      </c>
      <c r="G801" s="20">
        <f t="shared" si="12"/>
        <v>0.39459203212433308</v>
      </c>
      <c r="H801" s="24" t="s">
        <v>579</v>
      </c>
      <c r="I801" s="24" t="s">
        <v>580</v>
      </c>
      <c r="J801" s="24" t="s">
        <v>581</v>
      </c>
      <c r="K801" s="24" t="s">
        <v>582</v>
      </c>
    </row>
    <row r="802" spans="1:11">
      <c r="A802" s="12">
        <v>2014</v>
      </c>
      <c r="B802" s="15" t="s">
        <v>21</v>
      </c>
      <c r="C802" s="15" t="s">
        <v>27</v>
      </c>
      <c r="D802" s="15" t="s">
        <v>28</v>
      </c>
      <c r="E802" s="19">
        <v>255352</v>
      </c>
      <c r="F802" s="19">
        <v>224077</v>
      </c>
      <c r="G802" s="20">
        <f t="shared" si="12"/>
        <v>0.46738307444897992</v>
      </c>
      <c r="H802" s="24" t="s">
        <v>579</v>
      </c>
      <c r="I802" s="24" t="s">
        <v>580</v>
      </c>
      <c r="J802" s="24" t="s">
        <v>581</v>
      </c>
      <c r="K802" s="24" t="s">
        <v>582</v>
      </c>
    </row>
    <row r="803" spans="1:11">
      <c r="A803" s="12">
        <v>2014</v>
      </c>
      <c r="B803" s="15" t="s">
        <v>21</v>
      </c>
      <c r="C803" s="15" t="s">
        <v>29</v>
      </c>
      <c r="D803" s="15" t="s">
        <v>30</v>
      </c>
      <c r="E803" s="19">
        <v>455276</v>
      </c>
      <c r="F803" s="19">
        <v>386078</v>
      </c>
      <c r="G803" s="20">
        <f t="shared" si="12"/>
        <v>0.45887700064419973</v>
      </c>
      <c r="H803" s="24" t="s">
        <v>579</v>
      </c>
      <c r="I803" s="24" t="s">
        <v>580</v>
      </c>
      <c r="J803" s="24" t="s">
        <v>581</v>
      </c>
      <c r="K803" s="24" t="s">
        <v>582</v>
      </c>
    </row>
    <row r="804" spans="1:11">
      <c r="A804" s="12">
        <v>2014</v>
      </c>
      <c r="B804" s="15" t="s">
        <v>21</v>
      </c>
      <c r="C804" s="15" t="s">
        <v>31</v>
      </c>
      <c r="D804" s="15" t="s">
        <v>32</v>
      </c>
      <c r="E804" s="19">
        <v>381619</v>
      </c>
      <c r="F804" s="19">
        <v>353558</v>
      </c>
      <c r="G804" s="20">
        <f t="shared" si="12"/>
        <v>0.4809154802176891</v>
      </c>
      <c r="H804" s="24" t="s">
        <v>579</v>
      </c>
      <c r="I804" s="24" t="s">
        <v>580</v>
      </c>
      <c r="J804" s="24" t="s">
        <v>581</v>
      </c>
      <c r="K804" s="24" t="s">
        <v>582</v>
      </c>
    </row>
    <row r="805" spans="1:11">
      <c r="A805" s="12">
        <v>2014</v>
      </c>
      <c r="B805" s="15" t="s">
        <v>21</v>
      </c>
      <c r="C805" s="15" t="s">
        <v>33</v>
      </c>
      <c r="D805" s="15" t="s">
        <v>34</v>
      </c>
      <c r="E805" s="19">
        <v>284439</v>
      </c>
      <c r="F805" s="19">
        <v>228952</v>
      </c>
      <c r="G805" s="20">
        <f t="shared" si="12"/>
        <v>0.44596029147375005</v>
      </c>
      <c r="H805" s="24" t="s">
        <v>579</v>
      </c>
      <c r="I805" s="24" t="s">
        <v>580</v>
      </c>
      <c r="J805" s="24" t="s">
        <v>581</v>
      </c>
      <c r="K805" s="24" t="s">
        <v>582</v>
      </c>
    </row>
    <row r="806" spans="1:11">
      <c r="A806" s="12">
        <v>2014</v>
      </c>
      <c r="B806" s="15" t="s">
        <v>21</v>
      </c>
      <c r="C806" s="15" t="s">
        <v>35</v>
      </c>
      <c r="D806" s="15" t="s">
        <v>36</v>
      </c>
      <c r="E806" s="19">
        <v>336218</v>
      </c>
      <c r="F806" s="19">
        <v>287232</v>
      </c>
      <c r="G806" s="20">
        <f t="shared" si="12"/>
        <v>0.46071377014997195</v>
      </c>
      <c r="H806" s="24" t="s">
        <v>579</v>
      </c>
      <c r="I806" s="24" t="s">
        <v>580</v>
      </c>
      <c r="J806" s="24" t="s">
        <v>581</v>
      </c>
      <c r="K806" s="24" t="s">
        <v>582</v>
      </c>
    </row>
    <row r="807" spans="1:11">
      <c r="A807" s="12">
        <v>2014</v>
      </c>
      <c r="B807" s="15" t="s">
        <v>21</v>
      </c>
      <c r="C807" s="15" t="s">
        <v>37</v>
      </c>
      <c r="D807" s="15" t="s">
        <v>38</v>
      </c>
      <c r="E807" s="19">
        <v>182351</v>
      </c>
      <c r="F807" s="19">
        <v>165218</v>
      </c>
      <c r="G807" s="20">
        <f t="shared" si="12"/>
        <v>0.47535309535660547</v>
      </c>
      <c r="H807" s="24" t="s">
        <v>579</v>
      </c>
      <c r="I807" s="24" t="s">
        <v>580</v>
      </c>
      <c r="J807" s="24" t="s">
        <v>581</v>
      </c>
      <c r="K807" s="24" t="s">
        <v>582</v>
      </c>
    </row>
    <row r="808" spans="1:11">
      <c r="A808" s="12">
        <v>2014</v>
      </c>
      <c r="B808" s="15" t="s">
        <v>21</v>
      </c>
      <c r="C808" s="15" t="s">
        <v>39</v>
      </c>
      <c r="D808" s="15" t="s">
        <v>40</v>
      </c>
      <c r="E808" s="19">
        <v>467060</v>
      </c>
      <c r="F808" s="19">
        <v>335932</v>
      </c>
      <c r="G808" s="20">
        <f t="shared" si="12"/>
        <v>0.41835036961763006</v>
      </c>
      <c r="H808" s="24" t="s">
        <v>579</v>
      </c>
      <c r="I808" s="24" t="s">
        <v>580</v>
      </c>
      <c r="J808" s="24" t="s">
        <v>581</v>
      </c>
      <c r="K808" s="24" t="s">
        <v>582</v>
      </c>
    </row>
    <row r="809" spans="1:11">
      <c r="A809" s="12">
        <v>2014</v>
      </c>
      <c r="B809" s="15" t="s">
        <v>21</v>
      </c>
      <c r="C809" s="15" t="s">
        <v>41</v>
      </c>
      <c r="D809" s="15" t="s">
        <v>42</v>
      </c>
      <c r="E809" s="19">
        <v>270869</v>
      </c>
      <c r="F809" s="19">
        <v>239920</v>
      </c>
      <c r="G809" s="20">
        <f t="shared" si="12"/>
        <v>0.46970471173028394</v>
      </c>
      <c r="H809" s="24" t="s">
        <v>579</v>
      </c>
      <c r="I809" s="24" t="s">
        <v>580</v>
      </c>
      <c r="J809" s="24" t="s">
        <v>581</v>
      </c>
      <c r="K809" s="24" t="s">
        <v>582</v>
      </c>
    </row>
    <row r="810" spans="1:11">
      <c r="A810" s="12">
        <v>2014</v>
      </c>
      <c r="B810" s="15" t="s">
        <v>21</v>
      </c>
      <c r="C810" s="15" t="s">
        <v>43</v>
      </c>
      <c r="D810" s="15" t="s">
        <v>44</v>
      </c>
      <c r="E810" s="19">
        <v>279094</v>
      </c>
      <c r="F810" s="19">
        <v>223945</v>
      </c>
      <c r="G810" s="20">
        <f t="shared" si="12"/>
        <v>0.44518417061102616</v>
      </c>
      <c r="H810" s="24" t="s">
        <v>579</v>
      </c>
      <c r="I810" s="24" t="s">
        <v>580</v>
      </c>
      <c r="J810" s="24" t="s">
        <v>581</v>
      </c>
      <c r="K810" s="24" t="s">
        <v>582</v>
      </c>
    </row>
    <row r="811" spans="1:11">
      <c r="A811" s="12">
        <v>2014</v>
      </c>
      <c r="B811" s="15" t="s">
        <v>21</v>
      </c>
      <c r="C811" s="15" t="s">
        <v>45</v>
      </c>
      <c r="D811" s="15" t="s">
        <v>46</v>
      </c>
      <c r="E811" s="19">
        <v>299557</v>
      </c>
      <c r="F811" s="19">
        <v>288838</v>
      </c>
      <c r="G811" s="20">
        <f t="shared" si="12"/>
        <v>0.4908913230058039</v>
      </c>
      <c r="H811" s="24" t="s">
        <v>579</v>
      </c>
      <c r="I811" s="24" t="s">
        <v>580</v>
      </c>
      <c r="J811" s="24" t="s">
        <v>581</v>
      </c>
      <c r="K811" s="24" t="s">
        <v>582</v>
      </c>
    </row>
    <row r="812" spans="1:11">
      <c r="A812" s="12">
        <v>2014</v>
      </c>
      <c r="B812" s="15" t="s">
        <v>21</v>
      </c>
      <c r="C812" s="15" t="s">
        <v>47</v>
      </c>
      <c r="D812" s="15" t="s">
        <v>48</v>
      </c>
      <c r="E812" s="19">
        <v>290536</v>
      </c>
      <c r="F812" s="19">
        <v>274558</v>
      </c>
      <c r="G812" s="20">
        <f t="shared" si="12"/>
        <v>0.48586252906596072</v>
      </c>
      <c r="H812" s="24" t="s">
        <v>579</v>
      </c>
      <c r="I812" s="24" t="s">
        <v>580</v>
      </c>
      <c r="J812" s="24" t="s">
        <v>581</v>
      </c>
      <c r="K812" s="24" t="s">
        <v>582</v>
      </c>
    </row>
    <row r="813" spans="1:11">
      <c r="A813" s="12">
        <v>2014</v>
      </c>
      <c r="B813" s="15" t="s">
        <v>21</v>
      </c>
      <c r="C813" s="15" t="s">
        <v>49</v>
      </c>
      <c r="D813" s="15" t="s">
        <v>50</v>
      </c>
      <c r="E813" s="19">
        <v>224186</v>
      </c>
      <c r="F813" s="19">
        <v>221592</v>
      </c>
      <c r="G813" s="20">
        <f t="shared" si="12"/>
        <v>0.49709048001471584</v>
      </c>
      <c r="H813" s="24" t="s">
        <v>579</v>
      </c>
      <c r="I813" s="24" t="s">
        <v>580</v>
      </c>
      <c r="J813" s="24" t="s">
        <v>581</v>
      </c>
      <c r="K813" s="24" t="s">
        <v>582</v>
      </c>
    </row>
    <row r="814" spans="1:11">
      <c r="A814" s="12">
        <v>2014</v>
      </c>
      <c r="B814" s="15" t="s">
        <v>21</v>
      </c>
      <c r="C814" s="15" t="s">
        <v>51</v>
      </c>
      <c r="D814" s="15" t="s">
        <v>52</v>
      </c>
      <c r="E814" s="19">
        <v>328175</v>
      </c>
      <c r="F814" s="19">
        <v>333211</v>
      </c>
      <c r="G814" s="20">
        <f t="shared" si="12"/>
        <v>0.50380715648652985</v>
      </c>
      <c r="H814" s="24" t="s">
        <v>579</v>
      </c>
      <c r="I814" s="24" t="s">
        <v>580</v>
      </c>
      <c r="J814" s="24" t="s">
        <v>581</v>
      </c>
      <c r="K814" s="24" t="s">
        <v>582</v>
      </c>
    </row>
    <row r="815" spans="1:11">
      <c r="A815" s="12">
        <v>2014</v>
      </c>
      <c r="B815" s="15" t="s">
        <v>21</v>
      </c>
      <c r="C815" s="15" t="s">
        <v>53</v>
      </c>
      <c r="D815" s="15" t="s">
        <v>54</v>
      </c>
      <c r="E815" s="19">
        <v>214817</v>
      </c>
      <c r="F815" s="19">
        <v>209200</v>
      </c>
      <c r="G815" s="20">
        <f t="shared" si="12"/>
        <v>0.49337644481235421</v>
      </c>
      <c r="H815" s="24" t="s">
        <v>579</v>
      </c>
      <c r="I815" s="24" t="s">
        <v>580</v>
      </c>
      <c r="J815" s="24" t="s">
        <v>581</v>
      </c>
      <c r="K815" s="24" t="s">
        <v>582</v>
      </c>
    </row>
    <row r="816" spans="1:11">
      <c r="A816" s="12">
        <v>2014</v>
      </c>
      <c r="B816" s="15" t="s">
        <v>21</v>
      </c>
      <c r="C816" s="15" t="s">
        <v>55</v>
      </c>
      <c r="D816" s="15" t="s">
        <v>56</v>
      </c>
      <c r="E816" s="19">
        <v>352053</v>
      </c>
      <c r="F816" s="19">
        <v>319827</v>
      </c>
      <c r="G816" s="20">
        <f t="shared" si="12"/>
        <v>0.47601803893552419</v>
      </c>
      <c r="H816" s="24" t="s">
        <v>579</v>
      </c>
      <c r="I816" s="24" t="s">
        <v>580</v>
      </c>
      <c r="J816" s="24" t="s">
        <v>581</v>
      </c>
      <c r="K816" s="24" t="s">
        <v>582</v>
      </c>
    </row>
    <row r="817" spans="1:11">
      <c r="A817" s="12">
        <v>2014</v>
      </c>
      <c r="B817" s="15" t="s">
        <v>21</v>
      </c>
      <c r="C817" s="15" t="s">
        <v>57</v>
      </c>
      <c r="D817" s="15" t="s">
        <v>58</v>
      </c>
      <c r="E817" s="19">
        <v>530080</v>
      </c>
      <c r="F817" s="19">
        <v>414831</v>
      </c>
      <c r="G817" s="20">
        <f t="shared" si="12"/>
        <v>0.43901594965028451</v>
      </c>
      <c r="H817" s="24" t="s">
        <v>579</v>
      </c>
      <c r="I817" s="24" t="s">
        <v>580</v>
      </c>
      <c r="J817" s="24" t="s">
        <v>581</v>
      </c>
      <c r="K817" s="24" t="s">
        <v>582</v>
      </c>
    </row>
    <row r="818" spans="1:11">
      <c r="A818" s="12">
        <v>2014</v>
      </c>
      <c r="B818" s="15" t="s">
        <v>21</v>
      </c>
      <c r="C818" s="15" t="s">
        <v>59</v>
      </c>
      <c r="D818" s="15" t="s">
        <v>60</v>
      </c>
      <c r="E818" s="19">
        <v>375962</v>
      </c>
      <c r="F818" s="19">
        <v>327336</v>
      </c>
      <c r="G818" s="20">
        <f t="shared" si="12"/>
        <v>0.4654300168634064</v>
      </c>
      <c r="H818" s="24" t="s">
        <v>579</v>
      </c>
      <c r="I818" s="24" t="s">
        <v>580</v>
      </c>
      <c r="J818" s="24" t="s">
        <v>581</v>
      </c>
      <c r="K818" s="24" t="s">
        <v>582</v>
      </c>
    </row>
    <row r="819" spans="1:11">
      <c r="A819" s="12">
        <v>2014</v>
      </c>
      <c r="B819" s="15" t="s">
        <v>21</v>
      </c>
      <c r="C819" s="15" t="s">
        <v>61</v>
      </c>
      <c r="D819" s="15" t="s">
        <v>62</v>
      </c>
      <c r="E819" s="19">
        <v>301815</v>
      </c>
      <c r="F819" s="19">
        <v>262061</v>
      </c>
      <c r="G819" s="20">
        <f t="shared" si="12"/>
        <v>0.46474934205392676</v>
      </c>
      <c r="H819" s="24" t="s">
        <v>579</v>
      </c>
      <c r="I819" s="24" t="s">
        <v>580</v>
      </c>
      <c r="J819" s="24" t="s">
        <v>581</v>
      </c>
      <c r="K819" s="24" t="s">
        <v>582</v>
      </c>
    </row>
    <row r="820" spans="1:11">
      <c r="A820" s="12">
        <v>2014</v>
      </c>
      <c r="B820" s="15" t="s">
        <v>21</v>
      </c>
      <c r="C820" s="15" t="s">
        <v>63</v>
      </c>
      <c r="D820" s="15" t="s">
        <v>64</v>
      </c>
      <c r="E820" s="19">
        <v>155259</v>
      </c>
      <c r="F820" s="19">
        <v>175453</v>
      </c>
      <c r="G820" s="20">
        <f t="shared" si="12"/>
        <v>0.53053109654321584</v>
      </c>
      <c r="H820" s="24" t="s">
        <v>579</v>
      </c>
      <c r="I820" s="24" t="s">
        <v>580</v>
      </c>
      <c r="J820" s="24" t="s">
        <v>581</v>
      </c>
      <c r="K820" s="24" t="s">
        <v>582</v>
      </c>
    </row>
    <row r="821" spans="1:11">
      <c r="A821" s="12">
        <v>2014</v>
      </c>
      <c r="B821" s="15" t="s">
        <v>21</v>
      </c>
      <c r="C821" s="15" t="s">
        <v>65</v>
      </c>
      <c r="D821" s="15" t="s">
        <v>66</v>
      </c>
      <c r="E821" s="19">
        <v>391879</v>
      </c>
      <c r="F821" s="19">
        <v>307519</v>
      </c>
      <c r="G821" s="20">
        <f t="shared" si="12"/>
        <v>0.43969099139545725</v>
      </c>
      <c r="H821" s="24" t="s">
        <v>579</v>
      </c>
      <c r="I821" s="24" t="s">
        <v>580</v>
      </c>
      <c r="J821" s="24" t="s">
        <v>581</v>
      </c>
      <c r="K821" s="24" t="s">
        <v>582</v>
      </c>
    </row>
    <row r="822" spans="1:11">
      <c r="A822" s="12">
        <v>2014</v>
      </c>
      <c r="B822" s="15" t="s">
        <v>21</v>
      </c>
      <c r="C822" s="15" t="s">
        <v>67</v>
      </c>
      <c r="D822" s="15" t="s">
        <v>68</v>
      </c>
      <c r="E822" s="19">
        <v>112251</v>
      </c>
      <c r="F822" s="19">
        <v>115853</v>
      </c>
      <c r="G822" s="20">
        <f t="shared" si="12"/>
        <v>0.50789552134114269</v>
      </c>
      <c r="H822" s="24" t="s">
        <v>579</v>
      </c>
      <c r="I822" s="24" t="s">
        <v>580</v>
      </c>
      <c r="J822" s="24" t="s">
        <v>581</v>
      </c>
      <c r="K822" s="24" t="s">
        <v>582</v>
      </c>
    </row>
    <row r="823" spans="1:11">
      <c r="A823" s="12">
        <v>2014</v>
      </c>
      <c r="B823" s="15" t="s">
        <v>21</v>
      </c>
      <c r="C823" s="15" t="s">
        <v>69</v>
      </c>
      <c r="D823" s="15" t="s">
        <v>70</v>
      </c>
      <c r="E823" s="19">
        <v>94992</v>
      </c>
      <c r="F823" s="19">
        <v>93463</v>
      </c>
      <c r="G823" s="20">
        <f t="shared" si="12"/>
        <v>0.49594332864609586</v>
      </c>
      <c r="H823" s="24" t="s">
        <v>579</v>
      </c>
      <c r="I823" s="24" t="s">
        <v>580</v>
      </c>
      <c r="J823" s="24" t="s">
        <v>581</v>
      </c>
      <c r="K823" s="24" t="s">
        <v>582</v>
      </c>
    </row>
    <row r="824" spans="1:11">
      <c r="A824" s="12">
        <v>2014</v>
      </c>
      <c r="B824" s="15" t="s">
        <v>21</v>
      </c>
      <c r="C824" s="15" t="s">
        <v>71</v>
      </c>
      <c r="D824" s="15" t="s">
        <v>72</v>
      </c>
      <c r="E824" s="19">
        <v>323623</v>
      </c>
      <c r="F824" s="19">
        <v>269060</v>
      </c>
      <c r="G824" s="20">
        <f t="shared" si="12"/>
        <v>0.45396949127948666</v>
      </c>
      <c r="H824" s="24" t="s">
        <v>579</v>
      </c>
      <c r="I824" s="24" t="s">
        <v>580</v>
      </c>
      <c r="J824" s="24" t="s">
        <v>581</v>
      </c>
      <c r="K824" s="24" t="s">
        <v>582</v>
      </c>
    </row>
    <row r="825" spans="1:11">
      <c r="A825" s="12">
        <v>2014</v>
      </c>
      <c r="B825" s="15" t="s">
        <v>73</v>
      </c>
      <c r="C825" s="15" t="s">
        <v>22</v>
      </c>
      <c r="D825" s="15" t="s">
        <v>73</v>
      </c>
      <c r="E825" s="19">
        <v>3173110</v>
      </c>
      <c r="F825" s="19">
        <v>654136</v>
      </c>
      <c r="G825" s="20">
        <f t="shared" si="12"/>
        <v>0.1709155878665756</v>
      </c>
      <c r="H825" s="24" t="s">
        <v>583</v>
      </c>
      <c r="I825" s="24" t="s">
        <v>584</v>
      </c>
      <c r="J825" s="24" t="s">
        <v>585</v>
      </c>
      <c r="K825" s="24" t="s">
        <v>582</v>
      </c>
    </row>
    <row r="826" spans="1:11">
      <c r="A826" s="12">
        <v>2014</v>
      </c>
      <c r="B826" s="15" t="s">
        <v>73</v>
      </c>
      <c r="C826" s="15" t="s">
        <v>29</v>
      </c>
      <c r="D826" s="15" t="s">
        <v>74</v>
      </c>
      <c r="E826" s="19">
        <v>44310</v>
      </c>
      <c r="F826" s="19">
        <v>71733</v>
      </c>
      <c r="G826" s="20">
        <f t="shared" si="12"/>
        <v>0.61815878596727081</v>
      </c>
      <c r="H826" s="24" t="s">
        <v>583</v>
      </c>
      <c r="I826" s="24" t="s">
        <v>584</v>
      </c>
      <c r="J826" s="24" t="s">
        <v>585</v>
      </c>
      <c r="K826" s="24" t="s">
        <v>582</v>
      </c>
    </row>
    <row r="827" spans="1:11">
      <c r="A827" s="12">
        <v>2014</v>
      </c>
      <c r="B827" s="15" t="s">
        <v>73</v>
      </c>
      <c r="C827" s="15" t="s">
        <v>75</v>
      </c>
      <c r="D827" s="15" t="s">
        <v>76</v>
      </c>
      <c r="E827" s="19">
        <v>197782</v>
      </c>
      <c r="F827" s="19">
        <v>168183</v>
      </c>
      <c r="G827" s="20">
        <f t="shared" si="12"/>
        <v>0.45956034046971705</v>
      </c>
      <c r="H827" s="24" t="s">
        <v>583</v>
      </c>
      <c r="I827" s="24" t="s">
        <v>584</v>
      </c>
      <c r="J827" s="24" t="s">
        <v>585</v>
      </c>
      <c r="K827" s="24" t="s">
        <v>582</v>
      </c>
    </row>
    <row r="828" spans="1:11">
      <c r="A828" s="12">
        <v>2014</v>
      </c>
      <c r="B828" s="15" t="s">
        <v>73</v>
      </c>
      <c r="C828" s="15" t="s">
        <v>77</v>
      </c>
      <c r="D828" s="15" t="s">
        <v>78</v>
      </c>
      <c r="E828" s="19">
        <v>112142</v>
      </c>
      <c r="F828" s="19">
        <v>99001</v>
      </c>
      <c r="G828" s="20">
        <f t="shared" si="12"/>
        <v>0.46888127951198949</v>
      </c>
      <c r="H828" s="24" t="s">
        <v>583</v>
      </c>
      <c r="I828" s="24" t="s">
        <v>584</v>
      </c>
      <c r="J828" s="24" t="s">
        <v>585</v>
      </c>
      <c r="K828" s="24" t="s">
        <v>582</v>
      </c>
    </row>
    <row r="829" spans="1:11">
      <c r="A829" s="12">
        <v>2014</v>
      </c>
      <c r="B829" s="15" t="s">
        <v>73</v>
      </c>
      <c r="C829" s="15" t="s">
        <v>79</v>
      </c>
      <c r="D829" s="15" t="s">
        <v>80</v>
      </c>
      <c r="E829" s="19">
        <v>222728</v>
      </c>
      <c r="F829" s="19">
        <v>199819</v>
      </c>
      <c r="G829" s="20">
        <f t="shared" si="12"/>
        <v>0.47289177298620033</v>
      </c>
      <c r="H829" s="24" t="s">
        <v>583</v>
      </c>
      <c r="I829" s="24" t="s">
        <v>584</v>
      </c>
      <c r="J829" s="24" t="s">
        <v>585</v>
      </c>
      <c r="K829" s="24" t="s">
        <v>582</v>
      </c>
    </row>
    <row r="830" spans="1:11">
      <c r="A830" s="12">
        <v>2014</v>
      </c>
      <c r="B830" s="15" t="s">
        <v>73</v>
      </c>
      <c r="C830" s="15" t="s">
        <v>81</v>
      </c>
      <c r="D830" s="15" t="s">
        <v>82</v>
      </c>
      <c r="E830" s="19">
        <v>70809</v>
      </c>
      <c r="F830" s="19">
        <v>66782</v>
      </c>
      <c r="G830" s="20">
        <f t="shared" si="12"/>
        <v>0.48536604865143795</v>
      </c>
      <c r="H830" s="24" t="s">
        <v>583</v>
      </c>
      <c r="I830" s="24" t="s">
        <v>584</v>
      </c>
      <c r="J830" s="24" t="s">
        <v>585</v>
      </c>
      <c r="K830" s="24" t="s">
        <v>582</v>
      </c>
    </row>
    <row r="831" spans="1:11">
      <c r="A831" s="12">
        <v>2014</v>
      </c>
      <c r="B831" s="15" t="s">
        <v>73</v>
      </c>
      <c r="C831" s="15" t="s">
        <v>83</v>
      </c>
      <c r="D831" s="15" t="s">
        <v>84</v>
      </c>
      <c r="E831" s="19">
        <v>215703</v>
      </c>
      <c r="F831" s="19">
        <v>190962</v>
      </c>
      <c r="G831" s="20">
        <f t="shared" si="12"/>
        <v>0.4695806130352993</v>
      </c>
      <c r="H831" s="24" t="s">
        <v>583</v>
      </c>
      <c r="I831" s="24" t="s">
        <v>584</v>
      </c>
      <c r="J831" s="24" t="s">
        <v>585</v>
      </c>
      <c r="K831" s="24" t="s">
        <v>582</v>
      </c>
    </row>
    <row r="832" spans="1:11">
      <c r="A832" s="12">
        <v>2014</v>
      </c>
      <c r="B832" s="15" t="s">
        <v>73</v>
      </c>
      <c r="C832" s="15" t="s">
        <v>85</v>
      </c>
      <c r="D832" s="15" t="s">
        <v>86</v>
      </c>
      <c r="E832" s="19">
        <v>310520</v>
      </c>
      <c r="F832" s="19">
        <v>243340</v>
      </c>
      <c r="G832" s="20">
        <f t="shared" si="12"/>
        <v>0.43935290506626223</v>
      </c>
      <c r="H832" s="24" t="s">
        <v>583</v>
      </c>
      <c r="I832" s="24" t="s">
        <v>584</v>
      </c>
      <c r="J832" s="24" t="s">
        <v>585</v>
      </c>
      <c r="K832" s="24" t="s">
        <v>582</v>
      </c>
    </row>
    <row r="833" spans="1:11">
      <c r="A833" s="12">
        <v>2014</v>
      </c>
      <c r="B833" s="15" t="s">
        <v>73</v>
      </c>
      <c r="C833" s="15" t="s">
        <v>87</v>
      </c>
      <c r="D833" s="15" t="s">
        <v>88</v>
      </c>
      <c r="E833" s="19">
        <v>254959</v>
      </c>
      <c r="F833" s="19">
        <v>177625</v>
      </c>
      <c r="G833" s="20">
        <f t="shared" si="12"/>
        <v>0.41061389233073808</v>
      </c>
      <c r="H833" s="24" t="s">
        <v>583</v>
      </c>
      <c r="I833" s="24" t="s">
        <v>584</v>
      </c>
      <c r="J833" s="24" t="s">
        <v>585</v>
      </c>
      <c r="K833" s="24" t="s">
        <v>582</v>
      </c>
    </row>
    <row r="834" spans="1:11">
      <c r="A834" s="12">
        <v>2014</v>
      </c>
      <c r="B834" s="15" t="s">
        <v>73</v>
      </c>
      <c r="C834" s="15" t="s">
        <v>89</v>
      </c>
      <c r="D834" s="15" t="s">
        <v>90</v>
      </c>
      <c r="E834" s="19">
        <v>187958</v>
      </c>
      <c r="F834" s="19">
        <v>171024</v>
      </c>
      <c r="G834" s="20">
        <f t="shared" si="12"/>
        <v>0.4764138591907115</v>
      </c>
      <c r="H834" s="24" t="s">
        <v>583</v>
      </c>
      <c r="I834" s="24" t="s">
        <v>584</v>
      </c>
      <c r="J834" s="24" t="s">
        <v>585</v>
      </c>
      <c r="K834" s="24" t="s">
        <v>582</v>
      </c>
    </row>
    <row r="835" spans="1:11">
      <c r="A835" s="12">
        <v>2014</v>
      </c>
      <c r="B835" s="15" t="s">
        <v>73</v>
      </c>
      <c r="C835" s="15" t="s">
        <v>91</v>
      </c>
      <c r="D835" s="15" t="s">
        <v>92</v>
      </c>
      <c r="E835" s="19">
        <v>286548</v>
      </c>
      <c r="F835" s="19">
        <v>202751</v>
      </c>
      <c r="G835" s="20">
        <f t="shared" si="12"/>
        <v>0.41437035432322566</v>
      </c>
      <c r="H835" s="24" t="s">
        <v>583</v>
      </c>
      <c r="I835" s="24" t="s">
        <v>584</v>
      </c>
      <c r="J835" s="24" t="s">
        <v>585</v>
      </c>
      <c r="K835" s="24" t="s">
        <v>582</v>
      </c>
    </row>
    <row r="836" spans="1:11">
      <c r="A836" s="12">
        <v>2014</v>
      </c>
      <c r="B836" s="15" t="s">
        <v>73</v>
      </c>
      <c r="C836" s="15" t="s">
        <v>93</v>
      </c>
      <c r="D836" s="15" t="s">
        <v>94</v>
      </c>
      <c r="E836" s="19">
        <v>87232</v>
      </c>
      <c r="F836" s="19">
        <v>86433</v>
      </c>
      <c r="G836" s="20">
        <f t="shared" si="12"/>
        <v>0.49769959404600811</v>
      </c>
      <c r="H836" s="24" t="s">
        <v>583</v>
      </c>
      <c r="I836" s="24" t="s">
        <v>584</v>
      </c>
      <c r="J836" s="24" t="s">
        <v>585</v>
      </c>
      <c r="K836" s="24" t="s">
        <v>582</v>
      </c>
    </row>
    <row r="837" spans="1:11">
      <c r="A837" s="12">
        <v>2014</v>
      </c>
      <c r="B837" s="15" t="s">
        <v>73</v>
      </c>
      <c r="C837" s="15" t="s">
        <v>95</v>
      </c>
      <c r="D837" s="15" t="s">
        <v>96</v>
      </c>
      <c r="E837" s="19">
        <v>132570</v>
      </c>
      <c r="F837" s="19">
        <v>130349</v>
      </c>
      <c r="G837" s="20">
        <f t="shared" si="12"/>
        <v>0.49577626569399702</v>
      </c>
      <c r="H837" s="24" t="s">
        <v>583</v>
      </c>
      <c r="I837" s="24" t="s">
        <v>584</v>
      </c>
      <c r="J837" s="24" t="s">
        <v>585</v>
      </c>
      <c r="K837" s="24" t="s">
        <v>582</v>
      </c>
    </row>
    <row r="838" spans="1:11">
      <c r="A838" s="12">
        <v>2014</v>
      </c>
      <c r="B838" s="15" t="s">
        <v>73</v>
      </c>
      <c r="C838" s="15" t="s">
        <v>97</v>
      </c>
      <c r="D838" s="15" t="s">
        <v>98</v>
      </c>
      <c r="E838" s="19">
        <v>155712</v>
      </c>
      <c r="F838" s="19">
        <v>156405</v>
      </c>
      <c r="G838" s="20">
        <f t="shared" ref="G838:G901" si="13">IFERROR(F838/(E838+F838),"")</f>
        <v>0.50111016061284708</v>
      </c>
      <c r="H838" s="24" t="s">
        <v>583</v>
      </c>
      <c r="I838" s="24" t="s">
        <v>584</v>
      </c>
      <c r="J838" s="24" t="s">
        <v>585</v>
      </c>
      <c r="K838" s="24" t="s">
        <v>582</v>
      </c>
    </row>
    <row r="839" spans="1:11">
      <c r="A839" s="12">
        <v>2014</v>
      </c>
      <c r="B839" s="15" t="s">
        <v>73</v>
      </c>
      <c r="C839" s="15" t="s">
        <v>99</v>
      </c>
      <c r="D839" s="15" t="s">
        <v>100</v>
      </c>
      <c r="E839" s="19">
        <v>107052</v>
      </c>
      <c r="F839" s="19">
        <v>83956</v>
      </c>
      <c r="G839" s="20">
        <f t="shared" si="13"/>
        <v>0.43954179929636455</v>
      </c>
      <c r="H839" s="24" t="s">
        <v>583</v>
      </c>
      <c r="I839" s="24" t="s">
        <v>584</v>
      </c>
      <c r="J839" s="24" t="s">
        <v>585</v>
      </c>
      <c r="K839" s="24" t="s">
        <v>582</v>
      </c>
    </row>
    <row r="840" spans="1:11">
      <c r="A840" s="12">
        <v>2014</v>
      </c>
      <c r="B840" s="15" t="s">
        <v>73</v>
      </c>
      <c r="C840" s="15" t="s">
        <v>69</v>
      </c>
      <c r="D840" s="15" t="s">
        <v>101</v>
      </c>
      <c r="E840" s="19">
        <v>33323</v>
      </c>
      <c r="F840" s="19">
        <v>34019</v>
      </c>
      <c r="G840" s="20">
        <f t="shared" si="13"/>
        <v>0.5051676516883965</v>
      </c>
      <c r="H840" s="24" t="s">
        <v>583</v>
      </c>
      <c r="I840" s="24" t="s">
        <v>584</v>
      </c>
      <c r="J840" s="24" t="s">
        <v>585</v>
      </c>
      <c r="K840" s="24" t="s">
        <v>582</v>
      </c>
    </row>
    <row r="841" spans="1:11">
      <c r="A841" s="12">
        <v>2014</v>
      </c>
      <c r="B841" s="15" t="s">
        <v>73</v>
      </c>
      <c r="C841" s="15" t="s">
        <v>102</v>
      </c>
      <c r="D841" s="15" t="s">
        <v>103</v>
      </c>
      <c r="E841" s="19">
        <v>342788</v>
      </c>
      <c r="F841" s="19">
        <v>264431</v>
      </c>
      <c r="G841" s="20">
        <f t="shared" si="13"/>
        <v>0.43547879760020686</v>
      </c>
      <c r="H841" s="24" t="s">
        <v>583</v>
      </c>
      <c r="I841" s="24" t="s">
        <v>584</v>
      </c>
      <c r="J841" s="24" t="s">
        <v>585</v>
      </c>
      <c r="K841" s="24" t="s">
        <v>582</v>
      </c>
    </row>
    <row r="842" spans="1:11">
      <c r="A842" s="12">
        <v>2014</v>
      </c>
      <c r="B842" s="15" t="s">
        <v>104</v>
      </c>
      <c r="C842" s="15" t="s">
        <v>22</v>
      </c>
      <c r="D842" s="15" t="s">
        <v>104</v>
      </c>
      <c r="E842" s="19">
        <v>2269910</v>
      </c>
      <c r="F842" s="19">
        <v>446081</v>
      </c>
      <c r="G842" s="20">
        <f t="shared" si="13"/>
        <v>0.16424244410235528</v>
      </c>
      <c r="H842" s="24" t="s">
        <v>583</v>
      </c>
      <c r="I842" s="24" t="s">
        <v>584</v>
      </c>
      <c r="J842" s="24" t="s">
        <v>585</v>
      </c>
      <c r="K842" s="24" t="s">
        <v>582</v>
      </c>
    </row>
    <row r="843" spans="1:11">
      <c r="A843" s="12">
        <v>2014</v>
      </c>
      <c r="B843" s="15" t="s">
        <v>104</v>
      </c>
      <c r="C843" s="15" t="s">
        <v>79</v>
      </c>
      <c r="D843" s="15" t="s">
        <v>107</v>
      </c>
      <c r="E843" s="19">
        <v>118439</v>
      </c>
      <c r="F843" s="19">
        <v>123942</v>
      </c>
      <c r="G843" s="20">
        <f t="shared" si="13"/>
        <v>0.51135196240629421</v>
      </c>
      <c r="H843" s="24" t="s">
        <v>583</v>
      </c>
      <c r="I843" s="24" t="s">
        <v>584</v>
      </c>
      <c r="J843" s="24" t="s">
        <v>585</v>
      </c>
      <c r="K843" s="24" t="s">
        <v>582</v>
      </c>
    </row>
    <row r="844" spans="1:11">
      <c r="A844" s="12">
        <v>2014</v>
      </c>
      <c r="B844" s="15" t="s">
        <v>104</v>
      </c>
      <c r="C844" s="15" t="s">
        <v>108</v>
      </c>
      <c r="D844" s="15" t="s">
        <v>109</v>
      </c>
      <c r="E844" s="19">
        <v>513590</v>
      </c>
      <c r="F844" s="19">
        <v>376625</v>
      </c>
      <c r="G844" s="20">
        <f t="shared" si="13"/>
        <v>0.4230719545278388</v>
      </c>
      <c r="H844" s="24" t="s">
        <v>583</v>
      </c>
      <c r="I844" s="24" t="s">
        <v>584</v>
      </c>
      <c r="J844" s="24" t="s">
        <v>585</v>
      </c>
      <c r="K844" s="24" t="s">
        <v>582</v>
      </c>
    </row>
    <row r="845" spans="1:11">
      <c r="A845" s="12">
        <v>2014</v>
      </c>
      <c r="B845" s="15" t="s">
        <v>104</v>
      </c>
      <c r="C845" s="15" t="s">
        <v>110</v>
      </c>
      <c r="D845" s="15" t="s">
        <v>111</v>
      </c>
      <c r="E845" s="19">
        <v>144536</v>
      </c>
      <c r="F845" s="19">
        <v>136559</v>
      </c>
      <c r="G845" s="20">
        <f t="shared" si="13"/>
        <v>0.48581084686671766</v>
      </c>
      <c r="H845" s="24" t="s">
        <v>583</v>
      </c>
      <c r="I845" s="24" t="s">
        <v>584</v>
      </c>
      <c r="J845" s="24" t="s">
        <v>585</v>
      </c>
      <c r="K845" s="24" t="s">
        <v>582</v>
      </c>
    </row>
    <row r="846" spans="1:11">
      <c r="A846" s="12">
        <v>2014</v>
      </c>
      <c r="B846" s="15" t="s">
        <v>104</v>
      </c>
      <c r="C846" s="15" t="s">
        <v>81</v>
      </c>
      <c r="D846" s="15" t="s">
        <v>112</v>
      </c>
      <c r="E846" s="19">
        <v>278000</v>
      </c>
      <c r="F846" s="19">
        <v>233266</v>
      </c>
      <c r="G846" s="20">
        <f t="shared" si="13"/>
        <v>0.45625173588699425</v>
      </c>
      <c r="H846" s="24" t="s">
        <v>583</v>
      </c>
      <c r="I846" s="24" t="s">
        <v>584</v>
      </c>
      <c r="J846" s="24" t="s">
        <v>585</v>
      </c>
      <c r="K846" s="24" t="s">
        <v>582</v>
      </c>
    </row>
    <row r="847" spans="1:11">
      <c r="A847" s="12">
        <v>2014</v>
      </c>
      <c r="B847" s="15" t="s">
        <v>104</v>
      </c>
      <c r="C847" s="15" t="s">
        <v>87</v>
      </c>
      <c r="D847" s="15" t="s">
        <v>113</v>
      </c>
      <c r="E847" s="19">
        <v>373255</v>
      </c>
      <c r="F847" s="19">
        <v>261101</v>
      </c>
      <c r="G847" s="20">
        <f t="shared" si="13"/>
        <v>0.41160011097869337</v>
      </c>
      <c r="H847" s="24" t="s">
        <v>583</v>
      </c>
      <c r="I847" s="24" t="s">
        <v>584</v>
      </c>
      <c r="J847" s="24" t="s">
        <v>585</v>
      </c>
      <c r="K847" s="24" t="s">
        <v>582</v>
      </c>
    </row>
    <row r="848" spans="1:11">
      <c r="A848" s="12">
        <v>2014</v>
      </c>
      <c r="B848" s="15" t="s">
        <v>104</v>
      </c>
      <c r="C848" s="15" t="s">
        <v>93</v>
      </c>
      <c r="D848" s="15" t="s">
        <v>114</v>
      </c>
      <c r="E848" s="19">
        <v>158033</v>
      </c>
      <c r="F848" s="19">
        <v>156219</v>
      </c>
      <c r="G848" s="20">
        <f t="shared" si="13"/>
        <v>0.4971137812965391</v>
      </c>
      <c r="H848" s="24" t="s">
        <v>583</v>
      </c>
      <c r="I848" s="24" t="s">
        <v>584</v>
      </c>
      <c r="J848" s="24" t="s">
        <v>585</v>
      </c>
      <c r="K848" s="24" t="s">
        <v>582</v>
      </c>
    </row>
    <row r="849" spans="1:11">
      <c r="A849" s="12">
        <v>2014</v>
      </c>
      <c r="B849" s="15" t="s">
        <v>104</v>
      </c>
      <c r="C849" s="15" t="s">
        <v>115</v>
      </c>
      <c r="D849" s="15" t="s">
        <v>116</v>
      </c>
      <c r="E849" s="19">
        <v>375624</v>
      </c>
      <c r="F849" s="19">
        <v>297718</v>
      </c>
      <c r="G849" s="20">
        <f t="shared" si="13"/>
        <v>0.44214975450811028</v>
      </c>
      <c r="H849" s="24" t="s">
        <v>583</v>
      </c>
      <c r="I849" s="24" t="s">
        <v>584</v>
      </c>
      <c r="J849" s="24" t="s">
        <v>585</v>
      </c>
      <c r="K849" s="24" t="s">
        <v>582</v>
      </c>
    </row>
    <row r="850" spans="1:11">
      <c r="A850" s="12">
        <v>2014</v>
      </c>
      <c r="B850" s="15" t="s">
        <v>104</v>
      </c>
      <c r="C850" s="15" t="s">
        <v>69</v>
      </c>
      <c r="D850" s="15" t="s">
        <v>117</v>
      </c>
      <c r="E850" s="19">
        <v>57693</v>
      </c>
      <c r="F850" s="19">
        <v>59342</v>
      </c>
      <c r="G850" s="20">
        <f t="shared" si="13"/>
        <v>0.50704490109796219</v>
      </c>
      <c r="H850" s="24" t="s">
        <v>583</v>
      </c>
      <c r="I850" s="24" t="s">
        <v>584</v>
      </c>
      <c r="J850" s="24" t="s">
        <v>585</v>
      </c>
      <c r="K850" s="24" t="s">
        <v>582</v>
      </c>
    </row>
    <row r="851" spans="1:11">
      <c r="A851" s="12">
        <v>2014</v>
      </c>
      <c r="B851" s="15" t="s">
        <v>118</v>
      </c>
      <c r="C851" s="15" t="s">
        <v>22</v>
      </c>
      <c r="D851" s="15" t="s">
        <v>118</v>
      </c>
      <c r="E851" s="19">
        <v>2534699</v>
      </c>
      <c r="F851" s="19">
        <v>980317</v>
      </c>
      <c r="G851" s="20">
        <f t="shared" si="13"/>
        <v>0.2788940363287109</v>
      </c>
      <c r="H851" s="24" t="s">
        <v>579</v>
      </c>
      <c r="I851" s="24" t="s">
        <v>580</v>
      </c>
      <c r="J851" s="24" t="s">
        <v>581</v>
      </c>
      <c r="K851" s="24" t="s">
        <v>582</v>
      </c>
    </row>
    <row r="852" spans="1:11">
      <c r="A852" s="12">
        <v>2014</v>
      </c>
      <c r="B852" s="15" t="s">
        <v>118</v>
      </c>
      <c r="C852" s="15" t="s">
        <v>119</v>
      </c>
      <c r="D852" s="15" t="s">
        <v>120</v>
      </c>
      <c r="E852" s="19">
        <v>50246</v>
      </c>
      <c r="F852" s="19">
        <v>45058</v>
      </c>
      <c r="G852" s="20">
        <f t="shared" si="13"/>
        <v>0.4727818349702006</v>
      </c>
      <c r="H852" s="24" t="s">
        <v>579</v>
      </c>
      <c r="I852" s="24" t="s">
        <v>580</v>
      </c>
      <c r="J852" s="24" t="s">
        <v>581</v>
      </c>
      <c r="K852" s="24" t="s">
        <v>582</v>
      </c>
    </row>
    <row r="853" spans="1:11">
      <c r="A853" s="12">
        <v>2014</v>
      </c>
      <c r="B853" s="15" t="s">
        <v>118</v>
      </c>
      <c r="C853" s="15" t="s">
        <v>121</v>
      </c>
      <c r="D853" s="15" t="s">
        <v>122</v>
      </c>
      <c r="E853" s="19">
        <v>274457</v>
      </c>
      <c r="F853" s="19">
        <v>202779</v>
      </c>
      <c r="G853" s="20">
        <f t="shared" si="13"/>
        <v>0.42490298301050217</v>
      </c>
      <c r="H853" s="24" t="s">
        <v>579</v>
      </c>
      <c r="I853" s="24" t="s">
        <v>580</v>
      </c>
      <c r="J853" s="24" t="s">
        <v>581</v>
      </c>
      <c r="K853" s="24" t="s">
        <v>582</v>
      </c>
    </row>
    <row r="854" spans="1:11">
      <c r="A854" s="12">
        <v>2014</v>
      </c>
      <c r="B854" s="15" t="s">
        <v>118</v>
      </c>
      <c r="C854" s="15" t="s">
        <v>79</v>
      </c>
      <c r="D854" s="15" t="s">
        <v>123</v>
      </c>
      <c r="E854" s="19">
        <v>314754</v>
      </c>
      <c r="F854" s="19">
        <v>269985</v>
      </c>
      <c r="G854" s="20">
        <f t="shared" si="13"/>
        <v>0.46171881813937499</v>
      </c>
      <c r="H854" s="24" t="s">
        <v>579</v>
      </c>
      <c r="I854" s="24" t="s">
        <v>580</v>
      </c>
      <c r="J854" s="24" t="s">
        <v>581</v>
      </c>
      <c r="K854" s="24" t="s">
        <v>582</v>
      </c>
    </row>
    <row r="855" spans="1:11">
      <c r="A855" s="12">
        <v>2014</v>
      </c>
      <c r="B855" s="15" t="s">
        <v>118</v>
      </c>
      <c r="C855" s="15" t="s">
        <v>124</v>
      </c>
      <c r="D855" s="15" t="s">
        <v>125</v>
      </c>
      <c r="E855" s="19">
        <v>423698</v>
      </c>
      <c r="F855" s="19">
        <v>305476</v>
      </c>
      <c r="G855" s="20">
        <f t="shared" si="13"/>
        <v>0.41893430100360135</v>
      </c>
      <c r="H855" s="24" t="s">
        <v>579</v>
      </c>
      <c r="I855" s="24" t="s">
        <v>580</v>
      </c>
      <c r="J855" s="24" t="s">
        <v>581</v>
      </c>
      <c r="K855" s="24" t="s">
        <v>582</v>
      </c>
    </row>
    <row r="856" spans="1:11">
      <c r="A856" s="12">
        <v>2014</v>
      </c>
      <c r="B856" s="15" t="s">
        <v>118</v>
      </c>
      <c r="C856" s="15" t="s">
        <v>81</v>
      </c>
      <c r="D856" s="15" t="s">
        <v>126</v>
      </c>
      <c r="E856" s="19">
        <v>55548</v>
      </c>
      <c r="F856" s="19">
        <v>54218</v>
      </c>
      <c r="G856" s="20">
        <f t="shared" si="13"/>
        <v>0.49394165770821563</v>
      </c>
      <c r="H856" s="24" t="s">
        <v>579</v>
      </c>
      <c r="I856" s="24" t="s">
        <v>580</v>
      </c>
      <c r="J856" s="24" t="s">
        <v>581</v>
      </c>
      <c r="K856" s="24" t="s">
        <v>582</v>
      </c>
    </row>
    <row r="857" spans="1:11">
      <c r="A857" s="12">
        <v>2014</v>
      </c>
      <c r="B857" s="15" t="s">
        <v>118</v>
      </c>
      <c r="C857" s="15" t="s">
        <v>129</v>
      </c>
      <c r="D857" s="15" t="s">
        <v>130</v>
      </c>
      <c r="E857" s="19">
        <v>449533</v>
      </c>
      <c r="F857" s="19">
        <v>324946</v>
      </c>
      <c r="G857" s="20">
        <f t="shared" si="13"/>
        <v>0.41956721873672492</v>
      </c>
      <c r="H857" s="24" t="s">
        <v>579</v>
      </c>
      <c r="I857" s="24" t="s">
        <v>580</v>
      </c>
      <c r="J857" s="24" t="s">
        <v>581</v>
      </c>
      <c r="K857" s="24" t="s">
        <v>582</v>
      </c>
    </row>
    <row r="858" spans="1:11">
      <c r="A858" s="12">
        <v>2014</v>
      </c>
      <c r="B858" s="15" t="s">
        <v>118</v>
      </c>
      <c r="C858" s="15" t="s">
        <v>93</v>
      </c>
      <c r="D858" s="15" t="s">
        <v>131</v>
      </c>
      <c r="E858" s="19">
        <v>408797</v>
      </c>
      <c r="F858" s="19">
        <v>296972</v>
      </c>
      <c r="G858" s="20">
        <f t="shared" si="13"/>
        <v>0.4207779032516305</v>
      </c>
      <c r="H858" s="24" t="s">
        <v>579</v>
      </c>
      <c r="I858" s="24" t="s">
        <v>580</v>
      </c>
      <c r="J858" s="24" t="s">
        <v>581</v>
      </c>
      <c r="K858" s="24" t="s">
        <v>582</v>
      </c>
    </row>
    <row r="859" spans="1:11">
      <c r="A859" s="12">
        <v>2014</v>
      </c>
      <c r="B859" s="15" t="s">
        <v>118</v>
      </c>
      <c r="C859" s="15" t="s">
        <v>132</v>
      </c>
      <c r="D859" s="15" t="s">
        <v>133</v>
      </c>
      <c r="E859" s="19">
        <v>249215</v>
      </c>
      <c r="F859" s="19">
        <v>191786</v>
      </c>
      <c r="G859" s="20">
        <f t="shared" si="13"/>
        <v>0.43488790274851985</v>
      </c>
      <c r="H859" s="24" t="s">
        <v>579</v>
      </c>
      <c r="I859" s="24" t="s">
        <v>580</v>
      </c>
      <c r="J859" s="24" t="s">
        <v>581</v>
      </c>
      <c r="K859" s="24" t="s">
        <v>582</v>
      </c>
    </row>
    <row r="860" spans="1:11">
      <c r="A860" s="12">
        <v>2014</v>
      </c>
      <c r="B860" s="15" t="s">
        <v>118</v>
      </c>
      <c r="C860" s="15" t="s">
        <v>134</v>
      </c>
      <c r="D860" s="15" t="s">
        <v>135</v>
      </c>
      <c r="E860" s="19">
        <v>12276</v>
      </c>
      <c r="F860" s="19">
        <v>17711</v>
      </c>
      <c r="G860" s="20">
        <f t="shared" si="13"/>
        <v>0.59062260312802217</v>
      </c>
      <c r="H860" s="24" t="s">
        <v>579</v>
      </c>
      <c r="I860" s="24" t="s">
        <v>580</v>
      </c>
      <c r="J860" s="24" t="s">
        <v>581</v>
      </c>
      <c r="K860" s="24" t="s">
        <v>582</v>
      </c>
    </row>
    <row r="861" spans="1:11">
      <c r="A861" s="12">
        <v>2014</v>
      </c>
      <c r="B861" s="15" t="s">
        <v>118</v>
      </c>
      <c r="C861" s="15" t="s">
        <v>69</v>
      </c>
      <c r="D861" s="15" t="s">
        <v>136</v>
      </c>
      <c r="E861" s="19">
        <v>80935</v>
      </c>
      <c r="F861" s="19">
        <v>81862</v>
      </c>
      <c r="G861" s="20">
        <f t="shared" si="13"/>
        <v>0.50284710406211419</v>
      </c>
      <c r="H861" s="24" t="s">
        <v>579</v>
      </c>
      <c r="I861" s="24" t="s">
        <v>580</v>
      </c>
      <c r="J861" s="24" t="s">
        <v>581</v>
      </c>
      <c r="K861" s="24" t="s">
        <v>582</v>
      </c>
    </row>
    <row r="862" spans="1:11">
      <c r="A862" s="12">
        <v>2014</v>
      </c>
      <c r="B862" s="15" t="s">
        <v>137</v>
      </c>
      <c r="C862" s="15" t="s">
        <v>22</v>
      </c>
      <c r="D862" s="15" t="s">
        <v>137</v>
      </c>
      <c r="E862" s="19">
        <v>1345422</v>
      </c>
      <c r="F862" s="19">
        <v>319079</v>
      </c>
      <c r="G862" s="20">
        <f t="shared" si="13"/>
        <v>0.19169649041965128</v>
      </c>
      <c r="H862" s="24" t="s">
        <v>586</v>
      </c>
      <c r="I862" s="24" t="s">
        <v>587</v>
      </c>
      <c r="J862" s="24" t="s">
        <v>588</v>
      </c>
      <c r="K862" s="24" t="s">
        <v>582</v>
      </c>
    </row>
    <row r="863" spans="1:11">
      <c r="A863" s="12">
        <v>2014</v>
      </c>
      <c r="B863" s="15" t="s">
        <v>137</v>
      </c>
      <c r="C863" s="15" t="s">
        <v>138</v>
      </c>
      <c r="D863" s="15" t="s">
        <v>139</v>
      </c>
      <c r="E863" s="19">
        <v>343193</v>
      </c>
      <c r="F863" s="19">
        <v>222328</v>
      </c>
      <c r="G863" s="20">
        <f t="shared" si="13"/>
        <v>0.39313836267795538</v>
      </c>
      <c r="H863" s="24" t="s">
        <v>586</v>
      </c>
      <c r="I863" s="24" t="s">
        <v>587</v>
      </c>
      <c r="J863" s="24" t="s">
        <v>588</v>
      </c>
      <c r="K863" s="24" t="s">
        <v>582</v>
      </c>
    </row>
    <row r="864" spans="1:11">
      <c r="A864" s="12">
        <v>2014</v>
      </c>
      <c r="B864" s="15" t="s">
        <v>137</v>
      </c>
      <c r="C864" s="15" t="s">
        <v>79</v>
      </c>
      <c r="D864" s="15" t="s">
        <v>140</v>
      </c>
      <c r="E864" s="19">
        <v>172038</v>
      </c>
      <c r="F864" s="19">
        <v>155662</v>
      </c>
      <c r="G864" s="20">
        <f t="shared" si="13"/>
        <v>0.47501373207201708</v>
      </c>
      <c r="H864" s="24" t="s">
        <v>586</v>
      </c>
      <c r="I864" s="24" t="s">
        <v>587</v>
      </c>
      <c r="J864" s="24" t="s">
        <v>588</v>
      </c>
      <c r="K864" s="24" t="s">
        <v>582</v>
      </c>
    </row>
    <row r="865" spans="1:11">
      <c r="A865" s="12">
        <v>2014</v>
      </c>
      <c r="B865" s="15" t="s">
        <v>137</v>
      </c>
      <c r="C865" s="15" t="s">
        <v>81</v>
      </c>
      <c r="D865" s="15" t="s">
        <v>141</v>
      </c>
      <c r="E865" s="19">
        <v>75424</v>
      </c>
      <c r="F865" s="19">
        <v>75660</v>
      </c>
      <c r="G865" s="20">
        <f t="shared" si="13"/>
        <v>0.50078102247756218</v>
      </c>
      <c r="H865" s="24" t="s">
        <v>586</v>
      </c>
      <c r="I865" s="24" t="s">
        <v>587</v>
      </c>
      <c r="J865" s="24" t="s">
        <v>588</v>
      </c>
      <c r="K865" s="24" t="s">
        <v>582</v>
      </c>
    </row>
    <row r="866" spans="1:11">
      <c r="A866" s="12">
        <v>2014</v>
      </c>
      <c r="B866" s="15" t="s">
        <v>137</v>
      </c>
      <c r="C866" s="15" t="s">
        <v>87</v>
      </c>
      <c r="D866" s="15" t="s">
        <v>142</v>
      </c>
      <c r="E866" s="19">
        <v>367773</v>
      </c>
      <c r="F866" s="19">
        <v>292251</v>
      </c>
      <c r="G866" s="20">
        <f t="shared" si="13"/>
        <v>0.44278844405657974</v>
      </c>
      <c r="H866" s="24" t="s">
        <v>586</v>
      </c>
      <c r="I866" s="24" t="s">
        <v>587</v>
      </c>
      <c r="J866" s="24" t="s">
        <v>588</v>
      </c>
      <c r="K866" s="24" t="s">
        <v>582</v>
      </c>
    </row>
    <row r="867" spans="1:11">
      <c r="A867" s="12">
        <v>2014</v>
      </c>
      <c r="B867" s="15" t="s">
        <v>137</v>
      </c>
      <c r="C867" s="15" t="s">
        <v>93</v>
      </c>
      <c r="D867" s="15" t="s">
        <v>143</v>
      </c>
      <c r="E867" s="19">
        <v>255501</v>
      </c>
      <c r="F867" s="19">
        <v>208300</v>
      </c>
      <c r="G867" s="20">
        <f t="shared" si="13"/>
        <v>0.44911502993740848</v>
      </c>
      <c r="H867" s="24" t="s">
        <v>586</v>
      </c>
      <c r="I867" s="24" t="s">
        <v>587</v>
      </c>
      <c r="J867" s="24" t="s">
        <v>588</v>
      </c>
      <c r="K867" s="24" t="s">
        <v>582</v>
      </c>
    </row>
    <row r="868" spans="1:11">
      <c r="A868" s="12">
        <v>2014</v>
      </c>
      <c r="B868" s="15" t="s">
        <v>144</v>
      </c>
      <c r="C868" s="15" t="s">
        <v>22</v>
      </c>
      <c r="D868" s="15" t="s">
        <v>144</v>
      </c>
      <c r="E868" s="19">
        <v>1394738</v>
      </c>
      <c r="F868" s="19">
        <v>331091</v>
      </c>
      <c r="G868" s="20">
        <f t="shared" si="13"/>
        <v>0.19184461496475028</v>
      </c>
      <c r="H868" s="24" t="s">
        <v>589</v>
      </c>
      <c r="I868" s="24" t="s">
        <v>560</v>
      </c>
      <c r="J868" s="24" t="s">
        <v>590</v>
      </c>
      <c r="K868" s="24" t="s">
        <v>582</v>
      </c>
    </row>
    <row r="869" spans="1:11">
      <c r="A869" s="12">
        <v>2014</v>
      </c>
      <c r="B869" s="15" t="s">
        <v>144</v>
      </c>
      <c r="C869" s="15" t="s">
        <v>145</v>
      </c>
      <c r="D869" s="15" t="s">
        <v>146</v>
      </c>
      <c r="E869" s="19">
        <v>164189</v>
      </c>
      <c r="F869" s="19">
        <v>140188</v>
      </c>
      <c r="G869" s="20">
        <f t="shared" si="13"/>
        <v>0.46057356501969599</v>
      </c>
      <c r="H869" s="24" t="s">
        <v>589</v>
      </c>
      <c r="I869" s="24" t="s">
        <v>560</v>
      </c>
      <c r="J869" s="24" t="s">
        <v>590</v>
      </c>
      <c r="K869" s="24" t="s">
        <v>582</v>
      </c>
    </row>
    <row r="870" spans="1:11">
      <c r="A870" s="12">
        <v>2014</v>
      </c>
      <c r="B870" s="15" t="s">
        <v>144</v>
      </c>
      <c r="C870" s="15" t="s">
        <v>81</v>
      </c>
      <c r="D870" s="15" t="s">
        <v>147</v>
      </c>
      <c r="E870" s="19">
        <v>188369</v>
      </c>
      <c r="F870" s="19">
        <v>188167</v>
      </c>
      <c r="G870" s="20">
        <f t="shared" si="13"/>
        <v>0.49973176535576941</v>
      </c>
      <c r="H870" s="24" t="s">
        <v>589</v>
      </c>
      <c r="I870" s="24" t="s">
        <v>560</v>
      </c>
      <c r="J870" s="24" t="s">
        <v>590</v>
      </c>
      <c r="K870" s="24" t="s">
        <v>582</v>
      </c>
    </row>
    <row r="871" spans="1:11">
      <c r="A871" s="12">
        <v>2014</v>
      </c>
      <c r="B871" s="15" t="s">
        <v>144</v>
      </c>
      <c r="C871" s="15" t="s">
        <v>93</v>
      </c>
      <c r="D871" s="15" t="s">
        <v>148</v>
      </c>
      <c r="E871" s="19">
        <v>429016</v>
      </c>
      <c r="F871" s="19">
        <v>280088</v>
      </c>
      <c r="G871" s="20">
        <f t="shared" si="13"/>
        <v>0.39498860533856811</v>
      </c>
      <c r="H871" s="24" t="s">
        <v>589</v>
      </c>
      <c r="I871" s="24" t="s">
        <v>560</v>
      </c>
      <c r="J871" s="24" t="s">
        <v>590</v>
      </c>
      <c r="K871" s="24" t="s">
        <v>582</v>
      </c>
    </row>
    <row r="872" spans="1:11">
      <c r="A872" s="12">
        <v>2014</v>
      </c>
      <c r="B872" s="15" t="s">
        <v>144</v>
      </c>
      <c r="C872" s="15" t="s">
        <v>149</v>
      </c>
      <c r="D872" s="15" t="s">
        <v>150</v>
      </c>
      <c r="E872" s="19">
        <v>263845</v>
      </c>
      <c r="F872" s="19">
        <v>237382</v>
      </c>
      <c r="G872" s="20">
        <f t="shared" si="13"/>
        <v>0.47360178122886437</v>
      </c>
      <c r="H872" s="24" t="s">
        <v>589</v>
      </c>
      <c r="I872" s="24" t="s">
        <v>560</v>
      </c>
      <c r="J872" s="24" t="s">
        <v>590</v>
      </c>
      <c r="K872" s="24" t="s">
        <v>582</v>
      </c>
    </row>
    <row r="873" spans="1:11">
      <c r="A873" s="12">
        <v>2014</v>
      </c>
      <c r="B873" s="15" t="s">
        <v>144</v>
      </c>
      <c r="C873" s="15" t="s">
        <v>69</v>
      </c>
      <c r="D873" s="15" t="s">
        <v>151</v>
      </c>
      <c r="E873" s="19">
        <v>214545</v>
      </c>
      <c r="F873" s="19">
        <v>179536</v>
      </c>
      <c r="G873" s="20">
        <f t="shared" si="13"/>
        <v>0.45558146675429673</v>
      </c>
      <c r="H873" s="24" t="s">
        <v>589</v>
      </c>
      <c r="I873" s="24" t="s">
        <v>560</v>
      </c>
      <c r="J873" s="24" t="s">
        <v>590</v>
      </c>
      <c r="K873" s="24" t="s">
        <v>582</v>
      </c>
    </row>
    <row r="874" spans="1:11">
      <c r="A874" s="12">
        <v>2014</v>
      </c>
      <c r="B874" s="15" t="s">
        <v>152</v>
      </c>
      <c r="C874" s="15" t="s">
        <v>22</v>
      </c>
      <c r="D874" s="15" t="s">
        <v>152</v>
      </c>
      <c r="E874" s="19">
        <v>1064051</v>
      </c>
      <c r="F874" s="19">
        <v>259060</v>
      </c>
      <c r="G874" s="20">
        <f t="shared" si="13"/>
        <v>0.19579611990226065</v>
      </c>
      <c r="H874" s="24" t="s">
        <v>583</v>
      </c>
      <c r="I874" s="24" t="s">
        <v>584</v>
      </c>
      <c r="J874" s="24" t="s">
        <v>585</v>
      </c>
      <c r="K874" s="24" t="s">
        <v>582</v>
      </c>
    </row>
    <row r="875" spans="1:11">
      <c r="A875" s="12">
        <v>2014</v>
      </c>
      <c r="B875" s="15" t="s">
        <v>152</v>
      </c>
      <c r="C875" s="15" t="s">
        <v>79</v>
      </c>
      <c r="D875" s="15" t="s">
        <v>153</v>
      </c>
      <c r="E875" s="19">
        <v>304047</v>
      </c>
      <c r="F875" s="19">
        <v>167715</v>
      </c>
      <c r="G875" s="20">
        <f t="shared" si="13"/>
        <v>0.35550765004387808</v>
      </c>
      <c r="H875" s="24" t="s">
        <v>583</v>
      </c>
      <c r="I875" s="24" t="s">
        <v>584</v>
      </c>
      <c r="J875" s="24" t="s">
        <v>585</v>
      </c>
      <c r="K875" s="24" t="s">
        <v>582</v>
      </c>
    </row>
    <row r="876" spans="1:11">
      <c r="A876" s="12">
        <v>2014</v>
      </c>
      <c r="B876" s="15" t="s">
        <v>152</v>
      </c>
      <c r="C876" s="15" t="s">
        <v>81</v>
      </c>
      <c r="D876" s="15" t="s">
        <v>154</v>
      </c>
      <c r="E876" s="19">
        <v>158201</v>
      </c>
      <c r="F876" s="19">
        <v>84718</v>
      </c>
      <c r="G876" s="20">
        <f t="shared" si="13"/>
        <v>0.34874999485425184</v>
      </c>
      <c r="H876" s="24" t="s">
        <v>583</v>
      </c>
      <c r="I876" s="24" t="s">
        <v>584</v>
      </c>
      <c r="J876" s="24" t="s">
        <v>585</v>
      </c>
      <c r="K876" s="24" t="s">
        <v>582</v>
      </c>
    </row>
    <row r="877" spans="1:11">
      <c r="A877" s="12">
        <v>2014</v>
      </c>
      <c r="B877" s="15" t="s">
        <v>152</v>
      </c>
      <c r="C877" s="15" t="s">
        <v>87</v>
      </c>
      <c r="D877" s="15" t="s">
        <v>155</v>
      </c>
      <c r="E877" s="19">
        <v>151440</v>
      </c>
      <c r="F877" s="19">
        <v>128965</v>
      </c>
      <c r="G877" s="20">
        <f t="shared" si="13"/>
        <v>0.45992403844439295</v>
      </c>
      <c r="H877" s="24" t="s">
        <v>583</v>
      </c>
      <c r="I877" s="24" t="s">
        <v>584</v>
      </c>
      <c r="J877" s="24" t="s">
        <v>585</v>
      </c>
      <c r="K877" s="24" t="s">
        <v>582</v>
      </c>
    </row>
    <row r="878" spans="1:11">
      <c r="A878" s="12">
        <v>2014</v>
      </c>
      <c r="B878" s="15" t="s">
        <v>152</v>
      </c>
      <c r="C878" s="15" t="s">
        <v>156</v>
      </c>
      <c r="D878" s="15" t="s">
        <v>157</v>
      </c>
      <c r="E878" s="19">
        <v>158641</v>
      </c>
      <c r="F878" s="19">
        <v>161714</v>
      </c>
      <c r="G878" s="20">
        <f t="shared" si="13"/>
        <v>0.50479624166939796</v>
      </c>
      <c r="H878" s="24" t="s">
        <v>583</v>
      </c>
      <c r="I878" s="24" t="s">
        <v>584</v>
      </c>
      <c r="J878" s="24" t="s">
        <v>585</v>
      </c>
      <c r="K878" s="24" t="s">
        <v>582</v>
      </c>
    </row>
    <row r="879" spans="1:11">
      <c r="A879" s="12">
        <v>2014</v>
      </c>
      <c r="B879" s="15" t="s">
        <v>152</v>
      </c>
      <c r="C879" s="15" t="s">
        <v>69</v>
      </c>
      <c r="D879" s="15" t="s">
        <v>158</v>
      </c>
      <c r="E879" s="19">
        <v>188063</v>
      </c>
      <c r="F879" s="19">
        <v>169462</v>
      </c>
      <c r="G879" s="20">
        <f t="shared" si="13"/>
        <v>0.47398643451506889</v>
      </c>
      <c r="H879" s="24" t="s">
        <v>583</v>
      </c>
      <c r="I879" s="24" t="s">
        <v>584</v>
      </c>
      <c r="J879" s="24" t="s">
        <v>585</v>
      </c>
      <c r="K879" s="24" t="s">
        <v>582</v>
      </c>
    </row>
    <row r="880" spans="1:11">
      <c r="A880" s="12">
        <v>2014</v>
      </c>
      <c r="B880" s="15" t="s">
        <v>159</v>
      </c>
      <c r="C880" s="15" t="s">
        <v>22</v>
      </c>
      <c r="D880" s="15" t="s">
        <v>159</v>
      </c>
      <c r="E880" s="19">
        <v>109497</v>
      </c>
      <c r="F880" s="19">
        <v>118808</v>
      </c>
      <c r="G880" s="20">
        <f t="shared" si="13"/>
        <v>0.52039158143711262</v>
      </c>
      <c r="H880" s="24" t="s">
        <v>589</v>
      </c>
      <c r="I880" s="24" t="s">
        <v>560</v>
      </c>
      <c r="J880" s="24" t="s">
        <v>590</v>
      </c>
      <c r="K880" s="24" t="s">
        <v>582</v>
      </c>
    </row>
    <row r="881" spans="1:11">
      <c r="A881" s="12">
        <v>2014</v>
      </c>
      <c r="B881" s="15" t="s">
        <v>160</v>
      </c>
      <c r="C881" s="15" t="s">
        <v>22</v>
      </c>
      <c r="D881" s="15" t="s">
        <v>160</v>
      </c>
      <c r="E881" s="19">
        <v>10978460</v>
      </c>
      <c r="F881" s="19">
        <v>4144411</v>
      </c>
      <c r="G881" s="20">
        <f t="shared" si="13"/>
        <v>0.27404921988688524</v>
      </c>
      <c r="H881" s="24" t="s">
        <v>579</v>
      </c>
      <c r="I881" s="24" t="s">
        <v>580</v>
      </c>
      <c r="J881" s="24" t="s">
        <v>581</v>
      </c>
      <c r="K881" s="24" t="s">
        <v>582</v>
      </c>
    </row>
    <row r="882" spans="1:11">
      <c r="A882" s="12">
        <v>2014</v>
      </c>
      <c r="B882" s="15" t="s">
        <v>160</v>
      </c>
      <c r="C882" s="15" t="s">
        <v>161</v>
      </c>
      <c r="D882" s="15" t="s">
        <v>162</v>
      </c>
      <c r="E882" s="19">
        <v>47133</v>
      </c>
      <c r="F882" s="19">
        <v>43079</v>
      </c>
      <c r="G882" s="20">
        <f t="shared" si="13"/>
        <v>0.47753070544938592</v>
      </c>
      <c r="H882" s="24" t="s">
        <v>579</v>
      </c>
      <c r="I882" s="24" t="s">
        <v>591</v>
      </c>
      <c r="J882" s="24" t="s">
        <v>592</v>
      </c>
      <c r="K882" s="24" t="s">
        <v>582</v>
      </c>
    </row>
    <row r="883" spans="1:11">
      <c r="A883" s="12">
        <v>2014</v>
      </c>
      <c r="B883" s="15" t="s">
        <v>160</v>
      </c>
      <c r="C883" s="15" t="s">
        <v>163</v>
      </c>
      <c r="D883" s="15" t="s">
        <v>164</v>
      </c>
      <c r="E883" s="19">
        <v>326986</v>
      </c>
      <c r="F883" s="19">
        <v>268765</v>
      </c>
      <c r="G883" s="20">
        <f t="shared" si="13"/>
        <v>0.45113646473107055</v>
      </c>
      <c r="H883" s="24" t="s">
        <v>579</v>
      </c>
      <c r="I883" s="24" t="s">
        <v>591</v>
      </c>
      <c r="J883" s="24" t="s">
        <v>592</v>
      </c>
      <c r="K883" s="24" t="s">
        <v>582</v>
      </c>
    </row>
    <row r="884" spans="1:11">
      <c r="A884" s="12">
        <v>2014</v>
      </c>
      <c r="B884" s="15" t="s">
        <v>160</v>
      </c>
      <c r="C884" s="15" t="s">
        <v>167</v>
      </c>
      <c r="D884" s="15" t="s">
        <v>168</v>
      </c>
      <c r="E884" s="19">
        <v>221199</v>
      </c>
      <c r="F884" s="19">
        <v>189384</v>
      </c>
      <c r="G884" s="20">
        <f t="shared" si="13"/>
        <v>0.46125631114780691</v>
      </c>
      <c r="H884" s="24" t="s">
        <v>579</v>
      </c>
      <c r="I884" s="24" t="s">
        <v>591</v>
      </c>
      <c r="J884" s="24" t="s">
        <v>592</v>
      </c>
      <c r="K884" s="24" t="s">
        <v>582</v>
      </c>
    </row>
    <row r="885" spans="1:11">
      <c r="A885" s="12">
        <v>2014</v>
      </c>
      <c r="B885" s="15" t="s">
        <v>160</v>
      </c>
      <c r="C885" s="15" t="s">
        <v>169</v>
      </c>
      <c r="D885" s="15" t="s">
        <v>170</v>
      </c>
      <c r="E885" s="19">
        <v>236626</v>
      </c>
      <c r="F885" s="19">
        <v>199193</v>
      </c>
      <c r="G885" s="20">
        <f t="shared" si="13"/>
        <v>0.45705441938052266</v>
      </c>
      <c r="H885" s="24" t="s">
        <v>579</v>
      </c>
      <c r="I885" s="24" t="s">
        <v>591</v>
      </c>
      <c r="J885" s="24" t="s">
        <v>592</v>
      </c>
      <c r="K885" s="24" t="s">
        <v>582</v>
      </c>
    </row>
    <row r="886" spans="1:11">
      <c r="A886" s="12">
        <v>2014</v>
      </c>
      <c r="B886" s="15" t="s">
        <v>160</v>
      </c>
      <c r="C886" s="15" t="s">
        <v>171</v>
      </c>
      <c r="D886" s="15" t="s">
        <v>172</v>
      </c>
      <c r="E886" s="19">
        <v>50034</v>
      </c>
      <c r="F886" s="19">
        <v>51523</v>
      </c>
      <c r="G886" s="20">
        <f t="shared" si="13"/>
        <v>0.5073308585326467</v>
      </c>
      <c r="H886" s="24" t="s">
        <v>579</v>
      </c>
      <c r="I886" s="24" t="s">
        <v>591</v>
      </c>
      <c r="J886" s="24" t="s">
        <v>592</v>
      </c>
      <c r="K886" s="24" t="s">
        <v>582</v>
      </c>
    </row>
    <row r="887" spans="1:11">
      <c r="A887" s="12">
        <v>2014</v>
      </c>
      <c r="B887" s="15" t="s">
        <v>160</v>
      </c>
      <c r="C887" s="15" t="s">
        <v>173</v>
      </c>
      <c r="D887" s="15" t="s">
        <v>174</v>
      </c>
      <c r="E887" s="19">
        <v>287192</v>
      </c>
      <c r="F887" s="19">
        <v>205637</v>
      </c>
      <c r="G887" s="20">
        <f t="shared" si="13"/>
        <v>0.41725831880834935</v>
      </c>
      <c r="H887" s="24" t="s">
        <v>579</v>
      </c>
      <c r="I887" s="24" t="s">
        <v>591</v>
      </c>
      <c r="J887" s="24" t="s">
        <v>592</v>
      </c>
      <c r="K887" s="24" t="s">
        <v>582</v>
      </c>
    </row>
    <row r="888" spans="1:11">
      <c r="A888" s="12">
        <v>2014</v>
      </c>
      <c r="B888" s="15" t="s">
        <v>160</v>
      </c>
      <c r="C888" s="15" t="s">
        <v>175</v>
      </c>
      <c r="D888" s="15" t="s">
        <v>176</v>
      </c>
      <c r="E888" s="19">
        <v>219326</v>
      </c>
      <c r="F888" s="19">
        <v>199011</v>
      </c>
      <c r="G888" s="20">
        <f t="shared" si="13"/>
        <v>0.47571933632454216</v>
      </c>
      <c r="H888" s="24" t="s">
        <v>579</v>
      </c>
      <c r="I888" s="24" t="s">
        <v>591</v>
      </c>
      <c r="J888" s="24" t="s">
        <v>592</v>
      </c>
      <c r="K888" s="24" t="s">
        <v>582</v>
      </c>
    </row>
    <row r="889" spans="1:11">
      <c r="A889" s="12">
        <v>2014</v>
      </c>
      <c r="B889" s="15" t="s">
        <v>160</v>
      </c>
      <c r="C889" s="15" t="s">
        <v>177</v>
      </c>
      <c r="D889" s="15" t="s">
        <v>178</v>
      </c>
      <c r="E889" s="19">
        <v>152868</v>
      </c>
      <c r="F889" s="19">
        <v>102931</v>
      </c>
      <c r="G889" s="20">
        <f t="shared" si="13"/>
        <v>0.40239015789741162</v>
      </c>
      <c r="H889" s="24" t="s">
        <v>579</v>
      </c>
      <c r="I889" s="24" t="s">
        <v>591</v>
      </c>
      <c r="J889" s="24" t="s">
        <v>592</v>
      </c>
      <c r="K889" s="24" t="s">
        <v>582</v>
      </c>
    </row>
    <row r="890" spans="1:11">
      <c r="A890" s="12">
        <v>2014</v>
      </c>
      <c r="B890" s="15" t="s">
        <v>160</v>
      </c>
      <c r="C890" s="15" t="s">
        <v>179</v>
      </c>
      <c r="D890" s="15" t="s">
        <v>180</v>
      </c>
      <c r="E890" s="19">
        <v>237566</v>
      </c>
      <c r="F890" s="19">
        <v>175475</v>
      </c>
      <c r="G890" s="20">
        <f t="shared" si="13"/>
        <v>0.42483675954687306</v>
      </c>
      <c r="H890" s="24" t="s">
        <v>579</v>
      </c>
      <c r="I890" s="24" t="s">
        <v>591</v>
      </c>
      <c r="J890" s="24" t="s">
        <v>592</v>
      </c>
      <c r="K890" s="24" t="s">
        <v>582</v>
      </c>
    </row>
    <row r="891" spans="1:11">
      <c r="A891" s="12">
        <v>2014</v>
      </c>
      <c r="B891" s="15" t="s">
        <v>160</v>
      </c>
      <c r="C891" s="15" t="s">
        <v>181</v>
      </c>
      <c r="D891" s="15" t="s">
        <v>182</v>
      </c>
      <c r="E891" s="19">
        <v>279173</v>
      </c>
      <c r="F891" s="19">
        <v>204828</v>
      </c>
      <c r="G891" s="20">
        <f t="shared" si="13"/>
        <v>0.42319747273249436</v>
      </c>
      <c r="H891" s="24" t="s">
        <v>579</v>
      </c>
      <c r="I891" s="24" t="s">
        <v>591</v>
      </c>
      <c r="J891" s="24" t="s">
        <v>592</v>
      </c>
      <c r="K891" s="24" t="s">
        <v>582</v>
      </c>
    </row>
    <row r="892" spans="1:11">
      <c r="A892" s="12">
        <v>2014</v>
      </c>
      <c r="B892" s="15" t="s">
        <v>160</v>
      </c>
      <c r="C892" s="15" t="s">
        <v>183</v>
      </c>
      <c r="D892" s="15" t="s">
        <v>184</v>
      </c>
      <c r="E892" s="19">
        <v>507158</v>
      </c>
      <c r="F892" s="19">
        <v>386959</v>
      </c>
      <c r="G892" s="20">
        <f t="shared" si="13"/>
        <v>0.43278340530378018</v>
      </c>
      <c r="H892" s="24" t="s">
        <v>579</v>
      </c>
      <c r="I892" s="24" t="s">
        <v>591</v>
      </c>
      <c r="J892" s="24" t="s">
        <v>592</v>
      </c>
      <c r="K892" s="24" t="s">
        <v>582</v>
      </c>
    </row>
    <row r="893" spans="1:11">
      <c r="A893" s="12">
        <v>2014</v>
      </c>
      <c r="B893" s="15" t="s">
        <v>160</v>
      </c>
      <c r="C893" s="15" t="s">
        <v>185</v>
      </c>
      <c r="D893" s="15" t="s">
        <v>186</v>
      </c>
      <c r="E893" s="19">
        <v>79017</v>
      </c>
      <c r="F893" s="19">
        <v>54356</v>
      </c>
      <c r="G893" s="20">
        <f t="shared" si="13"/>
        <v>0.40754875424561193</v>
      </c>
      <c r="H893" s="24" t="s">
        <v>579</v>
      </c>
      <c r="I893" s="24" t="s">
        <v>591</v>
      </c>
      <c r="J893" s="24" t="s">
        <v>592</v>
      </c>
      <c r="K893" s="24" t="s">
        <v>582</v>
      </c>
    </row>
    <row r="894" spans="1:11">
      <c r="A894" s="12">
        <v>2014</v>
      </c>
      <c r="B894" s="15" t="s">
        <v>160</v>
      </c>
      <c r="C894" s="15" t="s">
        <v>189</v>
      </c>
      <c r="D894" s="15" t="s">
        <v>190</v>
      </c>
      <c r="E894" s="19">
        <v>169476</v>
      </c>
      <c r="F894" s="19">
        <v>166793</v>
      </c>
      <c r="G894" s="20">
        <f t="shared" si="13"/>
        <v>0.4960106343433382</v>
      </c>
      <c r="H894" s="24" t="s">
        <v>579</v>
      </c>
      <c r="I894" s="24" t="s">
        <v>580</v>
      </c>
      <c r="J894" s="24" t="s">
        <v>581</v>
      </c>
      <c r="K894" s="24" t="s">
        <v>582</v>
      </c>
    </row>
    <row r="895" spans="1:11">
      <c r="A895" s="12">
        <v>2014</v>
      </c>
      <c r="B895" s="15" t="s">
        <v>160</v>
      </c>
      <c r="C895" s="15" t="s">
        <v>191</v>
      </c>
      <c r="D895" s="15" t="s">
        <v>192</v>
      </c>
      <c r="E895" s="19">
        <v>141048</v>
      </c>
      <c r="F895" s="19">
        <v>127173</v>
      </c>
      <c r="G895" s="20">
        <f t="shared" si="13"/>
        <v>0.47413513483284309</v>
      </c>
      <c r="H895" s="24" t="s">
        <v>579</v>
      </c>
      <c r="I895" s="24" t="s">
        <v>580</v>
      </c>
      <c r="J895" s="24" t="s">
        <v>581</v>
      </c>
      <c r="K895" s="24" t="s">
        <v>582</v>
      </c>
    </row>
    <row r="896" spans="1:11">
      <c r="A896" s="12">
        <v>2014</v>
      </c>
      <c r="B896" s="15" t="s">
        <v>160</v>
      </c>
      <c r="C896" s="15" t="s">
        <v>193</v>
      </c>
      <c r="D896" s="15" t="s">
        <v>194</v>
      </c>
      <c r="E896" s="19">
        <v>366778</v>
      </c>
      <c r="F896" s="19">
        <v>251559</v>
      </c>
      <c r="G896" s="20">
        <f t="shared" si="13"/>
        <v>0.40683154978595815</v>
      </c>
      <c r="H896" s="24" t="s">
        <v>579</v>
      </c>
      <c r="I896" s="24" t="s">
        <v>580</v>
      </c>
      <c r="J896" s="24" t="s">
        <v>581</v>
      </c>
      <c r="K896" s="24" t="s">
        <v>582</v>
      </c>
    </row>
    <row r="897" spans="1:11">
      <c r="A897" s="12">
        <v>2014</v>
      </c>
      <c r="B897" s="15" t="s">
        <v>160</v>
      </c>
      <c r="C897" s="15" t="s">
        <v>195</v>
      </c>
      <c r="D897" s="15" t="s">
        <v>196</v>
      </c>
      <c r="E897" s="19">
        <v>415924</v>
      </c>
      <c r="F897" s="19">
        <v>275813</v>
      </c>
      <c r="G897" s="20">
        <f t="shared" si="13"/>
        <v>0.39872523806012977</v>
      </c>
      <c r="H897" s="24" t="s">
        <v>579</v>
      </c>
      <c r="I897" s="24" t="s">
        <v>580</v>
      </c>
      <c r="J897" s="24" t="s">
        <v>581</v>
      </c>
      <c r="K897" s="24" t="s">
        <v>582</v>
      </c>
    </row>
    <row r="898" spans="1:11">
      <c r="A898" s="12">
        <v>2014</v>
      </c>
      <c r="B898" s="15" t="s">
        <v>160</v>
      </c>
      <c r="C898" s="15" t="s">
        <v>197</v>
      </c>
      <c r="D898" s="15" t="s">
        <v>198</v>
      </c>
      <c r="E898" s="19">
        <v>155946</v>
      </c>
      <c r="F898" s="19">
        <v>165002</v>
      </c>
      <c r="G898" s="20">
        <f t="shared" si="13"/>
        <v>0.51410820444433369</v>
      </c>
      <c r="H898" s="24" t="s">
        <v>579</v>
      </c>
      <c r="I898" s="24" t="s">
        <v>580</v>
      </c>
      <c r="J898" s="24" t="s">
        <v>581</v>
      </c>
      <c r="K898" s="24" t="s">
        <v>582</v>
      </c>
    </row>
    <row r="899" spans="1:11">
      <c r="A899" s="12">
        <v>2014</v>
      </c>
      <c r="B899" s="15" t="s">
        <v>160</v>
      </c>
      <c r="C899" s="15" t="s">
        <v>199</v>
      </c>
      <c r="D899" s="15" t="s">
        <v>200</v>
      </c>
      <c r="E899" s="19">
        <v>189178</v>
      </c>
      <c r="F899" s="19">
        <v>178798</v>
      </c>
      <c r="G899" s="20">
        <f t="shared" si="13"/>
        <v>0.48589581929256254</v>
      </c>
      <c r="H899" s="24" t="s">
        <v>579</v>
      </c>
      <c r="I899" s="24" t="s">
        <v>580</v>
      </c>
      <c r="J899" s="24" t="s">
        <v>581</v>
      </c>
      <c r="K899" s="24" t="s">
        <v>582</v>
      </c>
    </row>
    <row r="900" spans="1:11">
      <c r="A900" s="12">
        <v>2014</v>
      </c>
      <c r="B900" s="15" t="s">
        <v>160</v>
      </c>
      <c r="C900" s="15" t="s">
        <v>201</v>
      </c>
      <c r="D900" s="15" t="s">
        <v>202</v>
      </c>
      <c r="E900" s="19">
        <v>249187</v>
      </c>
      <c r="F900" s="19">
        <v>252791</v>
      </c>
      <c r="G900" s="20">
        <f t="shared" si="13"/>
        <v>0.50358979875612075</v>
      </c>
      <c r="H900" s="24" t="s">
        <v>579</v>
      </c>
      <c r="I900" s="24" t="s">
        <v>580</v>
      </c>
      <c r="J900" s="24" t="s">
        <v>581</v>
      </c>
      <c r="K900" s="24" t="s">
        <v>582</v>
      </c>
    </row>
    <row r="901" spans="1:11">
      <c r="A901" s="12">
        <v>2014</v>
      </c>
      <c r="B901" s="15" t="s">
        <v>160</v>
      </c>
      <c r="C901" s="15" t="s">
        <v>203</v>
      </c>
      <c r="D901" s="15" t="s">
        <v>204</v>
      </c>
      <c r="E901" s="19">
        <v>259961</v>
      </c>
      <c r="F901" s="19">
        <v>229102</v>
      </c>
      <c r="G901" s="20">
        <f t="shared" si="13"/>
        <v>0.46845089487448449</v>
      </c>
      <c r="H901" s="24" t="s">
        <v>579</v>
      </c>
      <c r="I901" s="24" t="s">
        <v>580</v>
      </c>
      <c r="J901" s="24" t="s">
        <v>581</v>
      </c>
      <c r="K901" s="24" t="s">
        <v>582</v>
      </c>
    </row>
    <row r="902" spans="1:11">
      <c r="A902" s="12">
        <v>2014</v>
      </c>
      <c r="B902" s="15" t="s">
        <v>160</v>
      </c>
      <c r="C902" s="15" t="s">
        <v>205</v>
      </c>
      <c r="D902" s="15" t="s">
        <v>206</v>
      </c>
      <c r="E902" s="19">
        <v>241302</v>
      </c>
      <c r="F902" s="19">
        <v>199963</v>
      </c>
      <c r="G902" s="20">
        <f t="shared" ref="G902:G965" si="14">IFERROR(F902/(E902+F902),"")</f>
        <v>0.45315853285440721</v>
      </c>
      <c r="H902" s="24" t="s">
        <v>579</v>
      </c>
      <c r="I902" s="24" t="s">
        <v>580</v>
      </c>
      <c r="J902" s="24" t="s">
        <v>581</v>
      </c>
      <c r="K902" s="24" t="s">
        <v>582</v>
      </c>
    </row>
    <row r="903" spans="1:11">
      <c r="A903" s="12">
        <v>2014</v>
      </c>
      <c r="B903" s="15" t="s">
        <v>160</v>
      </c>
      <c r="C903" s="15" t="s">
        <v>207</v>
      </c>
      <c r="D903" s="15" t="s">
        <v>208</v>
      </c>
      <c r="E903" s="19">
        <v>154619</v>
      </c>
      <c r="F903" s="19">
        <v>146684</v>
      </c>
      <c r="G903" s="20">
        <f t="shared" si="14"/>
        <v>0.48683219217863744</v>
      </c>
      <c r="H903" s="24" t="s">
        <v>579</v>
      </c>
      <c r="I903" s="24" t="s">
        <v>580</v>
      </c>
      <c r="J903" s="24" t="s">
        <v>581</v>
      </c>
      <c r="K903" s="24" t="s">
        <v>582</v>
      </c>
    </row>
    <row r="904" spans="1:11">
      <c r="A904" s="12">
        <v>2014</v>
      </c>
      <c r="B904" s="15" t="s">
        <v>160</v>
      </c>
      <c r="C904" s="15" t="s">
        <v>209</v>
      </c>
      <c r="D904" s="15" t="s">
        <v>210</v>
      </c>
      <c r="E904" s="19">
        <v>331855</v>
      </c>
      <c r="F904" s="19">
        <v>221530</v>
      </c>
      <c r="G904" s="20">
        <f t="shared" si="14"/>
        <v>0.40031804259240855</v>
      </c>
      <c r="H904" s="24" t="s">
        <v>579</v>
      </c>
      <c r="I904" s="24" t="s">
        <v>591</v>
      </c>
      <c r="J904" s="24" t="s">
        <v>592</v>
      </c>
      <c r="K904" s="24" t="s">
        <v>582</v>
      </c>
    </row>
    <row r="905" spans="1:11">
      <c r="A905" s="12">
        <v>2014</v>
      </c>
      <c r="B905" s="15" t="s">
        <v>160</v>
      </c>
      <c r="C905" s="15" t="s">
        <v>211</v>
      </c>
      <c r="D905" s="15" t="s">
        <v>212</v>
      </c>
      <c r="E905" s="19">
        <v>283703</v>
      </c>
      <c r="F905" s="19">
        <v>161012</v>
      </c>
      <c r="G905" s="20">
        <f t="shared" si="14"/>
        <v>0.36205659804593954</v>
      </c>
      <c r="H905" s="24" t="s">
        <v>579</v>
      </c>
      <c r="I905" s="24" t="s">
        <v>591</v>
      </c>
      <c r="J905" s="24" t="s">
        <v>592</v>
      </c>
      <c r="K905" s="24" t="s">
        <v>582</v>
      </c>
    </row>
    <row r="906" spans="1:11">
      <c r="A906" s="12">
        <v>2014</v>
      </c>
      <c r="B906" s="15" t="s">
        <v>160</v>
      </c>
      <c r="C906" s="15" t="s">
        <v>213</v>
      </c>
      <c r="D906" s="15" t="s">
        <v>214</v>
      </c>
      <c r="E906" s="19">
        <v>292449</v>
      </c>
      <c r="F906" s="19">
        <v>266645</v>
      </c>
      <c r="G906" s="20">
        <f t="shared" si="14"/>
        <v>0.47692337961058429</v>
      </c>
      <c r="H906" s="24" t="s">
        <v>579</v>
      </c>
      <c r="I906" s="24" t="s">
        <v>591</v>
      </c>
      <c r="J906" s="24" t="s">
        <v>592</v>
      </c>
      <c r="K906" s="24" t="s">
        <v>582</v>
      </c>
    </row>
    <row r="907" spans="1:11">
      <c r="A907" s="12">
        <v>2014</v>
      </c>
      <c r="B907" s="15" t="s">
        <v>160</v>
      </c>
      <c r="C907" s="15" t="s">
        <v>215</v>
      </c>
      <c r="D907" s="15" t="s">
        <v>216</v>
      </c>
      <c r="E907" s="19">
        <v>153608</v>
      </c>
      <c r="F907" s="19">
        <v>108256</v>
      </c>
      <c r="G907" s="20">
        <f t="shared" si="14"/>
        <v>0.41340543182720801</v>
      </c>
      <c r="H907" s="24" t="s">
        <v>579</v>
      </c>
      <c r="I907" s="24" t="s">
        <v>591</v>
      </c>
      <c r="J907" s="24" t="s">
        <v>592</v>
      </c>
      <c r="K907" s="24" t="s">
        <v>582</v>
      </c>
    </row>
    <row r="908" spans="1:11">
      <c r="A908" s="12">
        <v>2014</v>
      </c>
      <c r="B908" s="15" t="s">
        <v>160</v>
      </c>
      <c r="C908" s="15" t="s">
        <v>217</v>
      </c>
      <c r="D908" s="15" t="s">
        <v>218</v>
      </c>
      <c r="E908" s="19">
        <v>291139</v>
      </c>
      <c r="F908" s="19">
        <v>212457</v>
      </c>
      <c r="G908" s="20">
        <f t="shared" si="14"/>
        <v>0.42187984018935815</v>
      </c>
      <c r="H908" s="24" t="s">
        <v>579</v>
      </c>
      <c r="I908" s="24" t="s">
        <v>580</v>
      </c>
      <c r="J908" s="24" t="s">
        <v>581</v>
      </c>
      <c r="K908" s="24" t="s">
        <v>582</v>
      </c>
    </row>
    <row r="909" spans="1:11">
      <c r="A909" s="12">
        <v>2014</v>
      </c>
      <c r="B909" s="15" t="s">
        <v>160</v>
      </c>
      <c r="C909" s="15" t="s">
        <v>219</v>
      </c>
      <c r="D909" s="15" t="s">
        <v>220</v>
      </c>
      <c r="E909" s="19">
        <v>191180</v>
      </c>
      <c r="F909" s="19">
        <v>164228</v>
      </c>
      <c r="G909" s="20">
        <f t="shared" si="14"/>
        <v>0.46208301445099714</v>
      </c>
      <c r="H909" s="24" t="s">
        <v>579</v>
      </c>
      <c r="I909" s="24" t="s">
        <v>580</v>
      </c>
      <c r="J909" s="24" t="s">
        <v>581</v>
      </c>
      <c r="K909" s="24" t="s">
        <v>582</v>
      </c>
    </row>
    <row r="910" spans="1:11">
      <c r="A910" s="12">
        <v>2014</v>
      </c>
      <c r="B910" s="15" t="s">
        <v>160</v>
      </c>
      <c r="C910" s="15" t="s">
        <v>221</v>
      </c>
      <c r="D910" s="15" t="s">
        <v>222</v>
      </c>
      <c r="E910" s="19">
        <v>151763</v>
      </c>
      <c r="F910" s="19">
        <v>140437</v>
      </c>
      <c r="G910" s="20">
        <f t="shared" si="14"/>
        <v>0.48061943874058866</v>
      </c>
      <c r="H910" s="24" t="s">
        <v>579</v>
      </c>
      <c r="I910" s="24" t="s">
        <v>591</v>
      </c>
      <c r="J910" s="24" t="s">
        <v>592</v>
      </c>
      <c r="K910" s="24" t="s">
        <v>582</v>
      </c>
    </row>
    <row r="911" spans="1:11">
      <c r="A911" s="12">
        <v>2014</v>
      </c>
      <c r="B911" s="15" t="s">
        <v>160</v>
      </c>
      <c r="C911" s="15" t="s">
        <v>223</v>
      </c>
      <c r="D911" s="15" t="s">
        <v>224</v>
      </c>
      <c r="E911" s="19">
        <v>78133</v>
      </c>
      <c r="F911" s="19">
        <v>68147</v>
      </c>
      <c r="G911" s="20">
        <f t="shared" si="14"/>
        <v>0.46586683073557561</v>
      </c>
      <c r="H911" s="24" t="s">
        <v>579</v>
      </c>
      <c r="I911" s="24" t="s">
        <v>591</v>
      </c>
      <c r="J911" s="24" t="s">
        <v>592</v>
      </c>
      <c r="K911" s="24" t="s">
        <v>582</v>
      </c>
    </row>
    <row r="912" spans="1:11">
      <c r="A912" s="12">
        <v>2014</v>
      </c>
      <c r="B912" s="15" t="s">
        <v>160</v>
      </c>
      <c r="C912" s="15" t="s">
        <v>227</v>
      </c>
      <c r="D912" s="15" t="s">
        <v>228</v>
      </c>
      <c r="E912" s="19">
        <v>85178</v>
      </c>
      <c r="F912" s="19">
        <v>69661</v>
      </c>
      <c r="G912" s="20">
        <f t="shared" si="14"/>
        <v>0.44989311478374311</v>
      </c>
      <c r="H912" s="24" t="s">
        <v>579</v>
      </c>
      <c r="I912" s="24" t="s">
        <v>591</v>
      </c>
      <c r="J912" s="24" t="s">
        <v>592</v>
      </c>
      <c r="K912" s="24" t="s">
        <v>582</v>
      </c>
    </row>
    <row r="913" spans="1:11">
      <c r="A913" s="12">
        <v>2014</v>
      </c>
      <c r="B913" s="15" t="s">
        <v>160</v>
      </c>
      <c r="C913" s="15" t="s">
        <v>229</v>
      </c>
      <c r="D913" s="15" t="s">
        <v>230</v>
      </c>
      <c r="E913" s="19">
        <v>32437</v>
      </c>
      <c r="F913" s="19">
        <v>32838</v>
      </c>
      <c r="G913" s="20">
        <f t="shared" si="14"/>
        <v>0.50307162006893913</v>
      </c>
      <c r="H913" s="24" t="s">
        <v>579</v>
      </c>
      <c r="I913" s="24" t="s">
        <v>591</v>
      </c>
      <c r="J913" s="24" t="s">
        <v>592</v>
      </c>
      <c r="K913" s="24" t="s">
        <v>582</v>
      </c>
    </row>
    <row r="914" spans="1:11">
      <c r="A914" s="12">
        <v>2014</v>
      </c>
      <c r="B914" s="15" t="s">
        <v>160</v>
      </c>
      <c r="C914" s="15" t="s">
        <v>231</v>
      </c>
      <c r="D914" s="15" t="s">
        <v>232</v>
      </c>
      <c r="E914" s="19">
        <v>172097</v>
      </c>
      <c r="F914" s="19">
        <v>120366</v>
      </c>
      <c r="G914" s="20">
        <f t="shared" si="14"/>
        <v>0.41155975285762642</v>
      </c>
      <c r="H914" s="24" t="s">
        <v>579</v>
      </c>
      <c r="I914" s="24" t="s">
        <v>591</v>
      </c>
      <c r="J914" s="24" t="s">
        <v>592</v>
      </c>
      <c r="K914" s="24" t="s">
        <v>582</v>
      </c>
    </row>
    <row r="915" spans="1:11">
      <c r="A915" s="12">
        <v>2014</v>
      </c>
      <c r="B915" s="15" t="s">
        <v>160</v>
      </c>
      <c r="C915" s="15" t="s">
        <v>235</v>
      </c>
      <c r="D915" s="15" t="s">
        <v>236</v>
      </c>
      <c r="E915" s="19">
        <v>301462</v>
      </c>
      <c r="F915" s="19">
        <v>287500</v>
      </c>
      <c r="G915" s="20">
        <f t="shared" si="14"/>
        <v>0.48814694326628882</v>
      </c>
      <c r="H915" s="24" t="s">
        <v>579</v>
      </c>
      <c r="I915" s="24" t="s">
        <v>591</v>
      </c>
      <c r="J915" s="24" t="s">
        <v>592</v>
      </c>
      <c r="K915" s="24" t="s">
        <v>582</v>
      </c>
    </row>
    <row r="916" spans="1:11">
      <c r="A916" s="12">
        <v>2014</v>
      </c>
      <c r="B916" s="15" t="s">
        <v>160</v>
      </c>
      <c r="C916" s="15" t="s">
        <v>237</v>
      </c>
      <c r="D916" s="15" t="s">
        <v>238</v>
      </c>
      <c r="E916" s="19">
        <v>253828</v>
      </c>
      <c r="F916" s="19">
        <v>251880</v>
      </c>
      <c r="G916" s="20">
        <f t="shared" si="14"/>
        <v>0.4980739873602949</v>
      </c>
      <c r="H916" s="24" t="s">
        <v>579</v>
      </c>
      <c r="I916" s="24" t="s">
        <v>591</v>
      </c>
      <c r="J916" s="24" t="s">
        <v>592</v>
      </c>
      <c r="K916" s="24" t="s">
        <v>582</v>
      </c>
    </row>
    <row r="917" spans="1:11">
      <c r="A917" s="12">
        <v>2014</v>
      </c>
      <c r="B917" s="15" t="s">
        <v>160</v>
      </c>
      <c r="C917" s="15" t="s">
        <v>239</v>
      </c>
      <c r="D917" s="15" t="s">
        <v>240</v>
      </c>
      <c r="E917" s="19">
        <v>171694</v>
      </c>
      <c r="F917" s="19">
        <v>124664</v>
      </c>
      <c r="G917" s="20">
        <f t="shared" si="14"/>
        <v>0.42065339892967291</v>
      </c>
      <c r="H917" s="24" t="s">
        <v>579</v>
      </c>
      <c r="I917" s="24" t="s">
        <v>591</v>
      </c>
      <c r="J917" s="24" t="s">
        <v>592</v>
      </c>
      <c r="K917" s="24" t="s">
        <v>582</v>
      </c>
    </row>
    <row r="918" spans="1:11">
      <c r="A918" s="12">
        <v>2014</v>
      </c>
      <c r="B918" s="15" t="s">
        <v>160</v>
      </c>
      <c r="C918" s="15" t="s">
        <v>241</v>
      </c>
      <c r="D918" s="15" t="s">
        <v>242</v>
      </c>
      <c r="E918" s="19">
        <v>110147</v>
      </c>
      <c r="F918" s="19">
        <v>125922</v>
      </c>
      <c r="G918" s="20">
        <f t="shared" si="14"/>
        <v>0.53341184145313447</v>
      </c>
      <c r="H918" s="24" t="s">
        <v>579</v>
      </c>
      <c r="I918" s="24" t="s">
        <v>591</v>
      </c>
      <c r="J918" s="24" t="s">
        <v>592</v>
      </c>
      <c r="K918" s="24" t="s">
        <v>582</v>
      </c>
    </row>
    <row r="919" spans="1:11">
      <c r="A919" s="12">
        <v>2014</v>
      </c>
      <c r="B919" s="15" t="s">
        <v>160</v>
      </c>
      <c r="C919" s="15" t="s">
        <v>243</v>
      </c>
      <c r="D919" s="15" t="s">
        <v>244</v>
      </c>
      <c r="E919" s="19">
        <v>357095</v>
      </c>
      <c r="F919" s="19">
        <v>206695</v>
      </c>
      <c r="G919" s="20">
        <f t="shared" si="14"/>
        <v>0.36661700278472481</v>
      </c>
      <c r="H919" s="24" t="s">
        <v>579</v>
      </c>
      <c r="I919" s="24" t="s">
        <v>580</v>
      </c>
      <c r="J919" s="24" t="s">
        <v>581</v>
      </c>
      <c r="K919" s="24" t="s">
        <v>582</v>
      </c>
    </row>
    <row r="920" spans="1:11">
      <c r="A920" s="12">
        <v>2014</v>
      </c>
      <c r="B920" s="15" t="s">
        <v>160</v>
      </c>
      <c r="C920" s="15" t="s">
        <v>245</v>
      </c>
      <c r="D920" s="15" t="s">
        <v>246</v>
      </c>
      <c r="E920" s="19">
        <v>174390</v>
      </c>
      <c r="F920" s="19">
        <v>100776</v>
      </c>
      <c r="G920" s="20">
        <f t="shared" si="14"/>
        <v>0.36623710778221147</v>
      </c>
      <c r="H920" s="24" t="s">
        <v>579</v>
      </c>
      <c r="I920" s="24" t="s">
        <v>591</v>
      </c>
      <c r="J920" s="24" t="s">
        <v>592</v>
      </c>
      <c r="K920" s="24" t="s">
        <v>582</v>
      </c>
    </row>
    <row r="921" spans="1:11">
      <c r="A921" s="12">
        <v>2014</v>
      </c>
      <c r="B921" s="15" t="s">
        <v>160</v>
      </c>
      <c r="C921" s="15" t="s">
        <v>247</v>
      </c>
      <c r="D921" s="15" t="s">
        <v>248</v>
      </c>
      <c r="E921" s="19">
        <v>333969</v>
      </c>
      <c r="F921" s="19">
        <v>244297</v>
      </c>
      <c r="G921" s="20">
        <f t="shared" si="14"/>
        <v>0.42246474805712247</v>
      </c>
      <c r="H921" s="24" t="s">
        <v>579</v>
      </c>
      <c r="I921" s="24" t="s">
        <v>591</v>
      </c>
      <c r="J921" s="24" t="s">
        <v>592</v>
      </c>
      <c r="K921" s="24" t="s">
        <v>582</v>
      </c>
    </row>
    <row r="922" spans="1:11">
      <c r="A922" s="12">
        <v>2014</v>
      </c>
      <c r="B922" s="15" t="s">
        <v>160</v>
      </c>
      <c r="C922" s="15" t="s">
        <v>249</v>
      </c>
      <c r="D922" s="15" t="s">
        <v>250</v>
      </c>
      <c r="E922" s="19">
        <v>385864</v>
      </c>
      <c r="F922" s="19">
        <v>206159</v>
      </c>
      <c r="G922" s="20">
        <f t="shared" si="14"/>
        <v>0.34822802492470734</v>
      </c>
      <c r="H922" s="24" t="s">
        <v>579</v>
      </c>
      <c r="I922" s="24" t="s">
        <v>591</v>
      </c>
      <c r="J922" s="24" t="s">
        <v>592</v>
      </c>
      <c r="K922" s="24" t="s">
        <v>582</v>
      </c>
    </row>
    <row r="923" spans="1:11">
      <c r="A923" s="12">
        <v>2014</v>
      </c>
      <c r="B923" s="15" t="s">
        <v>160</v>
      </c>
      <c r="C923" s="15" t="s">
        <v>251</v>
      </c>
      <c r="D923" s="15" t="s">
        <v>252</v>
      </c>
      <c r="E923" s="19">
        <v>126670</v>
      </c>
      <c r="F923" s="19">
        <v>89553</v>
      </c>
      <c r="G923" s="20">
        <f t="shared" si="14"/>
        <v>0.41416963042784533</v>
      </c>
      <c r="H923" s="24" t="s">
        <v>579</v>
      </c>
      <c r="I923" s="24" t="s">
        <v>591</v>
      </c>
      <c r="J923" s="24" t="s">
        <v>592</v>
      </c>
      <c r="K923" s="24" t="s">
        <v>582</v>
      </c>
    </row>
    <row r="924" spans="1:11">
      <c r="A924" s="12">
        <v>2014</v>
      </c>
      <c r="B924" s="15" t="s">
        <v>160</v>
      </c>
      <c r="C924" s="15" t="s">
        <v>253</v>
      </c>
      <c r="D924" s="15" t="s">
        <v>254</v>
      </c>
      <c r="E924" s="19">
        <v>110718</v>
      </c>
      <c r="F924" s="19">
        <v>99082</v>
      </c>
      <c r="G924" s="20">
        <f t="shared" si="14"/>
        <v>0.47226882745471876</v>
      </c>
      <c r="H924" s="24" t="s">
        <v>579</v>
      </c>
      <c r="I924" s="24" t="s">
        <v>591</v>
      </c>
      <c r="J924" s="24" t="s">
        <v>592</v>
      </c>
      <c r="K924" s="24" t="s">
        <v>582</v>
      </c>
    </row>
    <row r="925" spans="1:11">
      <c r="A925" s="12">
        <v>2014</v>
      </c>
      <c r="B925" s="15" t="s">
        <v>160</v>
      </c>
      <c r="C925" s="15" t="s">
        <v>255</v>
      </c>
      <c r="D925" s="15" t="s">
        <v>256</v>
      </c>
      <c r="E925" s="19">
        <v>453880</v>
      </c>
      <c r="F925" s="19">
        <v>336880</v>
      </c>
      <c r="G925" s="20">
        <f t="shared" si="14"/>
        <v>0.42602053720471444</v>
      </c>
      <c r="H925" s="24" t="s">
        <v>579</v>
      </c>
      <c r="I925" s="24" t="s">
        <v>591</v>
      </c>
      <c r="J925" s="24" t="s">
        <v>592</v>
      </c>
      <c r="K925" s="24" t="s">
        <v>582</v>
      </c>
    </row>
    <row r="926" spans="1:11">
      <c r="A926" s="12">
        <v>2014</v>
      </c>
      <c r="B926" s="15" t="s">
        <v>257</v>
      </c>
      <c r="C926" s="15" t="s">
        <v>22</v>
      </c>
      <c r="D926" s="15" t="s">
        <v>257</v>
      </c>
      <c r="E926" s="19">
        <v>1345029</v>
      </c>
      <c r="F926" s="19">
        <v>416713</v>
      </c>
      <c r="G926" s="20">
        <f t="shared" si="14"/>
        <v>0.23653463446974643</v>
      </c>
      <c r="H926" s="24" t="s">
        <v>579</v>
      </c>
      <c r="I926" s="24" t="s">
        <v>591</v>
      </c>
      <c r="J926" s="24" t="s">
        <v>592</v>
      </c>
      <c r="K926" s="24" t="s">
        <v>582</v>
      </c>
    </row>
    <row r="927" spans="1:11">
      <c r="A927" s="12">
        <v>2014</v>
      </c>
      <c r="B927" s="15" t="s">
        <v>257</v>
      </c>
      <c r="C927" s="15" t="s">
        <v>258</v>
      </c>
      <c r="D927" s="15" t="s">
        <v>259</v>
      </c>
      <c r="E927" s="19">
        <v>186759</v>
      </c>
      <c r="F927" s="19">
        <v>56178</v>
      </c>
      <c r="G927" s="20">
        <f t="shared" si="14"/>
        <v>0.23124513762827401</v>
      </c>
      <c r="H927" s="24" t="s">
        <v>579</v>
      </c>
      <c r="I927" s="24" t="s">
        <v>591</v>
      </c>
      <c r="J927" s="24" t="s">
        <v>592</v>
      </c>
      <c r="K927" s="24" t="s">
        <v>582</v>
      </c>
    </row>
    <row r="928" spans="1:11">
      <c r="A928" s="12">
        <v>2014</v>
      </c>
      <c r="B928" s="15" t="s">
        <v>257</v>
      </c>
      <c r="C928" s="15" t="s">
        <v>260</v>
      </c>
      <c r="D928" s="15" t="s">
        <v>261</v>
      </c>
      <c r="E928" s="19">
        <v>17099</v>
      </c>
      <c r="F928" s="19">
        <v>24643</v>
      </c>
      <c r="G928" s="20">
        <f t="shared" si="14"/>
        <v>0.59036462076565566</v>
      </c>
      <c r="H928" s="24" t="s">
        <v>579</v>
      </c>
      <c r="I928" s="24" t="s">
        <v>591</v>
      </c>
      <c r="J928" s="24" t="s">
        <v>592</v>
      </c>
      <c r="K928" s="24" t="s">
        <v>582</v>
      </c>
    </row>
    <row r="929" spans="1:11">
      <c r="A929" s="12">
        <v>2014</v>
      </c>
      <c r="B929" s="15" t="s">
        <v>257</v>
      </c>
      <c r="C929" s="15" t="s">
        <v>262</v>
      </c>
      <c r="D929" s="15" t="s">
        <v>263</v>
      </c>
      <c r="E929" s="19">
        <v>81626</v>
      </c>
      <c r="F929" s="19">
        <v>43536</v>
      </c>
      <c r="G929" s="20">
        <f t="shared" si="14"/>
        <v>0.34783720298493154</v>
      </c>
      <c r="H929" s="24" t="s">
        <v>579</v>
      </c>
      <c r="I929" s="24" t="s">
        <v>591</v>
      </c>
      <c r="J929" s="24" t="s">
        <v>592</v>
      </c>
      <c r="K929" s="24" t="s">
        <v>582</v>
      </c>
    </row>
    <row r="930" spans="1:11">
      <c r="A930" s="12">
        <v>2014</v>
      </c>
      <c r="B930" s="15" t="s">
        <v>257</v>
      </c>
      <c r="C930" s="15" t="s">
        <v>264</v>
      </c>
      <c r="D930" s="15" t="s">
        <v>265</v>
      </c>
      <c r="E930" s="19">
        <v>57930</v>
      </c>
      <c r="F930" s="19">
        <v>43781</v>
      </c>
      <c r="G930" s="20">
        <f t="shared" si="14"/>
        <v>0.43044508460245207</v>
      </c>
      <c r="H930" s="24" t="s">
        <v>579</v>
      </c>
      <c r="I930" s="24" t="s">
        <v>591</v>
      </c>
      <c r="J930" s="24" t="s">
        <v>592</v>
      </c>
      <c r="K930" s="24" t="s">
        <v>582</v>
      </c>
    </row>
    <row r="931" spans="1:11">
      <c r="A931" s="12">
        <v>2014</v>
      </c>
      <c r="B931" s="15" t="s">
        <v>257</v>
      </c>
      <c r="C931" s="15" t="s">
        <v>266</v>
      </c>
      <c r="D931" s="15" t="s">
        <v>267</v>
      </c>
      <c r="E931" s="19">
        <v>69978</v>
      </c>
      <c r="F931" s="19">
        <v>33522</v>
      </c>
      <c r="G931" s="20">
        <f t="shared" si="14"/>
        <v>0.32388405797101449</v>
      </c>
      <c r="H931" s="24" t="s">
        <v>579</v>
      </c>
      <c r="I931" s="24" t="s">
        <v>591</v>
      </c>
      <c r="J931" s="24" t="s">
        <v>592</v>
      </c>
      <c r="K931" s="24" t="s">
        <v>582</v>
      </c>
    </row>
    <row r="932" spans="1:11">
      <c r="A932" s="12">
        <v>2014</v>
      </c>
      <c r="B932" s="15" t="s">
        <v>257</v>
      </c>
      <c r="C932" s="15" t="s">
        <v>268</v>
      </c>
      <c r="D932" s="15" t="s">
        <v>269</v>
      </c>
      <c r="E932" s="19">
        <v>17817</v>
      </c>
      <c r="F932" s="19">
        <v>17024</v>
      </c>
      <c r="G932" s="20">
        <f t="shared" si="14"/>
        <v>0.4886197296288855</v>
      </c>
      <c r="H932" s="24" t="s">
        <v>579</v>
      </c>
      <c r="I932" s="24" t="s">
        <v>591</v>
      </c>
      <c r="J932" s="24" t="s">
        <v>592</v>
      </c>
      <c r="K932" s="24" t="s">
        <v>582</v>
      </c>
    </row>
    <row r="933" spans="1:11">
      <c r="A933" s="12">
        <v>2014</v>
      </c>
      <c r="B933" s="15" t="s">
        <v>257</v>
      </c>
      <c r="C933" s="15" t="s">
        <v>270</v>
      </c>
      <c r="D933" s="15" t="s">
        <v>271</v>
      </c>
      <c r="E933" s="19">
        <v>18013</v>
      </c>
      <c r="F933" s="19">
        <v>22259</v>
      </c>
      <c r="G933" s="20">
        <f t="shared" si="14"/>
        <v>0.55271652761223677</v>
      </c>
      <c r="H933" s="24" t="s">
        <v>579</v>
      </c>
      <c r="I933" s="24" t="s">
        <v>591</v>
      </c>
      <c r="J933" s="24" t="s">
        <v>592</v>
      </c>
      <c r="K933" s="24" t="s">
        <v>582</v>
      </c>
    </row>
    <row r="934" spans="1:11">
      <c r="A934" s="12">
        <v>2014</v>
      </c>
      <c r="B934" s="15" t="s">
        <v>257</v>
      </c>
      <c r="C934" s="15" t="s">
        <v>272</v>
      </c>
      <c r="D934" s="15" t="s">
        <v>273</v>
      </c>
      <c r="E934" s="19">
        <v>30307</v>
      </c>
      <c r="F934" s="19">
        <v>27524</v>
      </c>
      <c r="G934" s="20">
        <f t="shared" si="14"/>
        <v>0.47593851048745484</v>
      </c>
      <c r="H934" s="24" t="s">
        <v>579</v>
      </c>
      <c r="I934" s="24" t="s">
        <v>591</v>
      </c>
      <c r="J934" s="24" t="s">
        <v>592</v>
      </c>
      <c r="K934" s="24" t="s">
        <v>582</v>
      </c>
    </row>
    <row r="935" spans="1:11">
      <c r="A935" s="12">
        <v>2014</v>
      </c>
      <c r="B935" s="15" t="s">
        <v>257</v>
      </c>
      <c r="C935" s="15" t="s">
        <v>274</v>
      </c>
      <c r="D935" s="15" t="s">
        <v>275</v>
      </c>
      <c r="E935" s="19">
        <v>287923</v>
      </c>
      <c r="F935" s="19">
        <v>89712</v>
      </c>
      <c r="G935" s="20">
        <f t="shared" si="14"/>
        <v>0.23756272591258756</v>
      </c>
      <c r="H935" s="24" t="s">
        <v>579</v>
      </c>
      <c r="I935" s="24" t="s">
        <v>591</v>
      </c>
      <c r="J935" s="24" t="s">
        <v>592</v>
      </c>
      <c r="K935" s="24" t="s">
        <v>582</v>
      </c>
    </row>
    <row r="936" spans="1:11">
      <c r="A936" s="12">
        <v>2014</v>
      </c>
      <c r="B936" s="15" t="s">
        <v>257</v>
      </c>
      <c r="C936" s="15" t="s">
        <v>276</v>
      </c>
      <c r="D936" s="15" t="s">
        <v>277</v>
      </c>
      <c r="E936" s="19">
        <v>24685</v>
      </c>
      <c r="F936" s="19">
        <v>23188</v>
      </c>
      <c r="G936" s="20">
        <f t="shared" si="14"/>
        <v>0.48436488208384687</v>
      </c>
      <c r="H936" s="24" t="s">
        <v>579</v>
      </c>
      <c r="I936" s="24" t="s">
        <v>591</v>
      </c>
      <c r="J936" s="24" t="s">
        <v>592</v>
      </c>
      <c r="K936" s="24" t="s">
        <v>582</v>
      </c>
    </row>
    <row r="937" spans="1:11">
      <c r="A937" s="12">
        <v>2014</v>
      </c>
      <c r="B937" s="15" t="s">
        <v>257</v>
      </c>
      <c r="C937" s="15" t="s">
        <v>278</v>
      </c>
      <c r="D937" s="15" t="s">
        <v>279</v>
      </c>
      <c r="E937" s="19">
        <v>27088</v>
      </c>
      <c r="F937" s="19">
        <v>28972</v>
      </c>
      <c r="G937" s="20">
        <f t="shared" si="14"/>
        <v>0.5168034249018908</v>
      </c>
      <c r="H937" s="24" t="s">
        <v>579</v>
      </c>
      <c r="I937" s="24" t="s">
        <v>591</v>
      </c>
      <c r="J937" s="24" t="s">
        <v>592</v>
      </c>
      <c r="K937" s="24" t="s">
        <v>582</v>
      </c>
    </row>
    <row r="938" spans="1:11">
      <c r="A938" s="12">
        <v>2014</v>
      </c>
      <c r="B938" s="15" t="s">
        <v>257</v>
      </c>
      <c r="C938" s="15" t="s">
        <v>280</v>
      </c>
      <c r="D938" s="15" t="s">
        <v>281</v>
      </c>
      <c r="E938" s="19">
        <v>37506</v>
      </c>
      <c r="F938" s="19">
        <v>33053</v>
      </c>
      <c r="G938" s="20">
        <f t="shared" si="14"/>
        <v>0.46844484757437038</v>
      </c>
      <c r="H938" s="24" t="s">
        <v>579</v>
      </c>
      <c r="I938" s="24" t="s">
        <v>591</v>
      </c>
      <c r="J938" s="24" t="s">
        <v>592</v>
      </c>
      <c r="K938" s="24" t="s">
        <v>582</v>
      </c>
    </row>
    <row r="939" spans="1:11">
      <c r="A939" s="12">
        <v>2014</v>
      </c>
      <c r="B939" s="15" t="s">
        <v>257</v>
      </c>
      <c r="C939" s="15" t="s">
        <v>282</v>
      </c>
      <c r="D939" s="15" t="s">
        <v>283</v>
      </c>
      <c r="E939" s="19">
        <v>241399</v>
      </c>
      <c r="F939" s="19">
        <v>73693</v>
      </c>
      <c r="G939" s="20">
        <f t="shared" si="14"/>
        <v>0.2338777246010689</v>
      </c>
      <c r="H939" s="24" t="s">
        <v>579</v>
      </c>
      <c r="I939" s="24" t="s">
        <v>591</v>
      </c>
      <c r="J939" s="24" t="s">
        <v>592</v>
      </c>
      <c r="K939" s="24" t="s">
        <v>582</v>
      </c>
    </row>
    <row r="940" spans="1:11">
      <c r="A940" s="12">
        <v>2014</v>
      </c>
      <c r="B940" s="15" t="s">
        <v>257</v>
      </c>
      <c r="C940" s="15" t="s">
        <v>284</v>
      </c>
      <c r="D940" s="15" t="s">
        <v>285</v>
      </c>
      <c r="E940" s="19">
        <v>39570</v>
      </c>
      <c r="F940" s="19">
        <v>25854</v>
      </c>
      <c r="G940" s="20">
        <f t="shared" si="14"/>
        <v>0.3951760821716801</v>
      </c>
      <c r="H940" s="24" t="s">
        <v>579</v>
      </c>
      <c r="I940" s="24" t="s">
        <v>591</v>
      </c>
      <c r="J940" s="24" t="s">
        <v>592</v>
      </c>
      <c r="K940" s="24" t="s">
        <v>582</v>
      </c>
    </row>
    <row r="941" spans="1:11">
      <c r="A941" s="12">
        <v>2014</v>
      </c>
      <c r="B941" s="15" t="s">
        <v>257</v>
      </c>
      <c r="C941" s="15" t="s">
        <v>286</v>
      </c>
      <c r="D941" s="15" t="s">
        <v>287</v>
      </c>
      <c r="E941" s="19">
        <v>31557</v>
      </c>
      <c r="F941" s="19">
        <v>32825</v>
      </c>
      <c r="G941" s="20">
        <f t="shared" si="14"/>
        <v>0.50984747289615107</v>
      </c>
      <c r="H941" s="24" t="s">
        <v>579</v>
      </c>
      <c r="I941" s="24" t="s">
        <v>591</v>
      </c>
      <c r="J941" s="24" t="s">
        <v>592</v>
      </c>
      <c r="K941" s="24" t="s">
        <v>582</v>
      </c>
    </row>
    <row r="942" spans="1:11">
      <c r="A942" s="12">
        <v>2014</v>
      </c>
      <c r="B942" s="15" t="s">
        <v>257</v>
      </c>
      <c r="C942" s="15" t="s">
        <v>288</v>
      </c>
      <c r="D942" s="15" t="s">
        <v>289</v>
      </c>
      <c r="E942" s="19">
        <v>56268</v>
      </c>
      <c r="F942" s="19">
        <v>39770</v>
      </c>
      <c r="G942" s="20">
        <f t="shared" si="14"/>
        <v>0.41410691601241173</v>
      </c>
      <c r="H942" s="24" t="s">
        <v>579</v>
      </c>
      <c r="I942" s="24" t="s">
        <v>591</v>
      </c>
      <c r="J942" s="24" t="s">
        <v>592</v>
      </c>
      <c r="K942" s="24" t="s">
        <v>582</v>
      </c>
    </row>
    <row r="943" spans="1:11">
      <c r="A943" s="12">
        <v>2014</v>
      </c>
      <c r="B943" s="15" t="s">
        <v>257</v>
      </c>
      <c r="C943" s="15" t="s">
        <v>290</v>
      </c>
      <c r="D943" s="15" t="s">
        <v>291</v>
      </c>
      <c r="E943" s="19">
        <v>17837</v>
      </c>
      <c r="F943" s="19">
        <v>21384</v>
      </c>
      <c r="G943" s="20">
        <f t="shared" si="14"/>
        <v>0.54521812294434102</v>
      </c>
      <c r="H943" s="24" t="s">
        <v>579</v>
      </c>
      <c r="I943" s="24" t="s">
        <v>591</v>
      </c>
      <c r="J943" s="24" t="s">
        <v>592</v>
      </c>
      <c r="K943" s="24" t="s">
        <v>582</v>
      </c>
    </row>
    <row r="944" spans="1:11">
      <c r="A944" s="12">
        <v>2014</v>
      </c>
      <c r="B944" s="15" t="s">
        <v>257</v>
      </c>
      <c r="C944" s="15" t="s">
        <v>292</v>
      </c>
      <c r="D944" s="15" t="s">
        <v>293</v>
      </c>
      <c r="E944" s="19">
        <v>34105</v>
      </c>
      <c r="F944" s="19">
        <v>33206</v>
      </c>
      <c r="G944" s="20">
        <f t="shared" si="14"/>
        <v>0.49332204245962769</v>
      </c>
      <c r="H944" s="24" t="s">
        <v>579</v>
      </c>
      <c r="I944" s="24" t="s">
        <v>591</v>
      </c>
      <c r="J944" s="24" t="s">
        <v>592</v>
      </c>
      <c r="K944" s="24" t="s">
        <v>582</v>
      </c>
    </row>
    <row r="945" spans="1:11">
      <c r="A945" s="12">
        <v>2014</v>
      </c>
      <c r="B945" s="15" t="s">
        <v>294</v>
      </c>
      <c r="C945" s="15" t="s">
        <v>22</v>
      </c>
      <c r="D945" s="15" t="s">
        <v>294</v>
      </c>
      <c r="E945" s="19">
        <v>1415203</v>
      </c>
      <c r="F945" s="19">
        <v>464115</v>
      </c>
      <c r="G945" s="20">
        <f t="shared" si="14"/>
        <v>0.24695926926682976</v>
      </c>
      <c r="H945" s="24" t="s">
        <v>589</v>
      </c>
      <c r="I945" s="24" t="s">
        <v>560</v>
      </c>
      <c r="J945" s="24" t="s">
        <v>590</v>
      </c>
      <c r="K945" s="24" t="s">
        <v>582</v>
      </c>
    </row>
    <row r="946" spans="1:11">
      <c r="A946" s="12">
        <v>2014</v>
      </c>
      <c r="B946" s="15" t="s">
        <v>294</v>
      </c>
      <c r="C946" s="15" t="s">
        <v>295</v>
      </c>
      <c r="D946" s="15" t="s">
        <v>296</v>
      </c>
      <c r="E946" s="19">
        <v>25776</v>
      </c>
      <c r="F946" s="19">
        <v>30919</v>
      </c>
      <c r="G946" s="20">
        <f t="shared" si="14"/>
        <v>0.54535673339800683</v>
      </c>
      <c r="H946" s="24" t="s">
        <v>589</v>
      </c>
      <c r="I946" s="24" t="s">
        <v>560</v>
      </c>
      <c r="J946" s="24" t="s">
        <v>590</v>
      </c>
      <c r="K946" s="24" t="s">
        <v>582</v>
      </c>
    </row>
    <row r="947" spans="1:11">
      <c r="A947" s="12">
        <v>2014</v>
      </c>
      <c r="B947" s="15" t="s">
        <v>294</v>
      </c>
      <c r="C947" s="15" t="s">
        <v>297</v>
      </c>
      <c r="D947" s="15" t="s">
        <v>298</v>
      </c>
      <c r="E947" s="19">
        <v>22465</v>
      </c>
      <c r="F947" s="19">
        <v>24741</v>
      </c>
      <c r="G947" s="20">
        <f t="shared" si="14"/>
        <v>0.52410710502902169</v>
      </c>
      <c r="H947" s="24" t="s">
        <v>589</v>
      </c>
      <c r="I947" s="24" t="s">
        <v>560</v>
      </c>
      <c r="J947" s="24" t="s">
        <v>590</v>
      </c>
      <c r="K947" s="24" t="s">
        <v>582</v>
      </c>
    </row>
    <row r="948" spans="1:11">
      <c r="A948" s="12">
        <v>2014</v>
      </c>
      <c r="B948" s="15" t="s">
        <v>294</v>
      </c>
      <c r="C948" s="15" t="s">
        <v>299</v>
      </c>
      <c r="D948" s="15" t="s">
        <v>300</v>
      </c>
      <c r="E948" s="19">
        <v>27178</v>
      </c>
      <c r="F948" s="19">
        <v>23196</v>
      </c>
      <c r="G948" s="20">
        <f t="shared" si="14"/>
        <v>0.46047564219637116</v>
      </c>
      <c r="H948" s="24" t="s">
        <v>589</v>
      </c>
      <c r="I948" s="24" t="s">
        <v>560</v>
      </c>
      <c r="J948" s="24" t="s">
        <v>590</v>
      </c>
      <c r="K948" s="24" t="s">
        <v>582</v>
      </c>
    </row>
    <row r="949" spans="1:11">
      <c r="A949" s="12">
        <v>2014</v>
      </c>
      <c r="B949" s="15" t="s">
        <v>294</v>
      </c>
      <c r="C949" s="15" t="s">
        <v>301</v>
      </c>
      <c r="D949" s="15" t="s">
        <v>302</v>
      </c>
      <c r="E949" s="19">
        <v>41007</v>
      </c>
      <c r="F949" s="19">
        <v>32636</v>
      </c>
      <c r="G949" s="20">
        <f t="shared" si="14"/>
        <v>0.44316499870999282</v>
      </c>
      <c r="H949" s="24" t="s">
        <v>589</v>
      </c>
      <c r="I949" s="24" t="s">
        <v>560</v>
      </c>
      <c r="J949" s="24" t="s">
        <v>590</v>
      </c>
      <c r="K949" s="24" t="s">
        <v>582</v>
      </c>
    </row>
    <row r="950" spans="1:11">
      <c r="A950" s="12">
        <v>2014</v>
      </c>
      <c r="B950" s="15" t="s">
        <v>294</v>
      </c>
      <c r="C950" s="15" t="s">
        <v>303</v>
      </c>
      <c r="D950" s="15" t="s">
        <v>304</v>
      </c>
      <c r="E950" s="19">
        <v>43301</v>
      </c>
      <c r="F950" s="19">
        <v>34439</v>
      </c>
      <c r="G950" s="20">
        <f t="shared" si="14"/>
        <v>0.44300231541034218</v>
      </c>
      <c r="H950" s="24" t="s">
        <v>589</v>
      </c>
      <c r="I950" s="24" t="s">
        <v>560</v>
      </c>
      <c r="J950" s="24" t="s">
        <v>590</v>
      </c>
      <c r="K950" s="24" t="s">
        <v>582</v>
      </c>
    </row>
    <row r="951" spans="1:11">
      <c r="A951" s="12">
        <v>2014</v>
      </c>
      <c r="B951" s="15" t="s">
        <v>294</v>
      </c>
      <c r="C951" s="15" t="s">
        <v>305</v>
      </c>
      <c r="D951" s="15" t="s">
        <v>306</v>
      </c>
      <c r="E951" s="19">
        <v>78742</v>
      </c>
      <c r="F951" s="19">
        <v>68018</v>
      </c>
      <c r="G951" s="20">
        <f t="shared" si="14"/>
        <v>0.46346415917143635</v>
      </c>
      <c r="H951" s="24" t="s">
        <v>589</v>
      </c>
      <c r="I951" s="24" t="s">
        <v>560</v>
      </c>
      <c r="J951" s="24" t="s">
        <v>590</v>
      </c>
      <c r="K951" s="24" t="s">
        <v>582</v>
      </c>
    </row>
    <row r="952" spans="1:11">
      <c r="A952" s="12">
        <v>2014</v>
      </c>
      <c r="B952" s="15" t="s">
        <v>294</v>
      </c>
      <c r="C952" s="15" t="s">
        <v>307</v>
      </c>
      <c r="D952" s="15" t="s">
        <v>308</v>
      </c>
      <c r="E952" s="19">
        <v>119204</v>
      </c>
      <c r="F952" s="19">
        <v>55158</v>
      </c>
      <c r="G952" s="20">
        <f t="shared" si="14"/>
        <v>0.31634186347942783</v>
      </c>
      <c r="H952" s="24" t="s">
        <v>589</v>
      </c>
      <c r="I952" s="24" t="s">
        <v>560</v>
      </c>
      <c r="J952" s="24" t="s">
        <v>590</v>
      </c>
      <c r="K952" s="24" t="s">
        <v>582</v>
      </c>
    </row>
    <row r="953" spans="1:11">
      <c r="A953" s="12">
        <v>2014</v>
      </c>
      <c r="B953" s="15" t="s">
        <v>294</v>
      </c>
      <c r="C953" s="15" t="s">
        <v>309</v>
      </c>
      <c r="D953" s="15" t="s">
        <v>310</v>
      </c>
      <c r="E953" s="19">
        <v>27904</v>
      </c>
      <c r="F953" s="19">
        <v>24761</v>
      </c>
      <c r="G953" s="20">
        <f t="shared" si="14"/>
        <v>0.47016044811544672</v>
      </c>
      <c r="H953" s="24" t="s">
        <v>589</v>
      </c>
      <c r="I953" s="24" t="s">
        <v>560</v>
      </c>
      <c r="J953" s="24" t="s">
        <v>590</v>
      </c>
      <c r="K953" s="24" t="s">
        <v>582</v>
      </c>
    </row>
    <row r="954" spans="1:11">
      <c r="A954" s="12">
        <v>2014</v>
      </c>
      <c r="B954" s="15" t="s">
        <v>294</v>
      </c>
      <c r="C954" s="15" t="s">
        <v>311</v>
      </c>
      <c r="D954" s="15" t="s">
        <v>312</v>
      </c>
      <c r="E954" s="19">
        <v>54659</v>
      </c>
      <c r="F954" s="19">
        <v>42747</v>
      </c>
      <c r="G954" s="20">
        <f t="shared" si="14"/>
        <v>0.43885386937149662</v>
      </c>
      <c r="H954" s="24" t="s">
        <v>589</v>
      </c>
      <c r="I954" s="24" t="s">
        <v>560</v>
      </c>
      <c r="J954" s="24" t="s">
        <v>590</v>
      </c>
      <c r="K954" s="24" t="s">
        <v>582</v>
      </c>
    </row>
    <row r="955" spans="1:11">
      <c r="A955" s="12">
        <v>2014</v>
      </c>
      <c r="B955" s="15" t="s">
        <v>294</v>
      </c>
      <c r="C955" s="15" t="s">
        <v>315</v>
      </c>
      <c r="D955" s="15" t="s">
        <v>316</v>
      </c>
      <c r="E955" s="19">
        <v>150237</v>
      </c>
      <c r="F955" s="19">
        <v>115553</v>
      </c>
      <c r="G955" s="20">
        <f t="shared" si="14"/>
        <v>0.43475300048910792</v>
      </c>
      <c r="H955" s="24" t="s">
        <v>589</v>
      </c>
      <c r="I955" s="24" t="s">
        <v>560</v>
      </c>
      <c r="J955" s="24" t="s">
        <v>590</v>
      </c>
      <c r="K955" s="24" t="s">
        <v>582</v>
      </c>
    </row>
    <row r="956" spans="1:11">
      <c r="A956" s="12">
        <v>2014</v>
      </c>
      <c r="B956" s="15" t="s">
        <v>294</v>
      </c>
      <c r="C956" s="15" t="s">
        <v>317</v>
      </c>
      <c r="D956" s="15" t="s">
        <v>318</v>
      </c>
      <c r="E956" s="19">
        <v>178381</v>
      </c>
      <c r="F956" s="19">
        <v>169150</v>
      </c>
      <c r="G956" s="20">
        <f t="shared" si="14"/>
        <v>0.48671917037616791</v>
      </c>
      <c r="H956" s="24" t="s">
        <v>589</v>
      </c>
      <c r="I956" s="24" t="s">
        <v>560</v>
      </c>
      <c r="J956" s="24" t="s">
        <v>590</v>
      </c>
      <c r="K956" s="24" t="s">
        <v>582</v>
      </c>
    </row>
    <row r="957" spans="1:11">
      <c r="A957" s="12">
        <v>2014</v>
      </c>
      <c r="B957" s="15" t="s">
        <v>294</v>
      </c>
      <c r="C957" s="15" t="s">
        <v>319</v>
      </c>
      <c r="D957" s="15" t="s">
        <v>320</v>
      </c>
      <c r="E957" s="19">
        <v>132674</v>
      </c>
      <c r="F957" s="19">
        <v>136869</v>
      </c>
      <c r="G957" s="20">
        <f t="shared" si="14"/>
        <v>0.50778168974894544</v>
      </c>
      <c r="H957" s="24" t="s">
        <v>589</v>
      </c>
      <c r="I957" s="24" t="s">
        <v>560</v>
      </c>
      <c r="J957" s="24" t="s">
        <v>590</v>
      </c>
      <c r="K957" s="24" t="s">
        <v>582</v>
      </c>
    </row>
    <row r="958" spans="1:11">
      <c r="A958" s="12">
        <v>2014</v>
      </c>
      <c r="B958" s="15" t="s">
        <v>294</v>
      </c>
      <c r="C958" s="15" t="s">
        <v>321</v>
      </c>
      <c r="D958" s="15" t="s">
        <v>322</v>
      </c>
      <c r="E958" s="19">
        <v>205722</v>
      </c>
      <c r="F958" s="19">
        <v>174805</v>
      </c>
      <c r="G958" s="20">
        <f t="shared" si="14"/>
        <v>0.4593760758106521</v>
      </c>
      <c r="H958" s="24" t="s">
        <v>589</v>
      </c>
      <c r="I958" s="24" t="s">
        <v>560</v>
      </c>
      <c r="J958" s="24" t="s">
        <v>590</v>
      </c>
      <c r="K958" s="24" t="s">
        <v>582</v>
      </c>
    </row>
    <row r="959" spans="1:11">
      <c r="A959" s="12">
        <v>2014</v>
      </c>
      <c r="B959" s="15" t="s">
        <v>294</v>
      </c>
      <c r="C959" s="15" t="s">
        <v>323</v>
      </c>
      <c r="D959" s="15" t="s">
        <v>324</v>
      </c>
      <c r="E959" s="19">
        <v>183163</v>
      </c>
      <c r="F959" s="19">
        <v>72745</v>
      </c>
      <c r="G959" s="20">
        <f t="shared" si="14"/>
        <v>0.28426231301874111</v>
      </c>
      <c r="H959" s="24" t="s">
        <v>589</v>
      </c>
      <c r="I959" s="24" t="s">
        <v>560</v>
      </c>
      <c r="J959" s="24" t="s">
        <v>590</v>
      </c>
      <c r="K959" s="24" t="s">
        <v>582</v>
      </c>
    </row>
    <row r="960" spans="1:11">
      <c r="A960" s="12">
        <v>2014</v>
      </c>
      <c r="B960" s="15" t="s">
        <v>325</v>
      </c>
      <c r="C960" s="15" t="s">
        <v>22</v>
      </c>
      <c r="D960" s="15" t="s">
        <v>325</v>
      </c>
      <c r="E960" s="19">
        <v>1832614</v>
      </c>
      <c r="F960" s="19">
        <v>760863</v>
      </c>
      <c r="G960" s="20">
        <f t="shared" si="14"/>
        <v>0.29337564975513569</v>
      </c>
      <c r="H960" s="24" t="s">
        <v>589</v>
      </c>
      <c r="I960" s="24" t="s">
        <v>560</v>
      </c>
      <c r="J960" s="24" t="s">
        <v>590</v>
      </c>
      <c r="K960" s="24" t="s">
        <v>582</v>
      </c>
    </row>
    <row r="961" spans="1:11">
      <c r="A961" s="12">
        <v>2014</v>
      </c>
      <c r="B961" s="15" t="s">
        <v>325</v>
      </c>
      <c r="C961" s="15" t="s">
        <v>326</v>
      </c>
      <c r="D961" s="15" t="s">
        <v>327</v>
      </c>
      <c r="E961" s="19">
        <v>31302</v>
      </c>
      <c r="F961" s="19">
        <v>30545</v>
      </c>
      <c r="G961" s="20">
        <f t="shared" si="14"/>
        <v>0.49388005885491615</v>
      </c>
      <c r="H961" s="24" t="s">
        <v>589</v>
      </c>
      <c r="I961" s="24" t="s">
        <v>560</v>
      </c>
      <c r="J961" s="24" t="s">
        <v>590</v>
      </c>
      <c r="K961" s="24" t="s">
        <v>582</v>
      </c>
    </row>
    <row r="962" spans="1:11">
      <c r="A962" s="12">
        <v>2014</v>
      </c>
      <c r="B962" s="15" t="s">
        <v>325</v>
      </c>
      <c r="C962" s="15" t="s">
        <v>328</v>
      </c>
      <c r="D962" s="15" t="s">
        <v>329</v>
      </c>
      <c r="E962" s="19">
        <v>93828</v>
      </c>
      <c r="F962" s="19">
        <v>61758</v>
      </c>
      <c r="G962" s="20">
        <f t="shared" si="14"/>
        <v>0.39693802784312215</v>
      </c>
      <c r="H962" s="24" t="s">
        <v>589</v>
      </c>
      <c r="I962" s="24" t="s">
        <v>560</v>
      </c>
      <c r="J962" s="24" t="s">
        <v>590</v>
      </c>
      <c r="K962" s="24" t="s">
        <v>582</v>
      </c>
    </row>
    <row r="963" spans="1:11">
      <c r="A963" s="12">
        <v>2014</v>
      </c>
      <c r="B963" s="15" t="s">
        <v>325</v>
      </c>
      <c r="C963" s="15" t="s">
        <v>330</v>
      </c>
      <c r="D963" s="15" t="s">
        <v>331</v>
      </c>
      <c r="E963" s="19">
        <v>44099</v>
      </c>
      <c r="F963" s="19">
        <v>38500</v>
      </c>
      <c r="G963" s="20">
        <f t="shared" si="14"/>
        <v>0.46610733786123321</v>
      </c>
      <c r="H963" s="24" t="s">
        <v>589</v>
      </c>
      <c r="I963" s="24" t="s">
        <v>560</v>
      </c>
      <c r="J963" s="24" t="s">
        <v>590</v>
      </c>
      <c r="K963" s="24" t="s">
        <v>582</v>
      </c>
    </row>
    <row r="964" spans="1:11">
      <c r="A964" s="12">
        <v>2014</v>
      </c>
      <c r="B964" s="15" t="s">
        <v>325</v>
      </c>
      <c r="C964" s="15" t="s">
        <v>332</v>
      </c>
      <c r="D964" s="15" t="s">
        <v>333</v>
      </c>
      <c r="E964" s="19">
        <v>104865</v>
      </c>
      <c r="F964" s="19">
        <v>69658</v>
      </c>
      <c r="G964" s="20">
        <f t="shared" si="14"/>
        <v>0.39913363854620881</v>
      </c>
      <c r="H964" s="24" t="s">
        <v>589</v>
      </c>
      <c r="I964" s="24" t="s">
        <v>560</v>
      </c>
      <c r="J964" s="24" t="s">
        <v>590</v>
      </c>
      <c r="K964" s="24" t="s">
        <v>582</v>
      </c>
    </row>
    <row r="965" spans="1:11">
      <c r="A965" s="12">
        <v>2014</v>
      </c>
      <c r="B965" s="15" t="s">
        <v>325</v>
      </c>
      <c r="C965" s="15" t="s">
        <v>336</v>
      </c>
      <c r="D965" s="15" t="s">
        <v>337</v>
      </c>
      <c r="E965" s="19">
        <v>141258</v>
      </c>
      <c r="F965" s="19">
        <v>84136</v>
      </c>
      <c r="G965" s="20">
        <f t="shared" si="14"/>
        <v>0.37328411581497289</v>
      </c>
      <c r="H965" s="24" t="s">
        <v>589</v>
      </c>
      <c r="I965" s="24" t="s">
        <v>560</v>
      </c>
      <c r="J965" s="24" t="s">
        <v>590</v>
      </c>
      <c r="K965" s="24" t="s">
        <v>582</v>
      </c>
    </row>
    <row r="966" spans="1:11">
      <c r="A966" s="12">
        <v>2014</v>
      </c>
      <c r="B966" s="15" t="s">
        <v>325</v>
      </c>
      <c r="C966" s="15" t="s">
        <v>338</v>
      </c>
      <c r="D966" s="15" t="s">
        <v>339</v>
      </c>
      <c r="E966" s="19">
        <v>90018</v>
      </c>
      <c r="F966" s="19">
        <v>51962</v>
      </c>
      <c r="G966" s="20">
        <f t="shared" ref="G966:G1029" si="15">IFERROR(F966/(E966+F966),"")</f>
        <v>0.36598112410198619</v>
      </c>
      <c r="H966" s="24" t="s">
        <v>589</v>
      </c>
      <c r="I966" s="24" t="s">
        <v>560</v>
      </c>
      <c r="J966" s="24" t="s">
        <v>590</v>
      </c>
      <c r="K966" s="24" t="s">
        <v>582</v>
      </c>
    </row>
    <row r="967" spans="1:11">
      <c r="A967" s="12">
        <v>2014</v>
      </c>
      <c r="B967" s="15" t="s">
        <v>325</v>
      </c>
      <c r="C967" s="15" t="s">
        <v>340</v>
      </c>
      <c r="D967" s="15" t="s">
        <v>341</v>
      </c>
      <c r="E967" s="19">
        <v>57921</v>
      </c>
      <c r="F967" s="19">
        <v>49038</v>
      </c>
      <c r="G967" s="20">
        <f t="shared" si="15"/>
        <v>0.45847474265840182</v>
      </c>
      <c r="H967" s="24" t="s">
        <v>589</v>
      </c>
      <c r="I967" s="24" t="s">
        <v>560</v>
      </c>
      <c r="J967" s="24" t="s">
        <v>590</v>
      </c>
      <c r="K967" s="24" t="s">
        <v>582</v>
      </c>
    </row>
    <row r="968" spans="1:11">
      <c r="A968" s="12">
        <v>2014</v>
      </c>
      <c r="B968" s="15" t="s">
        <v>325</v>
      </c>
      <c r="C968" s="15" t="s">
        <v>342</v>
      </c>
      <c r="D968" s="15" t="s">
        <v>343</v>
      </c>
      <c r="E968" s="19">
        <v>146649</v>
      </c>
      <c r="F968" s="19">
        <v>77340</v>
      </c>
      <c r="G968" s="20">
        <f t="shared" si="15"/>
        <v>0.34528481309350012</v>
      </c>
      <c r="H968" s="24" t="s">
        <v>589</v>
      </c>
      <c r="I968" s="24" t="s">
        <v>560</v>
      </c>
      <c r="J968" s="24" t="s">
        <v>590</v>
      </c>
      <c r="K968" s="24" t="s">
        <v>582</v>
      </c>
    </row>
    <row r="969" spans="1:11">
      <c r="A969" s="12">
        <v>2014</v>
      </c>
      <c r="B969" s="15" t="s">
        <v>325</v>
      </c>
      <c r="C969" s="15" t="s">
        <v>344</v>
      </c>
      <c r="D969" s="15" t="s">
        <v>345</v>
      </c>
      <c r="E969" s="19">
        <v>48835</v>
      </c>
      <c r="F969" s="19">
        <v>37824</v>
      </c>
      <c r="G969" s="20">
        <f t="shared" si="15"/>
        <v>0.43646937998361396</v>
      </c>
      <c r="H969" s="24" t="s">
        <v>589</v>
      </c>
      <c r="I969" s="24" t="s">
        <v>560</v>
      </c>
      <c r="J969" s="24" t="s">
        <v>590</v>
      </c>
      <c r="K969" s="24" t="s">
        <v>582</v>
      </c>
    </row>
    <row r="970" spans="1:11">
      <c r="A970" s="12">
        <v>2014</v>
      </c>
      <c r="B970" s="15" t="s">
        <v>325</v>
      </c>
      <c r="C970" s="15" t="s">
        <v>346</v>
      </c>
      <c r="D970" s="15" t="s">
        <v>347</v>
      </c>
      <c r="E970" s="19">
        <v>242617</v>
      </c>
      <c r="F970" s="19">
        <v>183181</v>
      </c>
      <c r="G970" s="20">
        <f t="shared" si="15"/>
        <v>0.43020634197436342</v>
      </c>
      <c r="H970" s="24" t="s">
        <v>589</v>
      </c>
      <c r="I970" s="24" t="s">
        <v>560</v>
      </c>
      <c r="J970" s="24" t="s">
        <v>590</v>
      </c>
      <c r="K970" s="24" t="s">
        <v>582</v>
      </c>
    </row>
    <row r="971" spans="1:11">
      <c r="A971" s="12">
        <v>2014</v>
      </c>
      <c r="B971" s="15" t="s">
        <v>325</v>
      </c>
      <c r="C971" s="15" t="s">
        <v>350</v>
      </c>
      <c r="D971" s="15" t="s">
        <v>351</v>
      </c>
      <c r="E971" s="19">
        <v>69383</v>
      </c>
      <c r="F971" s="19">
        <v>54587</v>
      </c>
      <c r="G971" s="20">
        <f t="shared" si="15"/>
        <v>0.44032427200129065</v>
      </c>
      <c r="H971" s="24" t="s">
        <v>589</v>
      </c>
      <c r="I971" s="24" t="s">
        <v>560</v>
      </c>
      <c r="J971" s="24" t="s">
        <v>590</v>
      </c>
      <c r="K971" s="24" t="s">
        <v>582</v>
      </c>
    </row>
    <row r="972" spans="1:11">
      <c r="A972" s="12">
        <v>2014</v>
      </c>
      <c r="B972" s="15" t="s">
        <v>325</v>
      </c>
      <c r="C972" s="15" t="s">
        <v>354</v>
      </c>
      <c r="D972" s="15" t="s">
        <v>355</v>
      </c>
      <c r="E972" s="19">
        <v>204542</v>
      </c>
      <c r="F972" s="19">
        <v>190491</v>
      </c>
      <c r="G972" s="20">
        <f t="shared" si="15"/>
        <v>0.48221540985183514</v>
      </c>
      <c r="H972" s="24" t="s">
        <v>589</v>
      </c>
      <c r="I972" s="24" t="s">
        <v>560</v>
      </c>
      <c r="J972" s="24" t="s">
        <v>590</v>
      </c>
      <c r="K972" s="24" t="s">
        <v>582</v>
      </c>
    </row>
    <row r="973" spans="1:11">
      <c r="A973" s="12">
        <v>2014</v>
      </c>
      <c r="B973" s="15" t="s">
        <v>325</v>
      </c>
      <c r="C973" s="15" t="s">
        <v>356</v>
      </c>
      <c r="D973" s="15" t="s">
        <v>357</v>
      </c>
      <c r="E973" s="19">
        <v>284235</v>
      </c>
      <c r="F973" s="19">
        <v>210020</v>
      </c>
      <c r="G973" s="20">
        <f t="shared" si="15"/>
        <v>0.42492235789218114</v>
      </c>
      <c r="H973" s="24" t="s">
        <v>589</v>
      </c>
      <c r="I973" s="24" t="s">
        <v>560</v>
      </c>
      <c r="J973" s="24" t="s">
        <v>590</v>
      </c>
      <c r="K973" s="24" t="s">
        <v>582</v>
      </c>
    </row>
    <row r="974" spans="1:11">
      <c r="A974" s="12">
        <v>2014</v>
      </c>
      <c r="B974" s="15" t="s">
        <v>325</v>
      </c>
      <c r="C974" s="15" t="s">
        <v>358</v>
      </c>
      <c r="D974" s="15" t="s">
        <v>359</v>
      </c>
      <c r="E974" s="19">
        <v>24449</v>
      </c>
      <c r="F974" s="19">
        <v>25482</v>
      </c>
      <c r="G974" s="20">
        <f t="shared" si="15"/>
        <v>0.51034427509963753</v>
      </c>
      <c r="H974" s="24" t="s">
        <v>589</v>
      </c>
      <c r="I974" s="24" t="s">
        <v>560</v>
      </c>
      <c r="J974" s="24" t="s">
        <v>590</v>
      </c>
      <c r="K974" s="24" t="s">
        <v>582</v>
      </c>
    </row>
    <row r="975" spans="1:11">
      <c r="A975" s="12">
        <v>2014</v>
      </c>
      <c r="B975" s="15" t="s">
        <v>325</v>
      </c>
      <c r="C975" s="15" t="s">
        <v>360</v>
      </c>
      <c r="D975" s="15" t="s">
        <v>361</v>
      </c>
      <c r="E975" s="19">
        <v>51078</v>
      </c>
      <c r="F975" s="19">
        <v>43605</v>
      </c>
      <c r="G975" s="20">
        <f t="shared" si="15"/>
        <v>0.46053673837964576</v>
      </c>
      <c r="H975" s="24" t="s">
        <v>589</v>
      </c>
      <c r="I975" s="24" t="s">
        <v>560</v>
      </c>
      <c r="J975" s="24" t="s">
        <v>590</v>
      </c>
      <c r="K975" s="24" t="s">
        <v>582</v>
      </c>
    </row>
    <row r="976" spans="1:11">
      <c r="A976" s="12">
        <v>2014</v>
      </c>
      <c r="B976" s="15" t="s">
        <v>325</v>
      </c>
      <c r="C976" s="15" t="s">
        <v>362</v>
      </c>
      <c r="D976" s="15" t="s">
        <v>363</v>
      </c>
      <c r="E976" s="19">
        <v>78917</v>
      </c>
      <c r="F976" s="19">
        <v>45803</v>
      </c>
      <c r="G976" s="20">
        <f t="shared" si="15"/>
        <v>0.36724663245670303</v>
      </c>
      <c r="H976" s="24" t="s">
        <v>589</v>
      </c>
      <c r="I976" s="24" t="s">
        <v>560</v>
      </c>
      <c r="J976" s="24" t="s">
        <v>590</v>
      </c>
      <c r="K976" s="24" t="s">
        <v>582</v>
      </c>
    </row>
    <row r="977" spans="1:11">
      <c r="A977" s="12">
        <v>2014</v>
      </c>
      <c r="B977" s="15" t="s">
        <v>364</v>
      </c>
      <c r="C977" s="15" t="s">
        <v>22</v>
      </c>
      <c r="D977" s="15" t="s">
        <v>364</v>
      </c>
      <c r="E977" s="19">
        <v>1705303</v>
      </c>
      <c r="F977" s="19">
        <v>395039</v>
      </c>
      <c r="G977" s="20">
        <f t="shared" si="15"/>
        <v>0.18808317883468501</v>
      </c>
      <c r="H977" s="24" t="s">
        <v>586</v>
      </c>
      <c r="I977" s="24" t="s">
        <v>587</v>
      </c>
      <c r="J977" s="24" t="s">
        <v>588</v>
      </c>
      <c r="K977" s="24" t="s">
        <v>582</v>
      </c>
    </row>
    <row r="978" spans="1:11">
      <c r="A978" s="12">
        <v>2014</v>
      </c>
      <c r="B978" s="15" t="s">
        <v>364</v>
      </c>
      <c r="C978" s="15" t="s">
        <v>365</v>
      </c>
      <c r="D978" s="15" t="s">
        <v>366</v>
      </c>
      <c r="E978" s="19">
        <v>47673</v>
      </c>
      <c r="F978" s="19">
        <v>41356</v>
      </c>
      <c r="G978" s="20">
        <f t="shared" si="15"/>
        <v>0.46452279594289503</v>
      </c>
      <c r="H978" s="24" t="s">
        <v>586</v>
      </c>
      <c r="I978" s="24" t="s">
        <v>587</v>
      </c>
      <c r="J978" s="24" t="s">
        <v>588</v>
      </c>
      <c r="K978" s="24" t="s">
        <v>582</v>
      </c>
    </row>
    <row r="979" spans="1:11">
      <c r="A979" s="12">
        <v>2014</v>
      </c>
      <c r="B979" s="15" t="s">
        <v>364</v>
      </c>
      <c r="C979" s="15" t="s">
        <v>367</v>
      </c>
      <c r="D979" s="15" t="s">
        <v>368</v>
      </c>
      <c r="E979" s="19">
        <v>249088</v>
      </c>
      <c r="F979" s="19">
        <v>101748</v>
      </c>
      <c r="G979" s="20">
        <f t="shared" si="15"/>
        <v>0.2900158478605388</v>
      </c>
      <c r="H979" s="24" t="s">
        <v>586</v>
      </c>
      <c r="I979" s="24" t="s">
        <v>587</v>
      </c>
      <c r="J979" s="24" t="s">
        <v>588</v>
      </c>
      <c r="K979" s="24" t="s">
        <v>582</v>
      </c>
    </row>
    <row r="980" spans="1:11">
      <c r="A980" s="12">
        <v>2014</v>
      </c>
      <c r="B980" s="15" t="s">
        <v>364</v>
      </c>
      <c r="C980" s="15" t="s">
        <v>369</v>
      </c>
      <c r="D980" s="15" t="s">
        <v>370</v>
      </c>
      <c r="E980" s="19">
        <v>69390</v>
      </c>
      <c r="F980" s="19">
        <v>59483</v>
      </c>
      <c r="G980" s="20">
        <f t="shared" si="15"/>
        <v>0.4615629340513529</v>
      </c>
      <c r="H980" s="24" t="s">
        <v>586</v>
      </c>
      <c r="I980" s="24" t="s">
        <v>587</v>
      </c>
      <c r="J980" s="24" t="s">
        <v>588</v>
      </c>
      <c r="K980" s="24" t="s">
        <v>582</v>
      </c>
    </row>
    <row r="981" spans="1:11">
      <c r="A981" s="12">
        <v>2014</v>
      </c>
      <c r="B981" s="15" t="s">
        <v>364</v>
      </c>
      <c r="C981" s="15" t="s">
        <v>371</v>
      </c>
      <c r="D981" s="15" t="s">
        <v>372</v>
      </c>
      <c r="E981" s="19">
        <v>74851</v>
      </c>
      <c r="F981" s="19">
        <v>40007</v>
      </c>
      <c r="G981" s="20">
        <f t="shared" si="15"/>
        <v>0.34831705236030575</v>
      </c>
      <c r="H981" s="24" t="s">
        <v>586</v>
      </c>
      <c r="I981" s="24" t="s">
        <v>587</v>
      </c>
      <c r="J981" s="24" t="s">
        <v>588</v>
      </c>
      <c r="K981" s="24" t="s">
        <v>582</v>
      </c>
    </row>
    <row r="982" spans="1:11">
      <c r="A982" s="12">
        <v>2014</v>
      </c>
      <c r="B982" s="15" t="s">
        <v>364</v>
      </c>
      <c r="C982" s="15" t="s">
        <v>373</v>
      </c>
      <c r="D982" s="15" t="s">
        <v>374</v>
      </c>
      <c r="E982" s="19">
        <v>20171</v>
      </c>
      <c r="F982" s="19">
        <v>19403</v>
      </c>
      <c r="G982" s="20">
        <f t="shared" si="15"/>
        <v>0.49029665942285339</v>
      </c>
      <c r="H982" s="24" t="s">
        <v>586</v>
      </c>
      <c r="I982" s="24" t="s">
        <v>587</v>
      </c>
      <c r="J982" s="24" t="s">
        <v>588</v>
      </c>
      <c r="K982" s="24" t="s">
        <v>582</v>
      </c>
    </row>
    <row r="983" spans="1:11">
      <c r="A983" s="12">
        <v>2014</v>
      </c>
      <c r="B983" s="15" t="s">
        <v>364</v>
      </c>
      <c r="C983" s="15" t="s">
        <v>375</v>
      </c>
      <c r="D983" s="15" t="s">
        <v>376</v>
      </c>
      <c r="E983" s="19">
        <v>47913</v>
      </c>
      <c r="F983" s="19">
        <v>33608</v>
      </c>
      <c r="G983" s="20">
        <f t="shared" si="15"/>
        <v>0.41226187117429863</v>
      </c>
      <c r="H983" s="24" t="s">
        <v>586</v>
      </c>
      <c r="I983" s="24" t="s">
        <v>587</v>
      </c>
      <c r="J983" s="24" t="s">
        <v>588</v>
      </c>
      <c r="K983" s="24" t="s">
        <v>582</v>
      </c>
    </row>
    <row r="984" spans="1:11">
      <c r="A984" s="12">
        <v>2014</v>
      </c>
      <c r="B984" s="15" t="s">
        <v>364</v>
      </c>
      <c r="C984" s="15" t="s">
        <v>377</v>
      </c>
      <c r="D984" s="15" t="s">
        <v>378</v>
      </c>
      <c r="E984" s="19">
        <v>22676</v>
      </c>
      <c r="F984" s="19">
        <v>24338</v>
      </c>
      <c r="G984" s="20">
        <f t="shared" si="15"/>
        <v>0.51767558599566088</v>
      </c>
      <c r="H984" s="24" t="s">
        <v>586</v>
      </c>
      <c r="I984" s="24" t="s">
        <v>587</v>
      </c>
      <c r="J984" s="24" t="s">
        <v>588</v>
      </c>
      <c r="K984" s="24" t="s">
        <v>582</v>
      </c>
    </row>
    <row r="985" spans="1:11">
      <c r="A985" s="12">
        <v>2014</v>
      </c>
      <c r="B985" s="15" t="s">
        <v>364</v>
      </c>
      <c r="C985" s="15" t="s">
        <v>379</v>
      </c>
      <c r="D985" s="15" t="s">
        <v>380</v>
      </c>
      <c r="E985" s="19">
        <v>57932</v>
      </c>
      <c r="F985" s="19">
        <v>76262</v>
      </c>
      <c r="G985" s="20">
        <f t="shared" si="15"/>
        <v>0.56829664515552114</v>
      </c>
      <c r="H985" s="24" t="s">
        <v>586</v>
      </c>
      <c r="I985" s="24" t="s">
        <v>587</v>
      </c>
      <c r="J985" s="24" t="s">
        <v>588</v>
      </c>
      <c r="K985" s="24" t="s">
        <v>582</v>
      </c>
    </row>
    <row r="986" spans="1:11">
      <c r="A986" s="12">
        <v>2014</v>
      </c>
      <c r="B986" s="15" t="s">
        <v>364</v>
      </c>
      <c r="C986" s="15" t="s">
        <v>381</v>
      </c>
      <c r="D986" s="15" t="s">
        <v>382</v>
      </c>
      <c r="E986" s="19">
        <v>268222</v>
      </c>
      <c r="F986" s="19">
        <v>100495</v>
      </c>
      <c r="G986" s="20">
        <f t="shared" si="15"/>
        <v>0.27255320476137523</v>
      </c>
      <c r="H986" s="24" t="s">
        <v>586</v>
      </c>
      <c r="I986" s="24" t="s">
        <v>587</v>
      </c>
      <c r="J986" s="24" t="s">
        <v>588</v>
      </c>
      <c r="K986" s="24" t="s">
        <v>582</v>
      </c>
    </row>
    <row r="987" spans="1:11">
      <c r="A987" s="12">
        <v>2014</v>
      </c>
      <c r="B987" s="15" t="s">
        <v>364</v>
      </c>
      <c r="C987" s="15" t="s">
        <v>383</v>
      </c>
      <c r="D987" s="15" t="s">
        <v>384</v>
      </c>
      <c r="E987" s="19">
        <v>20935</v>
      </c>
      <c r="F987" s="19">
        <v>24701</v>
      </c>
      <c r="G987" s="20">
        <f t="shared" si="15"/>
        <v>0.54126128495047765</v>
      </c>
      <c r="H987" s="24" t="s">
        <v>586</v>
      </c>
      <c r="I987" s="24" t="s">
        <v>587</v>
      </c>
      <c r="J987" s="24" t="s">
        <v>588</v>
      </c>
      <c r="K987" s="24" t="s">
        <v>582</v>
      </c>
    </row>
    <row r="988" spans="1:11">
      <c r="A988" s="12">
        <v>2014</v>
      </c>
      <c r="B988" s="15" t="s">
        <v>364</v>
      </c>
      <c r="C988" s="15" t="s">
        <v>385</v>
      </c>
      <c r="D988" s="15" t="s">
        <v>386</v>
      </c>
      <c r="E988" s="19">
        <v>16952</v>
      </c>
      <c r="F988" s="19">
        <v>19376</v>
      </c>
      <c r="G988" s="20">
        <f t="shared" si="15"/>
        <v>0.5333626954415327</v>
      </c>
      <c r="H988" s="24" t="s">
        <v>586</v>
      </c>
      <c r="I988" s="24" t="s">
        <v>587</v>
      </c>
      <c r="J988" s="24" t="s">
        <v>588</v>
      </c>
      <c r="K988" s="24" t="s">
        <v>582</v>
      </c>
    </row>
    <row r="989" spans="1:11">
      <c r="A989" s="12">
        <v>2014</v>
      </c>
      <c r="B989" s="15" t="s">
        <v>364</v>
      </c>
      <c r="C989" s="15" t="s">
        <v>387</v>
      </c>
      <c r="D989" s="15" t="s">
        <v>388</v>
      </c>
      <c r="E989" s="19">
        <v>244345</v>
      </c>
      <c r="F989" s="19">
        <v>175939</v>
      </c>
      <c r="G989" s="20">
        <f t="shared" si="15"/>
        <v>0.41861931455872697</v>
      </c>
      <c r="H989" s="24" t="s">
        <v>586</v>
      </c>
      <c r="I989" s="24" t="s">
        <v>587</v>
      </c>
      <c r="J989" s="24" t="s">
        <v>588</v>
      </c>
      <c r="K989" s="24" t="s">
        <v>582</v>
      </c>
    </row>
    <row r="990" spans="1:11">
      <c r="A990" s="12">
        <v>2014</v>
      </c>
      <c r="B990" s="15" t="s">
        <v>364</v>
      </c>
      <c r="C990" s="15" t="s">
        <v>389</v>
      </c>
      <c r="D990" s="15" t="s">
        <v>390</v>
      </c>
      <c r="E990" s="19">
        <v>317050</v>
      </c>
      <c r="F990" s="19">
        <v>189710</v>
      </c>
      <c r="G990" s="20">
        <f t="shared" si="15"/>
        <v>0.37435867077117374</v>
      </c>
      <c r="H990" s="24" t="s">
        <v>586</v>
      </c>
      <c r="I990" s="24" t="s">
        <v>587</v>
      </c>
      <c r="J990" s="24" t="s">
        <v>588</v>
      </c>
      <c r="K990" s="24" t="s">
        <v>582</v>
      </c>
    </row>
    <row r="991" spans="1:11">
      <c r="A991" s="12">
        <v>2014</v>
      </c>
      <c r="B991" s="15" t="s">
        <v>364</v>
      </c>
      <c r="C991" s="15" t="s">
        <v>391</v>
      </c>
      <c r="D991" s="15" t="s">
        <v>392</v>
      </c>
      <c r="E991" s="19">
        <v>100701</v>
      </c>
      <c r="F991" s="19">
        <v>58873</v>
      </c>
      <c r="G991" s="20">
        <f t="shared" si="15"/>
        <v>0.36893854888641009</v>
      </c>
      <c r="H991" s="24" t="s">
        <v>586</v>
      </c>
      <c r="I991" s="24" t="s">
        <v>587</v>
      </c>
      <c r="J991" s="24" t="s">
        <v>588</v>
      </c>
      <c r="K991" s="24" t="s">
        <v>582</v>
      </c>
    </row>
    <row r="992" spans="1:11">
      <c r="A992" s="12">
        <v>2014</v>
      </c>
      <c r="B992" s="15" t="s">
        <v>364</v>
      </c>
      <c r="C992" s="15" t="s">
        <v>393</v>
      </c>
      <c r="D992" s="15" t="s">
        <v>394</v>
      </c>
      <c r="E992" s="19">
        <v>18873</v>
      </c>
      <c r="F992" s="19">
        <v>21486</v>
      </c>
      <c r="G992" s="20">
        <f t="shared" si="15"/>
        <v>0.53237196164424294</v>
      </c>
      <c r="H992" s="24" t="s">
        <v>586</v>
      </c>
      <c r="I992" s="24" t="s">
        <v>587</v>
      </c>
      <c r="J992" s="24" t="s">
        <v>588</v>
      </c>
      <c r="K992" s="24" t="s">
        <v>582</v>
      </c>
    </row>
    <row r="993" spans="1:11">
      <c r="A993" s="12">
        <v>2014</v>
      </c>
      <c r="B993" s="15" t="s">
        <v>395</v>
      </c>
      <c r="C993" s="15" t="s">
        <v>22</v>
      </c>
      <c r="D993" s="15" t="s">
        <v>395</v>
      </c>
      <c r="E993" s="19">
        <v>1665931</v>
      </c>
      <c r="F993" s="19">
        <v>740010</v>
      </c>
      <c r="G993" s="20">
        <f t="shared" si="15"/>
        <v>0.30757612094394665</v>
      </c>
      <c r="H993" s="24" t="s">
        <v>586</v>
      </c>
      <c r="I993" s="24" t="s">
        <v>587</v>
      </c>
      <c r="J993" s="24" t="s">
        <v>588</v>
      </c>
      <c r="K993" s="24" t="s">
        <v>582</v>
      </c>
    </row>
    <row r="994" spans="1:11">
      <c r="A994" s="12">
        <v>2014</v>
      </c>
      <c r="B994" s="15" t="s">
        <v>395</v>
      </c>
      <c r="C994" s="15" t="s">
        <v>396</v>
      </c>
      <c r="D994" s="15" t="s">
        <v>397</v>
      </c>
      <c r="E994" s="19">
        <v>31053</v>
      </c>
      <c r="F994" s="19">
        <v>27805</v>
      </c>
      <c r="G994" s="20">
        <f t="shared" si="15"/>
        <v>0.47240816881307551</v>
      </c>
      <c r="H994" s="24" t="s">
        <v>586</v>
      </c>
      <c r="I994" s="24" t="s">
        <v>587</v>
      </c>
      <c r="J994" s="24" t="s">
        <v>588</v>
      </c>
      <c r="K994" s="24" t="s">
        <v>582</v>
      </c>
    </row>
    <row r="995" spans="1:11">
      <c r="A995" s="12">
        <v>2014</v>
      </c>
      <c r="B995" s="15" t="s">
        <v>395</v>
      </c>
      <c r="C995" s="15" t="s">
        <v>398</v>
      </c>
      <c r="D995" s="15" t="s">
        <v>399</v>
      </c>
      <c r="E995" s="19">
        <v>57760</v>
      </c>
      <c r="F995" s="19">
        <v>43987</v>
      </c>
      <c r="G995" s="20">
        <f t="shared" si="15"/>
        <v>0.43231741476407165</v>
      </c>
      <c r="H995" s="24" t="s">
        <v>586</v>
      </c>
      <c r="I995" s="24" t="s">
        <v>587</v>
      </c>
      <c r="J995" s="24" t="s">
        <v>588</v>
      </c>
      <c r="K995" s="24" t="s">
        <v>582</v>
      </c>
    </row>
    <row r="996" spans="1:11">
      <c r="A996" s="12">
        <v>2014</v>
      </c>
      <c r="B996" s="15" t="s">
        <v>395</v>
      </c>
      <c r="C996" s="15" t="s">
        <v>400</v>
      </c>
      <c r="D996" s="15" t="s">
        <v>401</v>
      </c>
      <c r="E996" s="19">
        <v>23172</v>
      </c>
      <c r="F996" s="19">
        <v>24460</v>
      </c>
      <c r="G996" s="20">
        <f t="shared" si="15"/>
        <v>0.51352032247228752</v>
      </c>
      <c r="H996" s="24" t="s">
        <v>586</v>
      </c>
      <c r="I996" s="24" t="s">
        <v>587</v>
      </c>
      <c r="J996" s="24" t="s">
        <v>588</v>
      </c>
      <c r="K996" s="24" t="s">
        <v>582</v>
      </c>
    </row>
    <row r="997" spans="1:11">
      <c r="A997" s="12">
        <v>2014</v>
      </c>
      <c r="B997" s="15" t="s">
        <v>395</v>
      </c>
      <c r="C997" s="15" t="s">
        <v>402</v>
      </c>
      <c r="D997" s="15" t="s">
        <v>403</v>
      </c>
      <c r="E997" s="19">
        <v>126266</v>
      </c>
      <c r="F997" s="19">
        <v>91525</v>
      </c>
      <c r="G997" s="20">
        <f t="shared" si="15"/>
        <v>0.42024234242920966</v>
      </c>
      <c r="H997" s="24" t="s">
        <v>586</v>
      </c>
      <c r="I997" s="24" t="s">
        <v>587</v>
      </c>
      <c r="J997" s="24" t="s">
        <v>588</v>
      </c>
      <c r="K997" s="24" t="s">
        <v>582</v>
      </c>
    </row>
    <row r="998" spans="1:11">
      <c r="A998" s="12">
        <v>2014</v>
      </c>
      <c r="B998" s="15" t="s">
        <v>395</v>
      </c>
      <c r="C998" s="15" t="s">
        <v>404</v>
      </c>
      <c r="D998" s="15" t="s">
        <v>405</v>
      </c>
      <c r="E998" s="19">
        <v>21539</v>
      </c>
      <c r="F998" s="19">
        <v>20433</v>
      </c>
      <c r="G998" s="20">
        <f t="shared" si="15"/>
        <v>0.48682454969979988</v>
      </c>
      <c r="H998" s="24" t="s">
        <v>586</v>
      </c>
      <c r="I998" s="24" t="s">
        <v>587</v>
      </c>
      <c r="J998" s="24" t="s">
        <v>588</v>
      </c>
      <c r="K998" s="24" t="s">
        <v>582</v>
      </c>
    </row>
    <row r="999" spans="1:11">
      <c r="A999" s="12">
        <v>2014</v>
      </c>
      <c r="B999" s="15" t="s">
        <v>395</v>
      </c>
      <c r="C999" s="15" t="s">
        <v>406</v>
      </c>
      <c r="D999" s="15" t="s">
        <v>407</v>
      </c>
      <c r="E999" s="19">
        <v>68428</v>
      </c>
      <c r="F999" s="19">
        <v>62605</v>
      </c>
      <c r="G999" s="20">
        <f t="shared" si="15"/>
        <v>0.4777804064624942</v>
      </c>
      <c r="H999" s="24" t="s">
        <v>586</v>
      </c>
      <c r="I999" s="24" t="s">
        <v>587</v>
      </c>
      <c r="J999" s="24" t="s">
        <v>588</v>
      </c>
      <c r="K999" s="24" t="s">
        <v>582</v>
      </c>
    </row>
    <row r="1000" spans="1:11">
      <c r="A1000" s="12">
        <v>2014</v>
      </c>
      <c r="B1000" s="15" t="s">
        <v>395</v>
      </c>
      <c r="C1000" s="15" t="s">
        <v>408</v>
      </c>
      <c r="D1000" s="15" t="s">
        <v>409</v>
      </c>
      <c r="E1000" s="19">
        <v>32825</v>
      </c>
      <c r="F1000" s="19">
        <v>36413</v>
      </c>
      <c r="G1000" s="20">
        <f t="shared" si="15"/>
        <v>0.52591062711227943</v>
      </c>
      <c r="H1000" s="24" t="s">
        <v>586</v>
      </c>
      <c r="I1000" s="24" t="s">
        <v>587</v>
      </c>
      <c r="J1000" s="24" t="s">
        <v>588</v>
      </c>
      <c r="K1000" s="24" t="s">
        <v>582</v>
      </c>
    </row>
    <row r="1001" spans="1:11">
      <c r="A1001" s="12">
        <v>2014</v>
      </c>
      <c r="B1001" s="15" t="s">
        <v>395</v>
      </c>
      <c r="C1001" s="15" t="s">
        <v>410</v>
      </c>
      <c r="D1001" s="15" t="s">
        <v>411</v>
      </c>
      <c r="E1001" s="19">
        <v>212969</v>
      </c>
      <c r="F1001" s="19">
        <v>93911</v>
      </c>
      <c r="G1001" s="20">
        <f t="shared" si="15"/>
        <v>0.30601863920750783</v>
      </c>
      <c r="H1001" s="24" t="s">
        <v>586</v>
      </c>
      <c r="I1001" s="24" t="s">
        <v>587</v>
      </c>
      <c r="J1001" s="24" t="s">
        <v>588</v>
      </c>
      <c r="K1001" s="24" t="s">
        <v>582</v>
      </c>
    </row>
    <row r="1002" spans="1:11">
      <c r="A1002" s="12">
        <v>2014</v>
      </c>
      <c r="B1002" s="15" t="s">
        <v>395</v>
      </c>
      <c r="C1002" s="15" t="s">
        <v>412</v>
      </c>
      <c r="D1002" s="15" t="s">
        <v>413</v>
      </c>
      <c r="E1002" s="19">
        <v>59916</v>
      </c>
      <c r="F1002" s="19">
        <v>66340</v>
      </c>
      <c r="G1002" s="20">
        <f t="shared" si="15"/>
        <v>0.52544037511088582</v>
      </c>
      <c r="H1002" s="24" t="s">
        <v>586</v>
      </c>
      <c r="I1002" s="24" t="s">
        <v>587</v>
      </c>
      <c r="J1002" s="24" t="s">
        <v>588</v>
      </c>
      <c r="K1002" s="24" t="s">
        <v>582</v>
      </c>
    </row>
    <row r="1003" spans="1:11">
      <c r="A1003" s="12">
        <v>2014</v>
      </c>
      <c r="B1003" s="15" t="s">
        <v>395</v>
      </c>
      <c r="C1003" s="15" t="s">
        <v>414</v>
      </c>
      <c r="D1003" s="15" t="s">
        <v>415</v>
      </c>
      <c r="E1003" s="19">
        <v>35078</v>
      </c>
      <c r="F1003" s="19">
        <v>33603</v>
      </c>
      <c r="G1003" s="20">
        <f t="shared" si="15"/>
        <v>0.48926195017544882</v>
      </c>
      <c r="H1003" s="24" t="s">
        <v>586</v>
      </c>
      <c r="I1003" s="24" t="s">
        <v>587</v>
      </c>
      <c r="J1003" s="24" t="s">
        <v>588</v>
      </c>
      <c r="K1003" s="24" t="s">
        <v>582</v>
      </c>
    </row>
    <row r="1004" spans="1:11">
      <c r="A1004" s="12">
        <v>2014</v>
      </c>
      <c r="B1004" s="15" t="s">
        <v>395</v>
      </c>
      <c r="C1004" s="15" t="s">
        <v>416</v>
      </c>
      <c r="D1004" s="15" t="s">
        <v>417</v>
      </c>
      <c r="E1004" s="19">
        <v>244913</v>
      </c>
      <c r="F1004" s="19">
        <v>103460</v>
      </c>
      <c r="G1004" s="20">
        <f t="shared" si="15"/>
        <v>0.29698053523091628</v>
      </c>
      <c r="H1004" s="24" t="s">
        <v>586</v>
      </c>
      <c r="I1004" s="24" t="s">
        <v>587</v>
      </c>
      <c r="J1004" s="24" t="s">
        <v>588</v>
      </c>
      <c r="K1004" s="24" t="s">
        <v>582</v>
      </c>
    </row>
    <row r="1005" spans="1:11">
      <c r="A1005" s="12">
        <v>2014</v>
      </c>
      <c r="B1005" s="15" t="s">
        <v>395</v>
      </c>
      <c r="C1005" s="15" t="s">
        <v>418</v>
      </c>
      <c r="D1005" s="15" t="s">
        <v>419</v>
      </c>
      <c r="E1005" s="19">
        <v>28208</v>
      </c>
      <c r="F1005" s="19">
        <v>37751</v>
      </c>
      <c r="G1005" s="20">
        <f t="shared" si="15"/>
        <v>0.57234039327460995</v>
      </c>
      <c r="H1005" s="24" t="s">
        <v>586</v>
      </c>
      <c r="I1005" s="24" t="s">
        <v>587</v>
      </c>
      <c r="J1005" s="24" t="s">
        <v>588</v>
      </c>
      <c r="K1005" s="24" t="s">
        <v>582</v>
      </c>
    </row>
    <row r="1006" spans="1:11">
      <c r="A1006" s="12">
        <v>2014</v>
      </c>
      <c r="B1006" s="15" t="s">
        <v>395</v>
      </c>
      <c r="C1006" s="15" t="s">
        <v>420</v>
      </c>
      <c r="D1006" s="15" t="s">
        <v>421</v>
      </c>
      <c r="E1006" s="19">
        <v>258617</v>
      </c>
      <c r="F1006" s="19">
        <v>106198</v>
      </c>
      <c r="G1006" s="20">
        <f t="shared" si="15"/>
        <v>0.29110096898427973</v>
      </c>
      <c r="H1006" s="24" t="s">
        <v>586</v>
      </c>
      <c r="I1006" s="24" t="s">
        <v>587</v>
      </c>
      <c r="J1006" s="24" t="s">
        <v>588</v>
      </c>
      <c r="K1006" s="24" t="s">
        <v>582</v>
      </c>
    </row>
    <row r="1007" spans="1:11">
      <c r="A1007" s="12">
        <v>2014</v>
      </c>
      <c r="B1007" s="15" t="s">
        <v>395</v>
      </c>
      <c r="C1007" s="15" t="s">
        <v>422</v>
      </c>
      <c r="D1007" s="15" t="s">
        <v>423</v>
      </c>
      <c r="E1007" s="19">
        <v>46334</v>
      </c>
      <c r="F1007" s="19">
        <v>33378</v>
      </c>
      <c r="G1007" s="20">
        <f t="shared" si="15"/>
        <v>0.41873243677238059</v>
      </c>
      <c r="H1007" s="24" t="s">
        <v>586</v>
      </c>
      <c r="I1007" s="24" t="s">
        <v>587</v>
      </c>
      <c r="J1007" s="24" t="s">
        <v>588</v>
      </c>
      <c r="K1007" s="24" t="s">
        <v>582</v>
      </c>
    </row>
    <row r="1008" spans="1:11">
      <c r="A1008" s="12">
        <v>2014</v>
      </c>
      <c r="B1008" s="15" t="s">
        <v>395</v>
      </c>
      <c r="C1008" s="15" t="s">
        <v>424</v>
      </c>
      <c r="D1008" s="15" t="s">
        <v>425</v>
      </c>
      <c r="E1008" s="19">
        <v>43702</v>
      </c>
      <c r="F1008" s="19">
        <v>50072</v>
      </c>
      <c r="G1008" s="20">
        <f t="shared" si="15"/>
        <v>0.53396463838590658</v>
      </c>
      <c r="H1008" s="24" t="s">
        <v>586</v>
      </c>
      <c r="I1008" s="24" t="s">
        <v>587</v>
      </c>
      <c r="J1008" s="24" t="s">
        <v>588</v>
      </c>
      <c r="K1008" s="24" t="s">
        <v>582</v>
      </c>
    </row>
    <row r="1009" spans="1:11">
      <c r="A1009" s="12">
        <v>2014</v>
      </c>
      <c r="B1009" s="15" t="s">
        <v>395</v>
      </c>
      <c r="C1009" s="15" t="s">
        <v>426</v>
      </c>
      <c r="D1009" s="15" t="s">
        <v>427</v>
      </c>
      <c r="E1009" s="19">
        <v>43359</v>
      </c>
      <c r="F1009" s="19">
        <v>41462</v>
      </c>
      <c r="G1009" s="20">
        <f t="shared" si="15"/>
        <v>0.48881762771011894</v>
      </c>
      <c r="H1009" s="24" t="s">
        <v>586</v>
      </c>
      <c r="I1009" s="24" t="s">
        <v>587</v>
      </c>
      <c r="J1009" s="24" t="s">
        <v>588</v>
      </c>
      <c r="K1009" s="24" t="s">
        <v>582</v>
      </c>
    </row>
    <row r="1010" spans="1:11">
      <c r="A1010" s="12">
        <v>2014</v>
      </c>
      <c r="B1010" s="15" t="s">
        <v>395</v>
      </c>
      <c r="C1010" s="15" t="s">
        <v>428</v>
      </c>
      <c r="D1010" s="15" t="s">
        <v>429</v>
      </c>
      <c r="E1010" s="19">
        <v>31579</v>
      </c>
      <c r="F1010" s="19">
        <v>36746</v>
      </c>
      <c r="G1010" s="20">
        <f t="shared" si="15"/>
        <v>0.53781192828393709</v>
      </c>
      <c r="H1010" s="24" t="s">
        <v>586</v>
      </c>
      <c r="I1010" s="24" t="s">
        <v>587</v>
      </c>
      <c r="J1010" s="24" t="s">
        <v>588</v>
      </c>
      <c r="K1010" s="24" t="s">
        <v>582</v>
      </c>
    </row>
    <row r="1011" spans="1:11">
      <c r="A1011" s="12">
        <v>2014</v>
      </c>
      <c r="B1011" s="15" t="s">
        <v>395</v>
      </c>
      <c r="C1011" s="15" t="s">
        <v>430</v>
      </c>
      <c r="D1011" s="15" t="s">
        <v>431</v>
      </c>
      <c r="E1011" s="19">
        <v>33582</v>
      </c>
      <c r="F1011" s="19">
        <v>30148</v>
      </c>
      <c r="G1011" s="20">
        <f t="shared" si="15"/>
        <v>0.47305821434175427</v>
      </c>
      <c r="H1011" s="24" t="s">
        <v>586</v>
      </c>
      <c r="I1011" s="24" t="s">
        <v>587</v>
      </c>
      <c r="J1011" s="24" t="s">
        <v>588</v>
      </c>
      <c r="K1011" s="24" t="s">
        <v>582</v>
      </c>
    </row>
    <row r="1012" spans="1:11">
      <c r="A1012" s="12">
        <v>2014</v>
      </c>
      <c r="B1012" s="15" t="s">
        <v>395</v>
      </c>
      <c r="C1012" s="15" t="s">
        <v>432</v>
      </c>
      <c r="D1012" s="15" t="s">
        <v>433</v>
      </c>
      <c r="E1012" s="19">
        <v>25787</v>
      </c>
      <c r="F1012" s="19">
        <v>25205</v>
      </c>
      <c r="G1012" s="20">
        <f t="shared" si="15"/>
        <v>0.49429322246626922</v>
      </c>
      <c r="H1012" s="24" t="s">
        <v>586</v>
      </c>
      <c r="I1012" s="24" t="s">
        <v>587</v>
      </c>
      <c r="J1012" s="24" t="s">
        <v>588</v>
      </c>
      <c r="K1012" s="24" t="s">
        <v>582</v>
      </c>
    </row>
    <row r="1013" spans="1:11">
      <c r="A1013" s="12">
        <v>2014</v>
      </c>
      <c r="B1013" s="15" t="s">
        <v>395</v>
      </c>
      <c r="C1013" s="15" t="s">
        <v>434</v>
      </c>
      <c r="D1013" s="15" t="s">
        <v>435</v>
      </c>
      <c r="E1013" s="19">
        <v>25781</v>
      </c>
      <c r="F1013" s="19">
        <v>28526</v>
      </c>
      <c r="G1013" s="20">
        <f t="shared" si="15"/>
        <v>0.52527298506638187</v>
      </c>
      <c r="H1013" s="24" t="s">
        <v>586</v>
      </c>
      <c r="I1013" s="24" t="s">
        <v>587</v>
      </c>
      <c r="J1013" s="24" t="s">
        <v>588</v>
      </c>
      <c r="K1013" s="24" t="s">
        <v>582</v>
      </c>
    </row>
    <row r="1014" spans="1:11">
      <c r="A1014" s="12">
        <v>2014</v>
      </c>
      <c r="B1014" s="15" t="s">
        <v>395</v>
      </c>
      <c r="C1014" s="15" t="s">
        <v>436</v>
      </c>
      <c r="D1014" s="15" t="s">
        <v>437</v>
      </c>
      <c r="E1014" s="19">
        <v>62549</v>
      </c>
      <c r="F1014" s="19">
        <v>47159</v>
      </c>
      <c r="G1014" s="20">
        <f t="shared" si="15"/>
        <v>0.42985926277026287</v>
      </c>
      <c r="H1014" s="24" t="s">
        <v>586</v>
      </c>
      <c r="I1014" s="24" t="s">
        <v>587</v>
      </c>
      <c r="J1014" s="24" t="s">
        <v>588</v>
      </c>
      <c r="K1014" s="24" t="s">
        <v>582</v>
      </c>
    </row>
    <row r="1015" spans="1:11">
      <c r="A1015" s="12">
        <v>2014</v>
      </c>
      <c r="B1015" s="15" t="s">
        <v>395</v>
      </c>
      <c r="C1015" s="15" t="s">
        <v>438</v>
      </c>
      <c r="D1015" s="15" t="s">
        <v>439</v>
      </c>
      <c r="E1015" s="19">
        <v>52598</v>
      </c>
      <c r="F1015" s="19">
        <v>42714</v>
      </c>
      <c r="G1015" s="20">
        <f t="shared" si="15"/>
        <v>0.44814923619271446</v>
      </c>
      <c r="H1015" s="24" t="s">
        <v>586</v>
      </c>
      <c r="I1015" s="24" t="s">
        <v>587</v>
      </c>
      <c r="J1015" s="24" t="s">
        <v>588</v>
      </c>
      <c r="K1015" s="24" t="s">
        <v>582</v>
      </c>
    </row>
    <row r="1016" spans="1:11">
      <c r="A1016" s="12">
        <v>2014</v>
      </c>
      <c r="B1016" s="15" t="s">
        <v>440</v>
      </c>
      <c r="C1016" s="15" t="s">
        <v>22</v>
      </c>
      <c r="D1016" s="15" t="s">
        <v>440</v>
      </c>
      <c r="E1016" s="19">
        <v>2373725</v>
      </c>
      <c r="F1016" s="19">
        <v>982981</v>
      </c>
      <c r="G1016" s="20">
        <f t="shared" si="15"/>
        <v>0.29284095777229224</v>
      </c>
      <c r="H1016" s="24" t="s">
        <v>583</v>
      </c>
      <c r="I1016" s="24" t="s">
        <v>584</v>
      </c>
      <c r="J1016" s="24" t="s">
        <v>585</v>
      </c>
      <c r="K1016" s="24" t="s">
        <v>582</v>
      </c>
    </row>
    <row r="1017" spans="1:11">
      <c r="A1017" s="12">
        <v>2014</v>
      </c>
      <c r="B1017" s="15" t="s">
        <v>440</v>
      </c>
      <c r="C1017" s="15" t="s">
        <v>441</v>
      </c>
      <c r="D1017" s="15" t="s">
        <v>442</v>
      </c>
      <c r="E1017" s="19">
        <v>210047</v>
      </c>
      <c r="F1017" s="19">
        <v>155500</v>
      </c>
      <c r="G1017" s="20">
        <f t="shared" si="15"/>
        <v>0.42538989514344255</v>
      </c>
      <c r="H1017" s="24" t="s">
        <v>583</v>
      </c>
      <c r="I1017" s="24" t="s">
        <v>569</v>
      </c>
      <c r="J1017" s="24" t="s">
        <v>593</v>
      </c>
      <c r="K1017" s="24" t="s">
        <v>582</v>
      </c>
    </row>
    <row r="1018" spans="1:11">
      <c r="A1018" s="12">
        <v>2014</v>
      </c>
      <c r="B1018" s="15" t="s">
        <v>440</v>
      </c>
      <c r="C1018" s="15" t="s">
        <v>443</v>
      </c>
      <c r="D1018" s="15" t="s">
        <v>444</v>
      </c>
      <c r="E1018" s="19">
        <v>221607</v>
      </c>
      <c r="F1018" s="19">
        <v>114668</v>
      </c>
      <c r="G1018" s="20">
        <f t="shared" si="15"/>
        <v>0.34099472158203853</v>
      </c>
      <c r="H1018" s="24" t="s">
        <v>583</v>
      </c>
      <c r="I1018" s="24" t="s">
        <v>584</v>
      </c>
      <c r="J1018" s="24" t="s">
        <v>585</v>
      </c>
      <c r="K1018" s="24" t="s">
        <v>582</v>
      </c>
    </row>
    <row r="1019" spans="1:11">
      <c r="A1019" s="12">
        <v>2014</v>
      </c>
      <c r="B1019" s="15" t="s">
        <v>440</v>
      </c>
      <c r="C1019" s="15" t="s">
        <v>445</v>
      </c>
      <c r="D1019" s="15" t="s">
        <v>446</v>
      </c>
      <c r="E1019" s="19">
        <v>23361</v>
      </c>
      <c r="F1019" s="19">
        <v>28722</v>
      </c>
      <c r="G1019" s="20">
        <f t="shared" si="15"/>
        <v>0.55146592938194805</v>
      </c>
      <c r="H1019" s="24" t="s">
        <v>583</v>
      </c>
      <c r="I1019" s="24" t="s">
        <v>569</v>
      </c>
      <c r="J1019" s="24" t="s">
        <v>593</v>
      </c>
      <c r="K1019" s="24" t="s">
        <v>582</v>
      </c>
    </row>
    <row r="1020" spans="1:11">
      <c r="A1020" s="12">
        <v>2014</v>
      </c>
      <c r="B1020" s="15" t="s">
        <v>440</v>
      </c>
      <c r="C1020" s="15" t="s">
        <v>447</v>
      </c>
      <c r="D1020" s="15" t="s">
        <v>448</v>
      </c>
      <c r="E1020" s="19">
        <v>371884</v>
      </c>
      <c r="F1020" s="19">
        <v>151488</v>
      </c>
      <c r="G1020" s="20">
        <f t="shared" si="15"/>
        <v>0.28944613009484649</v>
      </c>
      <c r="H1020" s="24" t="s">
        <v>583</v>
      </c>
      <c r="I1020" s="24" t="s">
        <v>569</v>
      </c>
      <c r="J1020" s="24" t="s">
        <v>593</v>
      </c>
      <c r="K1020" s="24" t="s">
        <v>582</v>
      </c>
    </row>
    <row r="1021" spans="1:11">
      <c r="A1021" s="12">
        <v>2014</v>
      </c>
      <c r="B1021" s="15" t="s">
        <v>440</v>
      </c>
      <c r="C1021" s="15" t="s">
        <v>105</v>
      </c>
      <c r="D1021" s="15" t="s">
        <v>449</v>
      </c>
      <c r="E1021" s="19">
        <v>16988</v>
      </c>
      <c r="F1021" s="19">
        <v>19883</v>
      </c>
      <c r="G1021" s="20">
        <f t="shared" si="15"/>
        <v>0.53925849583683649</v>
      </c>
      <c r="H1021" s="24" t="s">
        <v>583</v>
      </c>
      <c r="I1021" s="24" t="s">
        <v>569</v>
      </c>
      <c r="J1021" s="24" t="s">
        <v>593</v>
      </c>
      <c r="K1021" s="24" t="s">
        <v>582</v>
      </c>
    </row>
    <row r="1022" spans="1:11">
      <c r="A1022" s="12">
        <v>2014</v>
      </c>
      <c r="B1022" s="15" t="s">
        <v>440</v>
      </c>
      <c r="C1022" s="15" t="s">
        <v>450</v>
      </c>
      <c r="D1022" s="15" t="s">
        <v>451</v>
      </c>
      <c r="E1022" s="19">
        <v>111032</v>
      </c>
      <c r="F1022" s="19">
        <v>66454</v>
      </c>
      <c r="G1022" s="20">
        <f t="shared" si="15"/>
        <v>0.37441826397575018</v>
      </c>
      <c r="H1022" s="24" t="s">
        <v>583</v>
      </c>
      <c r="I1022" s="24" t="s">
        <v>584</v>
      </c>
      <c r="J1022" s="24" t="s">
        <v>585</v>
      </c>
      <c r="K1022" s="24" t="s">
        <v>582</v>
      </c>
    </row>
    <row r="1023" spans="1:11">
      <c r="A1023" s="12">
        <v>2014</v>
      </c>
      <c r="B1023" s="15" t="s">
        <v>440</v>
      </c>
      <c r="C1023" s="15" t="s">
        <v>452</v>
      </c>
      <c r="D1023" s="15" t="s">
        <v>453</v>
      </c>
      <c r="E1023" s="19">
        <v>64617</v>
      </c>
      <c r="F1023" s="19">
        <v>40092</v>
      </c>
      <c r="G1023" s="20">
        <f t="shared" si="15"/>
        <v>0.38288972294645157</v>
      </c>
      <c r="H1023" s="24" t="s">
        <v>583</v>
      </c>
      <c r="I1023" s="24" t="s">
        <v>569</v>
      </c>
      <c r="J1023" s="24" t="s">
        <v>593</v>
      </c>
      <c r="K1023" s="24" t="s">
        <v>582</v>
      </c>
    </row>
    <row r="1024" spans="1:11">
      <c r="A1024" s="12">
        <v>2014</v>
      </c>
      <c r="B1024" s="15" t="s">
        <v>440</v>
      </c>
      <c r="C1024" s="15" t="s">
        <v>454</v>
      </c>
      <c r="D1024" s="15" t="s">
        <v>455</v>
      </c>
      <c r="E1024" s="19">
        <v>23420</v>
      </c>
      <c r="F1024" s="19">
        <v>27509</v>
      </c>
      <c r="G1024" s="20">
        <f t="shared" si="15"/>
        <v>0.54014412220935026</v>
      </c>
      <c r="H1024" s="24" t="s">
        <v>583</v>
      </c>
      <c r="I1024" s="24" t="s">
        <v>569</v>
      </c>
      <c r="J1024" s="24" t="s">
        <v>593</v>
      </c>
      <c r="K1024" s="24" t="s">
        <v>582</v>
      </c>
    </row>
    <row r="1025" spans="1:11">
      <c r="A1025" s="12">
        <v>2014</v>
      </c>
      <c r="B1025" s="15" t="s">
        <v>440</v>
      </c>
      <c r="C1025" s="15" t="s">
        <v>456</v>
      </c>
      <c r="D1025" s="15" t="s">
        <v>457</v>
      </c>
      <c r="E1025" s="19">
        <v>86250</v>
      </c>
      <c r="F1025" s="19">
        <v>56802</v>
      </c>
      <c r="G1025" s="20">
        <f t="shared" si="15"/>
        <v>0.39707239325559934</v>
      </c>
      <c r="H1025" s="24" t="s">
        <v>583</v>
      </c>
      <c r="I1025" s="24" t="s">
        <v>569</v>
      </c>
      <c r="J1025" s="24" t="s">
        <v>593</v>
      </c>
      <c r="K1025" s="24" t="s">
        <v>582</v>
      </c>
    </row>
    <row r="1026" spans="1:11">
      <c r="A1026" s="12">
        <v>2014</v>
      </c>
      <c r="B1026" s="15" t="s">
        <v>440</v>
      </c>
      <c r="C1026" s="15" t="s">
        <v>458</v>
      </c>
      <c r="D1026" s="15" t="s">
        <v>459</v>
      </c>
      <c r="E1026" s="19">
        <v>31573</v>
      </c>
      <c r="F1026" s="19">
        <v>35528</v>
      </c>
      <c r="G1026" s="20">
        <f t="shared" si="15"/>
        <v>0.52947049969449045</v>
      </c>
      <c r="H1026" s="24" t="s">
        <v>583</v>
      </c>
      <c r="I1026" s="24" t="s">
        <v>569</v>
      </c>
      <c r="J1026" s="24" t="s">
        <v>593</v>
      </c>
      <c r="K1026" s="24" t="s">
        <v>582</v>
      </c>
    </row>
    <row r="1027" spans="1:11">
      <c r="A1027" s="12">
        <v>2014</v>
      </c>
      <c r="B1027" s="15" t="s">
        <v>440</v>
      </c>
      <c r="C1027" s="15" t="s">
        <v>460</v>
      </c>
      <c r="D1027" s="15" t="s">
        <v>461</v>
      </c>
      <c r="E1027" s="19">
        <v>148108</v>
      </c>
      <c r="F1027" s="19">
        <v>56659</v>
      </c>
      <c r="G1027" s="20">
        <f t="shared" si="15"/>
        <v>0.27669985886397713</v>
      </c>
      <c r="H1027" s="24" t="s">
        <v>583</v>
      </c>
      <c r="I1027" s="24" t="s">
        <v>584</v>
      </c>
      <c r="J1027" s="24" t="s">
        <v>585</v>
      </c>
      <c r="K1027" s="24" t="s">
        <v>582</v>
      </c>
    </row>
    <row r="1028" spans="1:11">
      <c r="A1028" s="12">
        <v>2014</v>
      </c>
      <c r="B1028" s="15" t="s">
        <v>440</v>
      </c>
      <c r="C1028" s="15" t="s">
        <v>462</v>
      </c>
      <c r="D1028" s="15" t="s">
        <v>463</v>
      </c>
      <c r="E1028" s="19">
        <v>31829</v>
      </c>
      <c r="F1028" s="19">
        <v>28021</v>
      </c>
      <c r="G1028" s="20">
        <f t="shared" si="15"/>
        <v>0.46818713450292399</v>
      </c>
      <c r="H1028" s="24" t="s">
        <v>583</v>
      </c>
      <c r="I1028" s="24" t="s">
        <v>569</v>
      </c>
      <c r="J1028" s="24" t="s">
        <v>593</v>
      </c>
      <c r="K1028" s="24" t="s">
        <v>582</v>
      </c>
    </row>
    <row r="1029" spans="1:11">
      <c r="A1029" s="12">
        <v>2014</v>
      </c>
      <c r="B1029" s="15" t="s">
        <v>440</v>
      </c>
      <c r="C1029" s="15" t="s">
        <v>464</v>
      </c>
      <c r="D1029" s="15" t="s">
        <v>465</v>
      </c>
      <c r="E1029" s="19">
        <v>12880</v>
      </c>
      <c r="F1029" s="19">
        <v>14724</v>
      </c>
      <c r="G1029" s="20">
        <f t="shared" si="15"/>
        <v>0.5334009563831329</v>
      </c>
      <c r="H1029" s="24" t="s">
        <v>583</v>
      </c>
      <c r="I1029" s="24" t="s">
        <v>569</v>
      </c>
      <c r="J1029" s="24" t="s">
        <v>593</v>
      </c>
      <c r="K1029" s="24" t="s">
        <v>582</v>
      </c>
    </row>
    <row r="1030" spans="1:11">
      <c r="A1030" s="12">
        <v>2014</v>
      </c>
      <c r="B1030" s="15" t="s">
        <v>440</v>
      </c>
      <c r="C1030" s="15" t="s">
        <v>466</v>
      </c>
      <c r="D1030" s="15" t="s">
        <v>467</v>
      </c>
      <c r="E1030" s="19">
        <v>95629</v>
      </c>
      <c r="F1030" s="19">
        <v>60102</v>
      </c>
      <c r="G1030" s="20">
        <f t="shared" ref="G1030:G1093" si="16">IFERROR(F1030/(E1030+F1030),"")</f>
        <v>0.38593472076850466</v>
      </c>
      <c r="H1030" s="24" t="s">
        <v>583</v>
      </c>
      <c r="I1030" s="24" t="s">
        <v>569</v>
      </c>
      <c r="J1030" s="24" t="s">
        <v>593</v>
      </c>
      <c r="K1030" s="24" t="s">
        <v>582</v>
      </c>
    </row>
    <row r="1031" spans="1:11">
      <c r="A1031" s="12">
        <v>2014</v>
      </c>
      <c r="B1031" s="15" t="s">
        <v>440</v>
      </c>
      <c r="C1031" s="15" t="s">
        <v>468</v>
      </c>
      <c r="D1031" s="15" t="s">
        <v>469</v>
      </c>
      <c r="E1031" s="19">
        <v>82296</v>
      </c>
      <c r="F1031" s="19">
        <v>59271</v>
      </c>
      <c r="G1031" s="20">
        <f t="shared" si="16"/>
        <v>0.41867808175634152</v>
      </c>
      <c r="H1031" s="24" t="s">
        <v>583</v>
      </c>
      <c r="I1031" s="24" t="s">
        <v>569</v>
      </c>
      <c r="J1031" s="24" t="s">
        <v>593</v>
      </c>
      <c r="K1031" s="24" t="s">
        <v>582</v>
      </c>
    </row>
    <row r="1032" spans="1:11">
      <c r="A1032" s="12">
        <v>2014</v>
      </c>
      <c r="B1032" s="15" t="s">
        <v>440</v>
      </c>
      <c r="C1032" s="15" t="s">
        <v>470</v>
      </c>
      <c r="D1032" s="15" t="s">
        <v>471</v>
      </c>
      <c r="E1032" s="19">
        <v>34875</v>
      </c>
      <c r="F1032" s="19">
        <v>33526</v>
      </c>
      <c r="G1032" s="20">
        <f t="shared" si="16"/>
        <v>0.49013903305507228</v>
      </c>
      <c r="H1032" s="24" t="s">
        <v>583</v>
      </c>
      <c r="I1032" s="24" t="s">
        <v>569</v>
      </c>
      <c r="J1032" s="24" t="s">
        <v>593</v>
      </c>
      <c r="K1032" s="24" t="s">
        <v>582</v>
      </c>
    </row>
    <row r="1033" spans="1:11">
      <c r="A1033" s="12">
        <v>2014</v>
      </c>
      <c r="B1033" s="15" t="s">
        <v>440</v>
      </c>
      <c r="C1033" s="15" t="s">
        <v>472</v>
      </c>
      <c r="D1033" s="15" t="s">
        <v>473</v>
      </c>
      <c r="E1033" s="19">
        <v>7039</v>
      </c>
      <c r="F1033" s="19">
        <v>7925</v>
      </c>
      <c r="G1033" s="20">
        <f t="shared" si="16"/>
        <v>0.5296043838545843</v>
      </c>
      <c r="H1033" s="24" t="s">
        <v>583</v>
      </c>
      <c r="I1033" s="24" t="s">
        <v>569</v>
      </c>
      <c r="J1033" s="24" t="s">
        <v>593</v>
      </c>
      <c r="K1033" s="24" t="s">
        <v>582</v>
      </c>
    </row>
    <row r="1034" spans="1:11">
      <c r="A1034" s="12">
        <v>2014</v>
      </c>
      <c r="B1034" s="15" t="s">
        <v>440</v>
      </c>
      <c r="C1034" s="15" t="s">
        <v>474</v>
      </c>
      <c r="D1034" s="15" t="s">
        <v>475</v>
      </c>
      <c r="E1034" s="19">
        <v>43404</v>
      </c>
      <c r="F1034" s="19">
        <v>32461</v>
      </c>
      <c r="G1034" s="20">
        <f t="shared" si="16"/>
        <v>0.42787846833190535</v>
      </c>
      <c r="H1034" s="24" t="s">
        <v>583</v>
      </c>
      <c r="I1034" s="24" t="s">
        <v>569</v>
      </c>
      <c r="J1034" s="24" t="s">
        <v>593</v>
      </c>
      <c r="K1034" s="24" t="s">
        <v>582</v>
      </c>
    </row>
    <row r="1035" spans="1:11">
      <c r="A1035" s="12">
        <v>2014</v>
      </c>
      <c r="B1035" s="15" t="s">
        <v>440</v>
      </c>
      <c r="C1035" s="15" t="s">
        <v>476</v>
      </c>
      <c r="D1035" s="15" t="s">
        <v>477</v>
      </c>
      <c r="E1035" s="19">
        <v>44002</v>
      </c>
      <c r="F1035" s="19">
        <v>40223</v>
      </c>
      <c r="G1035" s="20">
        <f t="shared" si="16"/>
        <v>0.47756604333630159</v>
      </c>
      <c r="H1035" s="24" t="s">
        <v>583</v>
      </c>
      <c r="I1035" s="24" t="s">
        <v>569</v>
      </c>
      <c r="J1035" s="24" t="s">
        <v>593</v>
      </c>
      <c r="K1035" s="24" t="s">
        <v>582</v>
      </c>
    </row>
    <row r="1036" spans="1:11">
      <c r="A1036" s="12">
        <v>2014</v>
      </c>
      <c r="B1036" s="15" t="s">
        <v>440</v>
      </c>
      <c r="C1036" s="15" t="s">
        <v>478</v>
      </c>
      <c r="D1036" s="15" t="s">
        <v>479</v>
      </c>
      <c r="E1036" s="19">
        <v>32804</v>
      </c>
      <c r="F1036" s="19">
        <v>34842</v>
      </c>
      <c r="G1036" s="20">
        <f t="shared" si="16"/>
        <v>0.51506371404074147</v>
      </c>
      <c r="H1036" s="24" t="s">
        <v>583</v>
      </c>
      <c r="I1036" s="24" t="s">
        <v>569</v>
      </c>
      <c r="J1036" s="24" t="s">
        <v>593</v>
      </c>
      <c r="K1036" s="24" t="s">
        <v>582</v>
      </c>
    </row>
    <row r="1037" spans="1:11">
      <c r="A1037" s="12">
        <v>2014</v>
      </c>
      <c r="B1037" s="15" t="s">
        <v>440</v>
      </c>
      <c r="C1037" s="15" t="s">
        <v>480</v>
      </c>
      <c r="D1037" s="15" t="s">
        <v>481</v>
      </c>
      <c r="E1037" s="19">
        <v>19420</v>
      </c>
      <c r="F1037" s="19">
        <v>21574</v>
      </c>
      <c r="G1037" s="20">
        <f t="shared" si="16"/>
        <v>0.5262721373859589</v>
      </c>
      <c r="H1037" s="24" t="s">
        <v>583</v>
      </c>
      <c r="I1037" s="24" t="s">
        <v>569</v>
      </c>
      <c r="J1037" s="24" t="s">
        <v>593</v>
      </c>
      <c r="K1037" s="24" t="s">
        <v>582</v>
      </c>
    </row>
    <row r="1038" spans="1:11">
      <c r="A1038" s="12">
        <v>2014</v>
      </c>
      <c r="B1038" s="15" t="s">
        <v>440</v>
      </c>
      <c r="C1038" s="15" t="s">
        <v>482</v>
      </c>
      <c r="D1038" s="15" t="s">
        <v>483</v>
      </c>
      <c r="E1038" s="19">
        <v>92093</v>
      </c>
      <c r="F1038" s="19">
        <v>89503</v>
      </c>
      <c r="G1038" s="20">
        <f t="shared" si="16"/>
        <v>0.49286878565607173</v>
      </c>
      <c r="H1038" s="24" t="s">
        <v>583</v>
      </c>
      <c r="I1038" s="24" t="s">
        <v>569</v>
      </c>
      <c r="J1038" s="24" t="s">
        <v>593</v>
      </c>
      <c r="K1038" s="24" t="s">
        <v>582</v>
      </c>
    </row>
    <row r="1039" spans="1:11">
      <c r="A1039" s="12">
        <v>2014</v>
      </c>
      <c r="B1039" s="15" t="s">
        <v>440</v>
      </c>
      <c r="C1039" s="15" t="s">
        <v>484</v>
      </c>
      <c r="D1039" s="15" t="s">
        <v>485</v>
      </c>
      <c r="E1039" s="19">
        <v>203226</v>
      </c>
      <c r="F1039" s="19">
        <v>164188</v>
      </c>
      <c r="G1039" s="20">
        <f t="shared" si="16"/>
        <v>0.44687464277354699</v>
      </c>
      <c r="H1039" s="24" t="s">
        <v>583</v>
      </c>
      <c r="I1039" s="24" t="s">
        <v>584</v>
      </c>
      <c r="J1039" s="24" t="s">
        <v>585</v>
      </c>
      <c r="K1039" s="24" t="s">
        <v>582</v>
      </c>
    </row>
    <row r="1040" spans="1:11">
      <c r="A1040" s="12">
        <v>2014</v>
      </c>
      <c r="B1040" s="15" t="s">
        <v>440</v>
      </c>
      <c r="C1040" s="15" t="s">
        <v>486</v>
      </c>
      <c r="D1040" s="15" t="s">
        <v>487</v>
      </c>
      <c r="E1040" s="19">
        <v>232199</v>
      </c>
      <c r="F1040" s="19">
        <v>150456</v>
      </c>
      <c r="G1040" s="20">
        <f t="shared" si="16"/>
        <v>0.39318968783891495</v>
      </c>
      <c r="H1040" s="24" t="s">
        <v>583</v>
      </c>
      <c r="I1040" s="24" t="s">
        <v>584</v>
      </c>
      <c r="J1040" s="24" t="s">
        <v>585</v>
      </c>
      <c r="K1040" s="24" t="s">
        <v>582</v>
      </c>
    </row>
    <row r="1041" spans="1:11">
      <c r="A1041" s="12">
        <v>2014</v>
      </c>
      <c r="B1041" s="15" t="s">
        <v>488</v>
      </c>
      <c r="C1041" s="15" t="s">
        <v>22</v>
      </c>
      <c r="D1041" s="15" t="s">
        <v>488</v>
      </c>
      <c r="E1041" s="19">
        <v>3031136</v>
      </c>
      <c r="F1041" s="19">
        <v>917809</v>
      </c>
      <c r="G1041" s="20">
        <f t="shared" si="16"/>
        <v>0.23241878527049631</v>
      </c>
      <c r="H1041" s="24" t="s">
        <v>583</v>
      </c>
      <c r="I1041" s="24" t="s">
        <v>569</v>
      </c>
      <c r="J1041" s="24" t="s">
        <v>593</v>
      </c>
      <c r="K1041" s="24" t="s">
        <v>582</v>
      </c>
    </row>
    <row r="1042" spans="1:11">
      <c r="A1042" s="12">
        <v>2014</v>
      </c>
      <c r="B1042" s="15" t="s">
        <v>488</v>
      </c>
      <c r="C1042" s="15" t="s">
        <v>489</v>
      </c>
      <c r="D1042" s="15" t="s">
        <v>490</v>
      </c>
      <c r="E1042" s="19">
        <v>223209</v>
      </c>
      <c r="F1042" s="19">
        <v>110788</v>
      </c>
      <c r="G1042" s="20">
        <f t="shared" si="16"/>
        <v>0.33170357817585189</v>
      </c>
      <c r="H1042" s="24" t="s">
        <v>583</v>
      </c>
      <c r="I1042" s="24" t="s">
        <v>569</v>
      </c>
      <c r="J1042" s="24" t="s">
        <v>593</v>
      </c>
      <c r="K1042" s="24" t="s">
        <v>582</v>
      </c>
    </row>
    <row r="1043" spans="1:11">
      <c r="A1043" s="12">
        <v>2014</v>
      </c>
      <c r="B1043" s="15" t="s">
        <v>488</v>
      </c>
      <c r="C1043" s="15" t="s">
        <v>491</v>
      </c>
      <c r="D1043" s="15" t="s">
        <v>492</v>
      </c>
      <c r="E1043" s="19">
        <v>54575</v>
      </c>
      <c r="F1043" s="19">
        <v>33602</v>
      </c>
      <c r="G1043" s="20">
        <f t="shared" si="16"/>
        <v>0.38107442983998097</v>
      </c>
      <c r="H1043" s="24" t="s">
        <v>583</v>
      </c>
      <c r="I1043" s="24" t="s">
        <v>569</v>
      </c>
      <c r="J1043" s="24" t="s">
        <v>593</v>
      </c>
      <c r="K1043" s="24" t="s">
        <v>582</v>
      </c>
    </row>
    <row r="1044" spans="1:11">
      <c r="A1044" s="12">
        <v>2014</v>
      </c>
      <c r="B1044" s="15" t="s">
        <v>488</v>
      </c>
      <c r="C1044" s="15" t="s">
        <v>260</v>
      </c>
      <c r="D1044" s="15" t="s">
        <v>493</v>
      </c>
      <c r="E1044" s="19">
        <v>43543</v>
      </c>
      <c r="F1044" s="19">
        <v>40358</v>
      </c>
      <c r="G1044" s="20">
        <f t="shared" si="16"/>
        <v>0.48101929655188852</v>
      </c>
      <c r="H1044" s="24" t="s">
        <v>583</v>
      </c>
      <c r="I1044" s="24" t="s">
        <v>569</v>
      </c>
      <c r="J1044" s="24" t="s">
        <v>593</v>
      </c>
      <c r="K1044" s="24" t="s">
        <v>582</v>
      </c>
    </row>
    <row r="1045" spans="1:11">
      <c r="A1045" s="12">
        <v>2014</v>
      </c>
      <c r="B1045" s="15" t="s">
        <v>488</v>
      </c>
      <c r="C1045" s="15" t="s">
        <v>494</v>
      </c>
      <c r="D1045" s="15" t="s">
        <v>495</v>
      </c>
      <c r="E1045" s="19">
        <v>463415</v>
      </c>
      <c r="F1045" s="19">
        <v>238891</v>
      </c>
      <c r="G1045" s="20">
        <f t="shared" si="16"/>
        <v>0.34015229828593235</v>
      </c>
      <c r="H1045" s="24" t="s">
        <v>583</v>
      </c>
      <c r="I1045" s="24" t="s">
        <v>569</v>
      </c>
      <c r="J1045" s="24" t="s">
        <v>593</v>
      </c>
      <c r="K1045" s="24" t="s">
        <v>582</v>
      </c>
    </row>
    <row r="1046" spans="1:11">
      <c r="A1046" s="12">
        <v>2014</v>
      </c>
      <c r="B1046" s="15" t="s">
        <v>488</v>
      </c>
      <c r="C1046" s="15" t="s">
        <v>496</v>
      </c>
      <c r="D1046" s="15" t="s">
        <v>497</v>
      </c>
      <c r="E1046" s="19">
        <v>37111</v>
      </c>
      <c r="F1046" s="19">
        <v>33150</v>
      </c>
      <c r="G1046" s="20">
        <f t="shared" si="16"/>
        <v>0.47181224292281637</v>
      </c>
      <c r="H1046" s="24" t="s">
        <v>583</v>
      </c>
      <c r="I1046" s="24" t="s">
        <v>569</v>
      </c>
      <c r="J1046" s="24" t="s">
        <v>593</v>
      </c>
      <c r="K1046" s="24" t="s">
        <v>582</v>
      </c>
    </row>
    <row r="1047" spans="1:11">
      <c r="A1047" s="12">
        <v>2014</v>
      </c>
      <c r="B1047" s="15" t="s">
        <v>488</v>
      </c>
      <c r="C1047" s="15" t="s">
        <v>498</v>
      </c>
      <c r="D1047" s="15" t="s">
        <v>499</v>
      </c>
      <c r="E1047" s="19">
        <v>89886</v>
      </c>
      <c r="F1047" s="19">
        <v>59309</v>
      </c>
      <c r="G1047" s="20">
        <f t="shared" si="16"/>
        <v>0.39752672676698281</v>
      </c>
      <c r="H1047" s="24" t="s">
        <v>583</v>
      </c>
      <c r="I1047" s="24" t="s">
        <v>569</v>
      </c>
      <c r="J1047" s="24" t="s">
        <v>593</v>
      </c>
      <c r="K1047" s="24" t="s">
        <v>582</v>
      </c>
    </row>
    <row r="1048" spans="1:11">
      <c r="A1048" s="12">
        <v>2014</v>
      </c>
      <c r="B1048" s="15" t="s">
        <v>488</v>
      </c>
      <c r="C1048" s="15" t="s">
        <v>500</v>
      </c>
      <c r="D1048" s="15" t="s">
        <v>501</v>
      </c>
      <c r="E1048" s="19">
        <v>97629</v>
      </c>
      <c r="F1048" s="19">
        <v>70379</v>
      </c>
      <c r="G1048" s="20">
        <f t="shared" si="16"/>
        <v>0.4189026713013666</v>
      </c>
      <c r="H1048" s="24" t="s">
        <v>583</v>
      </c>
      <c r="I1048" s="24" t="s">
        <v>569</v>
      </c>
      <c r="J1048" s="24" t="s">
        <v>593</v>
      </c>
      <c r="K1048" s="24" t="s">
        <v>582</v>
      </c>
    </row>
    <row r="1049" spans="1:11">
      <c r="A1049" s="12">
        <v>2014</v>
      </c>
      <c r="B1049" s="15" t="s">
        <v>488</v>
      </c>
      <c r="C1049" s="15" t="s">
        <v>502</v>
      </c>
      <c r="D1049" s="15" t="s">
        <v>503</v>
      </c>
      <c r="E1049" s="19">
        <v>25742</v>
      </c>
      <c r="F1049" s="19">
        <v>29434</v>
      </c>
      <c r="G1049" s="20">
        <f t="shared" si="16"/>
        <v>0.53345657532260404</v>
      </c>
      <c r="H1049" s="24" t="s">
        <v>583</v>
      </c>
      <c r="I1049" s="24" t="s">
        <v>569</v>
      </c>
      <c r="J1049" s="24" t="s">
        <v>593</v>
      </c>
      <c r="K1049" s="24" t="s">
        <v>582</v>
      </c>
    </row>
    <row r="1050" spans="1:11">
      <c r="A1050" s="12">
        <v>2014</v>
      </c>
      <c r="B1050" s="15" t="s">
        <v>488</v>
      </c>
      <c r="C1050" s="15" t="s">
        <v>504</v>
      </c>
      <c r="D1050" s="15" t="s">
        <v>505</v>
      </c>
      <c r="E1050" s="19">
        <v>246539</v>
      </c>
      <c r="F1050" s="19">
        <v>148531</v>
      </c>
      <c r="G1050" s="20">
        <f t="shared" si="16"/>
        <v>0.37596122206191307</v>
      </c>
      <c r="H1050" s="24" t="s">
        <v>583</v>
      </c>
      <c r="I1050" s="24" t="s">
        <v>569</v>
      </c>
      <c r="J1050" s="24" t="s">
        <v>593</v>
      </c>
      <c r="K1050" s="24" t="s">
        <v>582</v>
      </c>
    </row>
    <row r="1051" spans="1:11">
      <c r="A1051" s="12">
        <v>2014</v>
      </c>
      <c r="B1051" s="15" t="s">
        <v>488</v>
      </c>
      <c r="C1051" s="15" t="s">
        <v>506</v>
      </c>
      <c r="D1051" s="15" t="s">
        <v>507</v>
      </c>
      <c r="E1051" s="19">
        <v>21472</v>
      </c>
      <c r="F1051" s="19">
        <v>23886</v>
      </c>
      <c r="G1051" s="20">
        <f t="shared" si="16"/>
        <v>0.52661052074606463</v>
      </c>
      <c r="H1051" s="24" t="s">
        <v>583</v>
      </c>
      <c r="I1051" s="24" t="s">
        <v>569</v>
      </c>
      <c r="J1051" s="24" t="s">
        <v>593</v>
      </c>
      <c r="K1051" s="24" t="s">
        <v>582</v>
      </c>
    </row>
    <row r="1052" spans="1:11">
      <c r="A1052" s="12">
        <v>2014</v>
      </c>
      <c r="B1052" s="15" t="s">
        <v>488</v>
      </c>
      <c r="C1052" s="15" t="s">
        <v>508</v>
      </c>
      <c r="D1052" s="15" t="s">
        <v>509</v>
      </c>
      <c r="E1052" s="19">
        <v>301805</v>
      </c>
      <c r="F1052" s="19">
        <v>93149</v>
      </c>
      <c r="G1052" s="20">
        <f t="shared" si="16"/>
        <v>0.23584771897486795</v>
      </c>
      <c r="H1052" s="24" t="s">
        <v>583</v>
      </c>
      <c r="I1052" s="24" t="s">
        <v>569</v>
      </c>
      <c r="J1052" s="24" t="s">
        <v>593</v>
      </c>
      <c r="K1052" s="24" t="s">
        <v>582</v>
      </c>
    </row>
    <row r="1053" spans="1:11">
      <c r="A1053" s="12">
        <v>2014</v>
      </c>
      <c r="B1053" s="15" t="s">
        <v>488</v>
      </c>
      <c r="C1053" s="15" t="s">
        <v>510</v>
      </c>
      <c r="D1053" s="15" t="s">
        <v>511</v>
      </c>
      <c r="E1053" s="19">
        <v>49809</v>
      </c>
      <c r="F1053" s="19">
        <v>46243</v>
      </c>
      <c r="G1053" s="20">
        <f t="shared" si="16"/>
        <v>0.48143713821679923</v>
      </c>
      <c r="H1053" s="24" t="s">
        <v>583</v>
      </c>
      <c r="I1053" s="24" t="s">
        <v>569</v>
      </c>
      <c r="J1053" s="24" t="s">
        <v>593</v>
      </c>
      <c r="K1053" s="24" t="s">
        <v>582</v>
      </c>
    </row>
    <row r="1054" spans="1:11">
      <c r="A1054" s="12">
        <v>2014</v>
      </c>
      <c r="B1054" s="15" t="s">
        <v>488</v>
      </c>
      <c r="C1054" s="15" t="s">
        <v>512</v>
      </c>
      <c r="D1054" s="15" t="s">
        <v>513</v>
      </c>
      <c r="E1054" s="19">
        <v>149023</v>
      </c>
      <c r="F1054" s="19">
        <v>113185</v>
      </c>
      <c r="G1054" s="20">
        <f t="shared" si="16"/>
        <v>0.43166112399316575</v>
      </c>
      <c r="H1054" s="24" t="s">
        <v>583</v>
      </c>
      <c r="I1054" s="24" t="s">
        <v>569</v>
      </c>
      <c r="J1054" s="24" t="s">
        <v>593</v>
      </c>
      <c r="K1054" s="24" t="s">
        <v>582</v>
      </c>
    </row>
    <row r="1055" spans="1:11">
      <c r="A1055" s="12">
        <v>2014</v>
      </c>
      <c r="B1055" s="15" t="s">
        <v>488</v>
      </c>
      <c r="C1055" s="15" t="s">
        <v>514</v>
      </c>
      <c r="D1055" s="15" t="s">
        <v>515</v>
      </c>
      <c r="E1055" s="19">
        <v>174932</v>
      </c>
      <c r="F1055" s="19">
        <v>135868</v>
      </c>
      <c r="G1055" s="20">
        <f t="shared" si="16"/>
        <v>0.43715572715572715</v>
      </c>
      <c r="H1055" s="24" t="s">
        <v>583</v>
      </c>
      <c r="I1055" s="24" t="s">
        <v>569</v>
      </c>
      <c r="J1055" s="24" t="s">
        <v>593</v>
      </c>
      <c r="K1055" s="24" t="s">
        <v>582</v>
      </c>
    </row>
    <row r="1056" spans="1:11">
      <c r="A1056" s="12">
        <v>2014</v>
      </c>
      <c r="B1056" s="15" t="s">
        <v>488</v>
      </c>
      <c r="C1056" s="15" t="s">
        <v>516</v>
      </c>
      <c r="D1056" s="15" t="s">
        <v>517</v>
      </c>
      <c r="E1056" s="19">
        <v>196919</v>
      </c>
      <c r="F1056" s="19">
        <v>149833</v>
      </c>
      <c r="G1056" s="20">
        <f t="shared" si="16"/>
        <v>0.43210421280915468</v>
      </c>
      <c r="H1056" s="24" t="s">
        <v>583</v>
      </c>
      <c r="I1056" s="24" t="s">
        <v>569</v>
      </c>
      <c r="J1056" s="24" t="s">
        <v>593</v>
      </c>
      <c r="K1056" s="24" t="s">
        <v>582</v>
      </c>
    </row>
    <row r="1057" spans="1:11">
      <c r="A1057" s="12">
        <v>2014</v>
      </c>
      <c r="B1057" s="15" t="s">
        <v>488</v>
      </c>
      <c r="C1057" s="15" t="s">
        <v>518</v>
      </c>
      <c r="D1057" s="15" t="s">
        <v>519</v>
      </c>
      <c r="E1057" s="19">
        <v>201300</v>
      </c>
      <c r="F1057" s="19">
        <v>178681</v>
      </c>
      <c r="G1057" s="20">
        <f t="shared" si="16"/>
        <v>0.47023666972822326</v>
      </c>
      <c r="H1057" s="24" t="s">
        <v>583</v>
      </c>
      <c r="I1057" s="24" t="s">
        <v>569</v>
      </c>
      <c r="J1057" s="24" t="s">
        <v>593</v>
      </c>
      <c r="K1057" s="24" t="s">
        <v>582</v>
      </c>
    </row>
    <row r="1058" spans="1:11">
      <c r="A1058" s="12">
        <v>2014</v>
      </c>
      <c r="B1058" s="15" t="s">
        <v>488</v>
      </c>
      <c r="C1058" s="15" t="s">
        <v>520</v>
      </c>
      <c r="D1058" s="15" t="s">
        <v>521</v>
      </c>
      <c r="E1058" s="19">
        <v>154931</v>
      </c>
      <c r="F1058" s="19">
        <v>104511</v>
      </c>
      <c r="G1058" s="20">
        <f t="shared" si="16"/>
        <v>0.40282991959667286</v>
      </c>
      <c r="H1058" s="24" t="s">
        <v>583</v>
      </c>
      <c r="I1058" s="24" t="s">
        <v>569</v>
      </c>
      <c r="J1058" s="24" t="s">
        <v>593</v>
      </c>
      <c r="K1058" s="24" t="s">
        <v>582</v>
      </c>
    </row>
    <row r="1059" spans="1:11">
      <c r="A1059" s="12">
        <v>2014</v>
      </c>
      <c r="B1059" s="15" t="s">
        <v>488</v>
      </c>
      <c r="C1059" s="15" t="s">
        <v>522</v>
      </c>
      <c r="D1059" s="15" t="s">
        <v>523</v>
      </c>
      <c r="E1059" s="19">
        <v>123546</v>
      </c>
      <c r="F1059" s="19">
        <v>60342</v>
      </c>
      <c r="G1059" s="20">
        <f t="shared" si="16"/>
        <v>0.32814539284782041</v>
      </c>
      <c r="H1059" s="24" t="s">
        <v>583</v>
      </c>
      <c r="I1059" s="24" t="s">
        <v>569</v>
      </c>
      <c r="J1059" s="24" t="s">
        <v>593</v>
      </c>
      <c r="K1059" s="24" t="s">
        <v>582</v>
      </c>
    </row>
    <row r="1060" spans="1:11">
      <c r="A1060" s="12">
        <v>2014</v>
      </c>
      <c r="B1060" s="15" t="s">
        <v>488</v>
      </c>
      <c r="C1060" s="15" t="s">
        <v>524</v>
      </c>
      <c r="D1060" s="15" t="s">
        <v>525</v>
      </c>
      <c r="E1060" s="19">
        <v>36869</v>
      </c>
      <c r="F1060" s="19">
        <v>36649</v>
      </c>
      <c r="G1060" s="20">
        <f t="shared" si="16"/>
        <v>0.49850376778476019</v>
      </c>
      <c r="H1060" s="24" t="s">
        <v>583</v>
      </c>
      <c r="I1060" s="24" t="s">
        <v>569</v>
      </c>
      <c r="J1060" s="24" t="s">
        <v>593</v>
      </c>
      <c r="K1060" s="24" t="s">
        <v>582</v>
      </c>
    </row>
    <row r="1061" spans="1:11">
      <c r="A1061" s="12">
        <v>2014</v>
      </c>
      <c r="B1061" s="15" t="s">
        <v>488</v>
      </c>
      <c r="C1061" s="15" t="s">
        <v>526</v>
      </c>
      <c r="D1061" s="15" t="s">
        <v>527</v>
      </c>
      <c r="E1061" s="19">
        <v>48552</v>
      </c>
      <c r="F1061" s="19">
        <v>54768</v>
      </c>
      <c r="G1061" s="20">
        <f t="shared" si="16"/>
        <v>0.53008130081300808</v>
      </c>
      <c r="H1061" s="24" t="s">
        <v>583</v>
      </c>
      <c r="I1061" s="24" t="s">
        <v>569</v>
      </c>
      <c r="J1061" s="24" t="s">
        <v>593</v>
      </c>
      <c r="K1061" s="24" t="s">
        <v>582</v>
      </c>
    </row>
    <row r="1062" spans="1:11">
      <c r="A1062" s="12">
        <v>2014</v>
      </c>
      <c r="B1062" s="15" t="s">
        <v>488</v>
      </c>
      <c r="C1062" s="15" t="s">
        <v>528</v>
      </c>
      <c r="D1062" s="15" t="s">
        <v>529</v>
      </c>
      <c r="E1062" s="19">
        <v>33510</v>
      </c>
      <c r="F1062" s="19">
        <v>29384</v>
      </c>
      <c r="G1062" s="20">
        <f t="shared" si="16"/>
        <v>0.46719877889782807</v>
      </c>
      <c r="H1062" s="24" t="s">
        <v>583</v>
      </c>
      <c r="I1062" s="24" t="s">
        <v>569</v>
      </c>
      <c r="J1062" s="24" t="s">
        <v>593</v>
      </c>
      <c r="K1062" s="24" t="s">
        <v>582</v>
      </c>
    </row>
    <row r="1063" spans="1:11">
      <c r="A1063" s="12">
        <v>2014</v>
      </c>
      <c r="B1063" s="15" t="s">
        <v>488</v>
      </c>
      <c r="C1063" s="15" t="s">
        <v>530</v>
      </c>
      <c r="D1063" s="15" t="s">
        <v>531</v>
      </c>
      <c r="E1063" s="19">
        <v>37500</v>
      </c>
      <c r="F1063" s="19">
        <v>37008</v>
      </c>
      <c r="G1063" s="20">
        <f t="shared" si="16"/>
        <v>0.49669834111773231</v>
      </c>
      <c r="H1063" s="24" t="s">
        <v>583</v>
      </c>
      <c r="I1063" s="24" t="s">
        <v>569</v>
      </c>
      <c r="J1063" s="24" t="s">
        <v>593</v>
      </c>
      <c r="K1063" s="24" t="s">
        <v>582</v>
      </c>
    </row>
    <row r="1064" spans="1:11">
      <c r="A1064" s="12">
        <v>2014</v>
      </c>
      <c r="B1064" s="15" t="s">
        <v>532</v>
      </c>
      <c r="C1064" s="15" t="s">
        <v>22</v>
      </c>
      <c r="D1064" s="15" t="s">
        <v>532</v>
      </c>
      <c r="E1064" s="19">
        <v>549340</v>
      </c>
      <c r="F1064" s="19">
        <v>98044</v>
      </c>
      <c r="G1064" s="20">
        <f t="shared" si="16"/>
        <v>0.1514464367361566</v>
      </c>
      <c r="H1064" s="24" t="s">
        <v>586</v>
      </c>
      <c r="I1064" s="24" t="s">
        <v>587</v>
      </c>
      <c r="J1064" s="24" t="s">
        <v>588</v>
      </c>
      <c r="K1064" s="24" t="s">
        <v>582</v>
      </c>
    </row>
    <row r="1065" spans="1:11">
      <c r="A1065" s="12">
        <v>2014</v>
      </c>
      <c r="B1065" s="15" t="s">
        <v>532</v>
      </c>
      <c r="C1065" s="15" t="s">
        <v>533</v>
      </c>
      <c r="D1065" s="15" t="s">
        <v>534</v>
      </c>
      <c r="E1065" s="19">
        <v>129765</v>
      </c>
      <c r="F1065" s="19">
        <v>94023</v>
      </c>
      <c r="G1065" s="20">
        <f t="shared" si="16"/>
        <v>0.42014317121561479</v>
      </c>
      <c r="H1065" s="24" t="s">
        <v>586</v>
      </c>
      <c r="I1065" s="24" t="s">
        <v>587</v>
      </c>
      <c r="J1065" s="24" t="s">
        <v>588</v>
      </c>
      <c r="K1065" s="24" t="s">
        <v>582</v>
      </c>
    </row>
    <row r="1066" spans="1:11">
      <c r="A1066" s="12">
        <v>2014</v>
      </c>
      <c r="B1066" s="15" t="s">
        <v>532</v>
      </c>
      <c r="C1066" s="15" t="s">
        <v>535</v>
      </c>
      <c r="D1066" s="15" t="s">
        <v>536</v>
      </c>
      <c r="E1066" s="19">
        <v>404442</v>
      </c>
      <c r="F1066" s="19">
        <v>87144</v>
      </c>
      <c r="G1066" s="20">
        <f t="shared" si="16"/>
        <v>0.17727111838010032</v>
      </c>
      <c r="H1066" s="24" t="s">
        <v>586</v>
      </c>
      <c r="I1066" s="24" t="s">
        <v>587</v>
      </c>
      <c r="J1066" s="24" t="s">
        <v>588</v>
      </c>
      <c r="K1066" s="24" t="s">
        <v>582</v>
      </c>
    </row>
    <row r="1067" spans="1:11">
      <c r="A1067" s="12">
        <v>2015</v>
      </c>
      <c r="B1067" s="15" t="s">
        <v>21</v>
      </c>
      <c r="C1067" s="15" t="s">
        <v>22</v>
      </c>
      <c r="D1067" s="15" t="s">
        <v>21</v>
      </c>
      <c r="E1067" s="19">
        <v>8947749</v>
      </c>
      <c r="F1067" s="19">
        <v>2187476</v>
      </c>
      <c r="G1067" s="20">
        <f t="shared" si="16"/>
        <v>0.1964465019790799</v>
      </c>
      <c r="H1067" s="24" t="s">
        <v>579</v>
      </c>
      <c r="I1067" s="24" t="s">
        <v>580</v>
      </c>
      <c r="J1067" s="24" t="s">
        <v>581</v>
      </c>
      <c r="K1067" s="24" t="s">
        <v>594</v>
      </c>
    </row>
    <row r="1068" spans="1:11">
      <c r="A1068" s="12">
        <v>2015</v>
      </c>
      <c r="B1068" s="15" t="s">
        <v>21</v>
      </c>
      <c r="C1068" s="15" t="s">
        <v>23</v>
      </c>
      <c r="D1068" s="15" t="s">
        <v>24</v>
      </c>
      <c r="E1068" s="19">
        <v>448569</v>
      </c>
      <c r="F1068" s="19">
        <v>380735</v>
      </c>
      <c r="G1068" s="20">
        <f t="shared" si="16"/>
        <v>0.45910184926154946</v>
      </c>
      <c r="H1068" s="24" t="s">
        <v>579</v>
      </c>
      <c r="I1068" s="24" t="s">
        <v>580</v>
      </c>
      <c r="J1068" s="24" t="s">
        <v>581</v>
      </c>
      <c r="K1068" s="24" t="s">
        <v>594</v>
      </c>
    </row>
    <row r="1069" spans="1:11">
      <c r="A1069" s="12">
        <v>2015</v>
      </c>
      <c r="B1069" s="15" t="s">
        <v>21</v>
      </c>
      <c r="C1069" s="15" t="s">
        <v>25</v>
      </c>
      <c r="D1069" s="15" t="s">
        <v>26</v>
      </c>
      <c r="E1069" s="19">
        <v>374103</v>
      </c>
      <c r="F1069" s="19">
        <v>246824</v>
      </c>
      <c r="G1069" s="20">
        <f t="shared" si="16"/>
        <v>0.39750888590768318</v>
      </c>
      <c r="H1069" s="24" t="s">
        <v>579</v>
      </c>
      <c r="I1069" s="24" t="s">
        <v>580</v>
      </c>
      <c r="J1069" s="24" t="s">
        <v>581</v>
      </c>
      <c r="K1069" s="24" t="s">
        <v>594</v>
      </c>
    </row>
    <row r="1070" spans="1:11">
      <c r="A1070" s="12">
        <v>2015</v>
      </c>
      <c r="B1070" s="15" t="s">
        <v>21</v>
      </c>
      <c r="C1070" s="15" t="s">
        <v>27</v>
      </c>
      <c r="D1070" s="15" t="s">
        <v>28</v>
      </c>
      <c r="E1070" s="19">
        <v>252894</v>
      </c>
      <c r="F1070" s="19">
        <v>219921</v>
      </c>
      <c r="G1070" s="20">
        <f t="shared" si="16"/>
        <v>0.4651311823863456</v>
      </c>
      <c r="H1070" s="24" t="s">
        <v>579</v>
      </c>
      <c r="I1070" s="24" t="s">
        <v>580</v>
      </c>
      <c r="J1070" s="24" t="s">
        <v>581</v>
      </c>
      <c r="K1070" s="24" t="s">
        <v>594</v>
      </c>
    </row>
    <row r="1071" spans="1:11">
      <c r="A1071" s="12">
        <v>2015</v>
      </c>
      <c r="B1071" s="15" t="s">
        <v>21</v>
      </c>
      <c r="C1071" s="15" t="s">
        <v>29</v>
      </c>
      <c r="D1071" s="15" t="s">
        <v>30</v>
      </c>
      <c r="E1071" s="19">
        <v>461007</v>
      </c>
      <c r="F1071" s="19">
        <v>386839</v>
      </c>
      <c r="G1071" s="20">
        <f t="shared" si="16"/>
        <v>0.45626092474340857</v>
      </c>
      <c r="H1071" s="24" t="s">
        <v>579</v>
      </c>
      <c r="I1071" s="24" t="s">
        <v>580</v>
      </c>
      <c r="J1071" s="24" t="s">
        <v>581</v>
      </c>
      <c r="K1071" s="24" t="s">
        <v>594</v>
      </c>
    </row>
    <row r="1072" spans="1:11">
      <c r="A1072" s="12">
        <v>2015</v>
      </c>
      <c r="B1072" s="15" t="s">
        <v>21</v>
      </c>
      <c r="C1072" s="15" t="s">
        <v>31</v>
      </c>
      <c r="D1072" s="15" t="s">
        <v>32</v>
      </c>
      <c r="E1072" s="19">
        <v>378114</v>
      </c>
      <c r="F1072" s="19">
        <v>351680</v>
      </c>
      <c r="G1072" s="20">
        <f t="shared" si="16"/>
        <v>0.48188940988826984</v>
      </c>
      <c r="H1072" s="24" t="s">
        <v>579</v>
      </c>
      <c r="I1072" s="24" t="s">
        <v>580</v>
      </c>
      <c r="J1072" s="24" t="s">
        <v>581</v>
      </c>
      <c r="K1072" s="24" t="s">
        <v>594</v>
      </c>
    </row>
    <row r="1073" spans="1:11">
      <c r="A1073" s="12">
        <v>2015</v>
      </c>
      <c r="B1073" s="15" t="s">
        <v>21</v>
      </c>
      <c r="C1073" s="15" t="s">
        <v>33</v>
      </c>
      <c r="D1073" s="15" t="s">
        <v>34</v>
      </c>
      <c r="E1073" s="19">
        <v>281191</v>
      </c>
      <c r="F1073" s="19">
        <v>228475</v>
      </c>
      <c r="G1073" s="20">
        <f t="shared" si="16"/>
        <v>0.44828377800363373</v>
      </c>
      <c r="H1073" s="24" t="s">
        <v>579</v>
      </c>
      <c r="I1073" s="24" t="s">
        <v>580</v>
      </c>
      <c r="J1073" s="24" t="s">
        <v>581</v>
      </c>
      <c r="K1073" s="24" t="s">
        <v>594</v>
      </c>
    </row>
    <row r="1074" spans="1:11">
      <c r="A1074" s="12">
        <v>2015</v>
      </c>
      <c r="B1074" s="15" t="s">
        <v>21</v>
      </c>
      <c r="C1074" s="15" t="s">
        <v>35</v>
      </c>
      <c r="D1074" s="15" t="s">
        <v>36</v>
      </c>
      <c r="E1074" s="19">
        <v>335489</v>
      </c>
      <c r="F1074" s="19">
        <v>284370</v>
      </c>
      <c r="G1074" s="20">
        <f t="shared" si="16"/>
        <v>0.45876562250447278</v>
      </c>
      <c r="H1074" s="24" t="s">
        <v>579</v>
      </c>
      <c r="I1074" s="24" t="s">
        <v>580</v>
      </c>
      <c r="J1074" s="24" t="s">
        <v>581</v>
      </c>
      <c r="K1074" s="24" t="s">
        <v>594</v>
      </c>
    </row>
    <row r="1075" spans="1:11">
      <c r="A1075" s="12">
        <v>2015</v>
      </c>
      <c r="B1075" s="15" t="s">
        <v>21</v>
      </c>
      <c r="C1075" s="15" t="s">
        <v>37</v>
      </c>
      <c r="D1075" s="15" t="s">
        <v>38</v>
      </c>
      <c r="E1075" s="19">
        <v>181557</v>
      </c>
      <c r="F1075" s="19">
        <v>165274</v>
      </c>
      <c r="G1075" s="20">
        <f t="shared" si="16"/>
        <v>0.47652603141011041</v>
      </c>
      <c r="H1075" s="24" t="s">
        <v>579</v>
      </c>
      <c r="I1075" s="24" t="s">
        <v>580</v>
      </c>
      <c r="J1075" s="24" t="s">
        <v>581</v>
      </c>
      <c r="K1075" s="24" t="s">
        <v>594</v>
      </c>
    </row>
    <row r="1076" spans="1:11">
      <c r="A1076" s="12">
        <v>2015</v>
      </c>
      <c r="B1076" s="15" t="s">
        <v>21</v>
      </c>
      <c r="C1076" s="15" t="s">
        <v>39</v>
      </c>
      <c r="D1076" s="15" t="s">
        <v>40</v>
      </c>
      <c r="E1076" s="19">
        <v>459200</v>
      </c>
      <c r="F1076" s="19">
        <v>331311</v>
      </c>
      <c r="G1076" s="20">
        <f t="shared" si="16"/>
        <v>0.4191099175090543</v>
      </c>
      <c r="H1076" s="24" t="s">
        <v>579</v>
      </c>
      <c r="I1076" s="24" t="s">
        <v>580</v>
      </c>
      <c r="J1076" s="24" t="s">
        <v>581</v>
      </c>
      <c r="K1076" s="24" t="s">
        <v>594</v>
      </c>
    </row>
    <row r="1077" spans="1:11">
      <c r="A1077" s="12">
        <v>2015</v>
      </c>
      <c r="B1077" s="15" t="s">
        <v>21</v>
      </c>
      <c r="C1077" s="15" t="s">
        <v>41</v>
      </c>
      <c r="D1077" s="15" t="s">
        <v>42</v>
      </c>
      <c r="E1077" s="19">
        <v>266317</v>
      </c>
      <c r="F1077" s="19">
        <v>240943</v>
      </c>
      <c r="G1077" s="20">
        <f t="shared" si="16"/>
        <v>0.47498915743405751</v>
      </c>
      <c r="H1077" s="24" t="s">
        <v>579</v>
      </c>
      <c r="I1077" s="24" t="s">
        <v>580</v>
      </c>
      <c r="J1077" s="24" t="s">
        <v>581</v>
      </c>
      <c r="K1077" s="24" t="s">
        <v>594</v>
      </c>
    </row>
    <row r="1078" spans="1:11">
      <c r="A1078" s="12">
        <v>2015</v>
      </c>
      <c r="B1078" s="15" t="s">
        <v>21</v>
      </c>
      <c r="C1078" s="15" t="s">
        <v>43</v>
      </c>
      <c r="D1078" s="15" t="s">
        <v>44</v>
      </c>
      <c r="E1078" s="19">
        <v>276020</v>
      </c>
      <c r="F1078" s="19">
        <v>221881</v>
      </c>
      <c r="G1078" s="20">
        <f t="shared" si="16"/>
        <v>0.44563276635315052</v>
      </c>
      <c r="H1078" s="24" t="s">
        <v>579</v>
      </c>
      <c r="I1078" s="24" t="s">
        <v>580</v>
      </c>
      <c r="J1078" s="24" t="s">
        <v>581</v>
      </c>
      <c r="K1078" s="24" t="s">
        <v>594</v>
      </c>
    </row>
    <row r="1079" spans="1:11">
      <c r="A1079" s="12">
        <v>2015</v>
      </c>
      <c r="B1079" s="15" t="s">
        <v>21</v>
      </c>
      <c r="C1079" s="15" t="s">
        <v>45</v>
      </c>
      <c r="D1079" s="15" t="s">
        <v>46</v>
      </c>
      <c r="E1079" s="19">
        <v>292778</v>
      </c>
      <c r="F1079" s="19">
        <v>285115</v>
      </c>
      <c r="G1079" s="20">
        <f t="shared" si="16"/>
        <v>0.49336987989126013</v>
      </c>
      <c r="H1079" s="24" t="s">
        <v>579</v>
      </c>
      <c r="I1079" s="24" t="s">
        <v>580</v>
      </c>
      <c r="J1079" s="24" t="s">
        <v>581</v>
      </c>
      <c r="K1079" s="24" t="s">
        <v>594</v>
      </c>
    </row>
    <row r="1080" spans="1:11">
      <c r="A1080" s="12">
        <v>2015</v>
      </c>
      <c r="B1080" s="15" t="s">
        <v>21</v>
      </c>
      <c r="C1080" s="15" t="s">
        <v>47</v>
      </c>
      <c r="D1080" s="15" t="s">
        <v>48</v>
      </c>
      <c r="E1080" s="19">
        <v>293192</v>
      </c>
      <c r="F1080" s="19">
        <v>275073</v>
      </c>
      <c r="G1080" s="20">
        <f t="shared" si="16"/>
        <v>0.48405761396531549</v>
      </c>
      <c r="H1080" s="24" t="s">
        <v>579</v>
      </c>
      <c r="I1080" s="24" t="s">
        <v>580</v>
      </c>
      <c r="J1080" s="24" t="s">
        <v>581</v>
      </c>
      <c r="K1080" s="24" t="s">
        <v>594</v>
      </c>
    </row>
    <row r="1081" spans="1:11">
      <c r="A1081" s="12">
        <v>2015</v>
      </c>
      <c r="B1081" s="15" t="s">
        <v>21</v>
      </c>
      <c r="C1081" s="15" t="s">
        <v>49</v>
      </c>
      <c r="D1081" s="15" t="s">
        <v>50</v>
      </c>
      <c r="E1081" s="19">
        <v>222927</v>
      </c>
      <c r="F1081" s="19">
        <v>224130</v>
      </c>
      <c r="G1081" s="20">
        <f t="shared" si="16"/>
        <v>0.50134546601440089</v>
      </c>
      <c r="H1081" s="24" t="s">
        <v>579</v>
      </c>
      <c r="I1081" s="24" t="s">
        <v>580</v>
      </c>
      <c r="J1081" s="24" t="s">
        <v>581</v>
      </c>
      <c r="K1081" s="24" t="s">
        <v>594</v>
      </c>
    </row>
    <row r="1082" spans="1:11">
      <c r="A1082" s="12">
        <v>2015</v>
      </c>
      <c r="B1082" s="15" t="s">
        <v>21</v>
      </c>
      <c r="C1082" s="15" t="s">
        <v>51</v>
      </c>
      <c r="D1082" s="15" t="s">
        <v>52</v>
      </c>
      <c r="E1082" s="19">
        <v>325964</v>
      </c>
      <c r="F1082" s="19">
        <v>331044</v>
      </c>
      <c r="G1082" s="20">
        <f t="shared" si="16"/>
        <v>0.5038660107639481</v>
      </c>
      <c r="H1082" s="24" t="s">
        <v>579</v>
      </c>
      <c r="I1082" s="24" t="s">
        <v>580</v>
      </c>
      <c r="J1082" s="24" t="s">
        <v>581</v>
      </c>
      <c r="K1082" s="24" t="s">
        <v>594</v>
      </c>
    </row>
    <row r="1083" spans="1:11">
      <c r="A1083" s="12">
        <v>2015</v>
      </c>
      <c r="B1083" s="15" t="s">
        <v>21</v>
      </c>
      <c r="C1083" s="15" t="s">
        <v>53</v>
      </c>
      <c r="D1083" s="15" t="s">
        <v>54</v>
      </c>
      <c r="E1083" s="19">
        <v>213952</v>
      </c>
      <c r="F1083" s="19">
        <v>210767</v>
      </c>
      <c r="G1083" s="20">
        <f t="shared" si="16"/>
        <v>0.49625046207021584</v>
      </c>
      <c r="H1083" s="24" t="s">
        <v>579</v>
      </c>
      <c r="I1083" s="24" t="s">
        <v>580</v>
      </c>
      <c r="J1083" s="24" t="s">
        <v>581</v>
      </c>
      <c r="K1083" s="24" t="s">
        <v>594</v>
      </c>
    </row>
    <row r="1084" spans="1:11">
      <c r="A1084" s="12">
        <v>2015</v>
      </c>
      <c r="B1084" s="15" t="s">
        <v>21</v>
      </c>
      <c r="C1084" s="15" t="s">
        <v>55</v>
      </c>
      <c r="D1084" s="15" t="s">
        <v>56</v>
      </c>
      <c r="E1084" s="19">
        <v>343617</v>
      </c>
      <c r="F1084" s="19">
        <v>317095</v>
      </c>
      <c r="G1084" s="20">
        <f t="shared" si="16"/>
        <v>0.47992922786327474</v>
      </c>
      <c r="H1084" s="24" t="s">
        <v>579</v>
      </c>
      <c r="I1084" s="24" t="s">
        <v>580</v>
      </c>
      <c r="J1084" s="24" t="s">
        <v>581</v>
      </c>
      <c r="K1084" s="24" t="s">
        <v>594</v>
      </c>
    </row>
    <row r="1085" spans="1:11">
      <c r="A1085" s="12">
        <v>2015</v>
      </c>
      <c r="B1085" s="15" t="s">
        <v>21</v>
      </c>
      <c r="C1085" s="15" t="s">
        <v>57</v>
      </c>
      <c r="D1085" s="15" t="s">
        <v>58</v>
      </c>
      <c r="E1085" s="19">
        <v>523403</v>
      </c>
      <c r="F1085" s="19">
        <v>407256</v>
      </c>
      <c r="G1085" s="20">
        <f t="shared" si="16"/>
        <v>0.43759959340639265</v>
      </c>
      <c r="H1085" s="24" t="s">
        <v>579</v>
      </c>
      <c r="I1085" s="24" t="s">
        <v>580</v>
      </c>
      <c r="J1085" s="24" t="s">
        <v>581</v>
      </c>
      <c r="K1085" s="24" t="s">
        <v>594</v>
      </c>
    </row>
    <row r="1086" spans="1:11">
      <c r="A1086" s="12">
        <v>2015</v>
      </c>
      <c r="B1086" s="15" t="s">
        <v>21</v>
      </c>
      <c r="C1086" s="15" t="s">
        <v>59</v>
      </c>
      <c r="D1086" s="15" t="s">
        <v>60</v>
      </c>
      <c r="E1086" s="19">
        <v>372551</v>
      </c>
      <c r="F1086" s="19">
        <v>325828</v>
      </c>
      <c r="G1086" s="20">
        <f t="shared" si="16"/>
        <v>0.46654896553304154</v>
      </c>
      <c r="H1086" s="24" t="s">
        <v>579</v>
      </c>
      <c r="I1086" s="24" t="s">
        <v>580</v>
      </c>
      <c r="J1086" s="24" t="s">
        <v>581</v>
      </c>
      <c r="K1086" s="24" t="s">
        <v>594</v>
      </c>
    </row>
    <row r="1087" spans="1:11">
      <c r="A1087" s="12">
        <v>2015</v>
      </c>
      <c r="B1087" s="15" t="s">
        <v>21</v>
      </c>
      <c r="C1087" s="15" t="s">
        <v>61</v>
      </c>
      <c r="D1087" s="15" t="s">
        <v>62</v>
      </c>
      <c r="E1087" s="19">
        <v>299660</v>
      </c>
      <c r="F1087" s="19">
        <v>262967</v>
      </c>
      <c r="G1087" s="20">
        <f t="shared" si="16"/>
        <v>0.46739136230575495</v>
      </c>
      <c r="H1087" s="24" t="s">
        <v>579</v>
      </c>
      <c r="I1087" s="24" t="s">
        <v>580</v>
      </c>
      <c r="J1087" s="24" t="s">
        <v>581</v>
      </c>
      <c r="K1087" s="24" t="s">
        <v>594</v>
      </c>
    </row>
    <row r="1088" spans="1:11">
      <c r="A1088" s="12">
        <v>2015</v>
      </c>
      <c r="B1088" s="15" t="s">
        <v>21</v>
      </c>
      <c r="C1088" s="15" t="s">
        <v>63</v>
      </c>
      <c r="D1088" s="15" t="s">
        <v>64</v>
      </c>
      <c r="E1088" s="19">
        <v>152847</v>
      </c>
      <c r="F1088" s="19">
        <v>172720</v>
      </c>
      <c r="G1088" s="20">
        <f t="shared" si="16"/>
        <v>0.53052059944650409</v>
      </c>
      <c r="H1088" s="24" t="s">
        <v>579</v>
      </c>
      <c r="I1088" s="24" t="s">
        <v>580</v>
      </c>
      <c r="J1088" s="24" t="s">
        <v>581</v>
      </c>
      <c r="K1088" s="24" t="s">
        <v>594</v>
      </c>
    </row>
    <row r="1089" spans="1:11">
      <c r="A1089" s="12">
        <v>2015</v>
      </c>
      <c r="B1089" s="15" t="s">
        <v>21</v>
      </c>
      <c r="C1089" s="15" t="s">
        <v>65</v>
      </c>
      <c r="D1089" s="15" t="s">
        <v>66</v>
      </c>
      <c r="E1089" s="19">
        <v>388808</v>
      </c>
      <c r="F1089" s="19">
        <v>311087</v>
      </c>
      <c r="G1089" s="20">
        <f t="shared" si="16"/>
        <v>0.44447667150072512</v>
      </c>
      <c r="H1089" s="24" t="s">
        <v>579</v>
      </c>
      <c r="I1089" s="24" t="s">
        <v>580</v>
      </c>
      <c r="J1089" s="24" t="s">
        <v>581</v>
      </c>
      <c r="K1089" s="24" t="s">
        <v>594</v>
      </c>
    </row>
    <row r="1090" spans="1:11">
      <c r="A1090" s="12">
        <v>2015</v>
      </c>
      <c r="B1090" s="15" t="s">
        <v>21</v>
      </c>
      <c r="C1090" s="15" t="s">
        <v>67</v>
      </c>
      <c r="D1090" s="15" t="s">
        <v>68</v>
      </c>
      <c r="E1090" s="19">
        <v>108992</v>
      </c>
      <c r="F1090" s="19">
        <v>114164</v>
      </c>
      <c r="G1090" s="20">
        <f t="shared" si="16"/>
        <v>0.51158830593844662</v>
      </c>
      <c r="H1090" s="24" t="s">
        <v>579</v>
      </c>
      <c r="I1090" s="24" t="s">
        <v>580</v>
      </c>
      <c r="J1090" s="24" t="s">
        <v>581</v>
      </c>
      <c r="K1090" s="24" t="s">
        <v>594</v>
      </c>
    </row>
    <row r="1091" spans="1:11">
      <c r="A1091" s="12">
        <v>2015</v>
      </c>
      <c r="B1091" s="15" t="s">
        <v>21</v>
      </c>
      <c r="C1091" s="15" t="s">
        <v>69</v>
      </c>
      <c r="D1091" s="15" t="s">
        <v>70</v>
      </c>
      <c r="E1091" s="19">
        <v>92920</v>
      </c>
      <c r="F1091" s="19">
        <v>93934</v>
      </c>
      <c r="G1091" s="20">
        <f t="shared" si="16"/>
        <v>0.50271334838965176</v>
      </c>
      <c r="H1091" s="24" t="s">
        <v>579</v>
      </c>
      <c r="I1091" s="24" t="s">
        <v>580</v>
      </c>
      <c r="J1091" s="24" t="s">
        <v>581</v>
      </c>
      <c r="K1091" s="24" t="s">
        <v>594</v>
      </c>
    </row>
    <row r="1092" spans="1:11">
      <c r="A1092" s="12">
        <v>2015</v>
      </c>
      <c r="B1092" s="15" t="s">
        <v>21</v>
      </c>
      <c r="C1092" s="15" t="s">
        <v>71</v>
      </c>
      <c r="D1092" s="15" t="s">
        <v>72</v>
      </c>
      <c r="E1092" s="19">
        <v>320044</v>
      </c>
      <c r="F1092" s="19">
        <v>266034</v>
      </c>
      <c r="G1092" s="20">
        <f t="shared" si="16"/>
        <v>0.45392251543309936</v>
      </c>
      <c r="H1092" s="24" t="s">
        <v>579</v>
      </c>
      <c r="I1092" s="24" t="s">
        <v>580</v>
      </c>
      <c r="J1092" s="24" t="s">
        <v>581</v>
      </c>
      <c r="K1092" s="24" t="s">
        <v>594</v>
      </c>
    </row>
    <row r="1093" spans="1:11">
      <c r="A1093" s="12">
        <v>2015</v>
      </c>
      <c r="B1093" s="15" t="s">
        <v>73</v>
      </c>
      <c r="C1093" s="15" t="s">
        <v>22</v>
      </c>
      <c r="D1093" s="15" t="s">
        <v>73</v>
      </c>
      <c r="E1093" s="19">
        <v>3154289</v>
      </c>
      <c r="F1093" s="19">
        <v>648433</v>
      </c>
      <c r="G1093" s="20">
        <f t="shared" si="16"/>
        <v>0.17051811833733835</v>
      </c>
      <c r="H1093" s="24" t="s">
        <v>583</v>
      </c>
      <c r="I1093" s="24" t="s">
        <v>584</v>
      </c>
      <c r="J1093" s="24" t="s">
        <v>585</v>
      </c>
      <c r="K1093" s="24" t="s">
        <v>594</v>
      </c>
    </row>
    <row r="1094" spans="1:11">
      <c r="A1094" s="12">
        <v>2015</v>
      </c>
      <c r="B1094" s="15" t="s">
        <v>73</v>
      </c>
      <c r="C1094" s="15" t="s">
        <v>29</v>
      </c>
      <c r="D1094" s="15" t="s">
        <v>74</v>
      </c>
      <c r="E1094" s="19">
        <v>55583</v>
      </c>
      <c r="F1094" s="19">
        <v>82777</v>
      </c>
      <c r="G1094" s="20">
        <f t="shared" ref="G1094:G1157" si="17">IFERROR(F1094/(E1094+F1094),"")</f>
        <v>0.59827262214512866</v>
      </c>
      <c r="H1094" s="24" t="s">
        <v>583</v>
      </c>
      <c r="I1094" s="24" t="s">
        <v>584</v>
      </c>
      <c r="J1094" s="24" t="s">
        <v>585</v>
      </c>
      <c r="K1094" s="24" t="s">
        <v>594</v>
      </c>
    </row>
    <row r="1095" spans="1:11">
      <c r="A1095" s="12">
        <v>2015</v>
      </c>
      <c r="B1095" s="15" t="s">
        <v>73</v>
      </c>
      <c r="C1095" s="15" t="s">
        <v>75</v>
      </c>
      <c r="D1095" s="15" t="s">
        <v>76</v>
      </c>
      <c r="E1095" s="19">
        <v>196421</v>
      </c>
      <c r="F1095" s="19">
        <v>168488</v>
      </c>
      <c r="G1095" s="20">
        <f t="shared" si="17"/>
        <v>0.46172607417191686</v>
      </c>
      <c r="H1095" s="24" t="s">
        <v>583</v>
      </c>
      <c r="I1095" s="24" t="s">
        <v>584</v>
      </c>
      <c r="J1095" s="24" t="s">
        <v>585</v>
      </c>
      <c r="K1095" s="24" t="s">
        <v>594</v>
      </c>
    </row>
    <row r="1096" spans="1:11">
      <c r="A1096" s="12">
        <v>2015</v>
      </c>
      <c r="B1096" s="15" t="s">
        <v>73</v>
      </c>
      <c r="C1096" s="15" t="s">
        <v>77</v>
      </c>
      <c r="D1096" s="15" t="s">
        <v>78</v>
      </c>
      <c r="E1096" s="19">
        <v>87827</v>
      </c>
      <c r="F1096" s="19">
        <v>73432</v>
      </c>
      <c r="G1096" s="20">
        <f t="shared" si="17"/>
        <v>0.4553668322388208</v>
      </c>
      <c r="H1096" s="24" t="s">
        <v>583</v>
      </c>
      <c r="I1096" s="24" t="s">
        <v>584</v>
      </c>
      <c r="J1096" s="24" t="s">
        <v>585</v>
      </c>
      <c r="K1096" s="24" t="s">
        <v>594</v>
      </c>
    </row>
    <row r="1097" spans="1:11">
      <c r="A1097" s="12">
        <v>2015</v>
      </c>
      <c r="B1097" s="15" t="s">
        <v>73</v>
      </c>
      <c r="C1097" s="15" t="s">
        <v>79</v>
      </c>
      <c r="D1097" s="15" t="s">
        <v>80</v>
      </c>
      <c r="E1097" s="19">
        <v>220845</v>
      </c>
      <c r="F1097" s="19">
        <v>199085</v>
      </c>
      <c r="G1097" s="20">
        <f t="shared" si="17"/>
        <v>0.47409091991522395</v>
      </c>
      <c r="H1097" s="24" t="s">
        <v>583</v>
      </c>
      <c r="I1097" s="24" t="s">
        <v>584</v>
      </c>
      <c r="J1097" s="24" t="s">
        <v>585</v>
      </c>
      <c r="K1097" s="24" t="s">
        <v>594</v>
      </c>
    </row>
    <row r="1098" spans="1:11">
      <c r="A1098" s="12">
        <v>2015</v>
      </c>
      <c r="B1098" s="15" t="s">
        <v>73</v>
      </c>
      <c r="C1098" s="15" t="s">
        <v>81</v>
      </c>
      <c r="D1098" s="15" t="s">
        <v>82</v>
      </c>
      <c r="E1098" s="19">
        <v>68791</v>
      </c>
      <c r="F1098" s="19">
        <v>65744</v>
      </c>
      <c r="G1098" s="20">
        <f t="shared" si="17"/>
        <v>0.48867580926896348</v>
      </c>
      <c r="H1098" s="24" t="s">
        <v>583</v>
      </c>
      <c r="I1098" s="24" t="s">
        <v>584</v>
      </c>
      <c r="J1098" s="24" t="s">
        <v>585</v>
      </c>
      <c r="K1098" s="24" t="s">
        <v>594</v>
      </c>
    </row>
    <row r="1099" spans="1:11">
      <c r="A1099" s="12">
        <v>2015</v>
      </c>
      <c r="B1099" s="15" t="s">
        <v>73</v>
      </c>
      <c r="C1099" s="15" t="s">
        <v>83</v>
      </c>
      <c r="D1099" s="15" t="s">
        <v>84</v>
      </c>
      <c r="E1099" s="19">
        <v>213904</v>
      </c>
      <c r="F1099" s="19">
        <v>190876</v>
      </c>
      <c r="G1099" s="20">
        <f t="shared" si="17"/>
        <v>0.47155491872128069</v>
      </c>
      <c r="H1099" s="24" t="s">
        <v>583</v>
      </c>
      <c r="I1099" s="24" t="s">
        <v>584</v>
      </c>
      <c r="J1099" s="24" t="s">
        <v>585</v>
      </c>
      <c r="K1099" s="24" t="s">
        <v>594</v>
      </c>
    </row>
    <row r="1100" spans="1:11">
      <c r="A1100" s="12">
        <v>2015</v>
      </c>
      <c r="B1100" s="15" t="s">
        <v>73</v>
      </c>
      <c r="C1100" s="15" t="s">
        <v>85</v>
      </c>
      <c r="D1100" s="15" t="s">
        <v>86</v>
      </c>
      <c r="E1100" s="19">
        <v>306994</v>
      </c>
      <c r="F1100" s="19">
        <v>241930</v>
      </c>
      <c r="G1100" s="20">
        <f t="shared" si="17"/>
        <v>0.44073496513178512</v>
      </c>
      <c r="H1100" s="24" t="s">
        <v>583</v>
      </c>
      <c r="I1100" s="24" t="s">
        <v>584</v>
      </c>
      <c r="J1100" s="24" t="s">
        <v>585</v>
      </c>
      <c r="K1100" s="24" t="s">
        <v>594</v>
      </c>
    </row>
    <row r="1101" spans="1:11">
      <c r="A1101" s="12">
        <v>2015</v>
      </c>
      <c r="B1101" s="15" t="s">
        <v>73</v>
      </c>
      <c r="C1101" s="15" t="s">
        <v>87</v>
      </c>
      <c r="D1101" s="15" t="s">
        <v>88</v>
      </c>
      <c r="E1101" s="19">
        <v>256954</v>
      </c>
      <c r="F1101" s="19">
        <v>184776</v>
      </c>
      <c r="G1101" s="20">
        <f t="shared" si="17"/>
        <v>0.41830077196477489</v>
      </c>
      <c r="H1101" s="24" t="s">
        <v>583</v>
      </c>
      <c r="I1101" s="24" t="s">
        <v>584</v>
      </c>
      <c r="J1101" s="24" t="s">
        <v>585</v>
      </c>
      <c r="K1101" s="24" t="s">
        <v>594</v>
      </c>
    </row>
    <row r="1102" spans="1:11">
      <c r="A1102" s="12">
        <v>2015</v>
      </c>
      <c r="B1102" s="15" t="s">
        <v>73</v>
      </c>
      <c r="C1102" s="15" t="s">
        <v>89</v>
      </c>
      <c r="D1102" s="15" t="s">
        <v>90</v>
      </c>
      <c r="E1102" s="19">
        <v>184050</v>
      </c>
      <c r="F1102" s="19">
        <v>170091</v>
      </c>
      <c r="G1102" s="20">
        <f t="shared" si="17"/>
        <v>0.48029174820198733</v>
      </c>
      <c r="H1102" s="24" t="s">
        <v>583</v>
      </c>
      <c r="I1102" s="24" t="s">
        <v>584</v>
      </c>
      <c r="J1102" s="24" t="s">
        <v>585</v>
      </c>
      <c r="K1102" s="24" t="s">
        <v>594</v>
      </c>
    </row>
    <row r="1103" spans="1:11">
      <c r="A1103" s="12">
        <v>2015</v>
      </c>
      <c r="B1103" s="15" t="s">
        <v>73</v>
      </c>
      <c r="C1103" s="15" t="s">
        <v>91</v>
      </c>
      <c r="D1103" s="15" t="s">
        <v>92</v>
      </c>
      <c r="E1103" s="19">
        <v>282713</v>
      </c>
      <c r="F1103" s="19">
        <v>201858</v>
      </c>
      <c r="G1103" s="20">
        <f t="shared" si="17"/>
        <v>0.41657053352346712</v>
      </c>
      <c r="H1103" s="24" t="s">
        <v>583</v>
      </c>
      <c r="I1103" s="24" t="s">
        <v>584</v>
      </c>
      <c r="J1103" s="24" t="s">
        <v>585</v>
      </c>
      <c r="K1103" s="24" t="s">
        <v>594</v>
      </c>
    </row>
    <row r="1104" spans="1:11">
      <c r="A1104" s="12">
        <v>2015</v>
      </c>
      <c r="B1104" s="15" t="s">
        <v>73</v>
      </c>
      <c r="C1104" s="15" t="s">
        <v>93</v>
      </c>
      <c r="D1104" s="15" t="s">
        <v>94</v>
      </c>
      <c r="E1104" s="19">
        <v>86942</v>
      </c>
      <c r="F1104" s="19">
        <v>85082</v>
      </c>
      <c r="G1104" s="20">
        <f t="shared" si="17"/>
        <v>0.49459377761242618</v>
      </c>
      <c r="H1104" s="24" t="s">
        <v>583</v>
      </c>
      <c r="I1104" s="24" t="s">
        <v>584</v>
      </c>
      <c r="J1104" s="24" t="s">
        <v>585</v>
      </c>
      <c r="K1104" s="24" t="s">
        <v>594</v>
      </c>
    </row>
    <row r="1105" spans="1:11">
      <c r="A1105" s="12">
        <v>2015</v>
      </c>
      <c r="B1105" s="15" t="s">
        <v>73</v>
      </c>
      <c r="C1105" s="15" t="s">
        <v>95</v>
      </c>
      <c r="D1105" s="15" t="s">
        <v>96</v>
      </c>
      <c r="E1105" s="19">
        <v>134009</v>
      </c>
      <c r="F1105" s="19">
        <v>132378</v>
      </c>
      <c r="G1105" s="20">
        <f t="shared" si="17"/>
        <v>0.496938664424315</v>
      </c>
      <c r="H1105" s="24" t="s">
        <v>583</v>
      </c>
      <c r="I1105" s="24" t="s">
        <v>584</v>
      </c>
      <c r="J1105" s="24" t="s">
        <v>585</v>
      </c>
      <c r="K1105" s="24" t="s">
        <v>594</v>
      </c>
    </row>
    <row r="1106" spans="1:11">
      <c r="A1106" s="12">
        <v>2015</v>
      </c>
      <c r="B1106" s="15" t="s">
        <v>73</v>
      </c>
      <c r="C1106" s="15" t="s">
        <v>97</v>
      </c>
      <c r="D1106" s="15" t="s">
        <v>98</v>
      </c>
      <c r="E1106" s="19">
        <v>156736</v>
      </c>
      <c r="F1106" s="19">
        <v>161515</v>
      </c>
      <c r="G1106" s="20">
        <f t="shared" si="17"/>
        <v>0.50750822464029965</v>
      </c>
      <c r="H1106" s="24" t="s">
        <v>583</v>
      </c>
      <c r="I1106" s="24" t="s">
        <v>584</v>
      </c>
      <c r="J1106" s="24" t="s">
        <v>585</v>
      </c>
      <c r="K1106" s="24" t="s">
        <v>594</v>
      </c>
    </row>
    <row r="1107" spans="1:11">
      <c r="A1107" s="12">
        <v>2015</v>
      </c>
      <c r="B1107" s="15" t="s">
        <v>73</v>
      </c>
      <c r="C1107" s="15" t="s">
        <v>99</v>
      </c>
      <c r="D1107" s="15" t="s">
        <v>100</v>
      </c>
      <c r="E1107" s="19">
        <v>104574</v>
      </c>
      <c r="F1107" s="19">
        <v>83405</v>
      </c>
      <c r="G1107" s="20">
        <f t="shared" si="17"/>
        <v>0.44369317849334233</v>
      </c>
      <c r="H1107" s="24" t="s">
        <v>583</v>
      </c>
      <c r="I1107" s="24" t="s">
        <v>584</v>
      </c>
      <c r="J1107" s="24" t="s">
        <v>585</v>
      </c>
      <c r="K1107" s="24" t="s">
        <v>594</v>
      </c>
    </row>
    <row r="1108" spans="1:11">
      <c r="A1108" s="12">
        <v>2015</v>
      </c>
      <c r="B1108" s="15" t="s">
        <v>73</v>
      </c>
      <c r="C1108" s="15" t="s">
        <v>69</v>
      </c>
      <c r="D1108" s="15" t="s">
        <v>101</v>
      </c>
      <c r="E1108" s="19">
        <v>32775</v>
      </c>
      <c r="F1108" s="19">
        <v>35504</v>
      </c>
      <c r="G1108" s="20">
        <f t="shared" si="17"/>
        <v>0.51998418254514567</v>
      </c>
      <c r="H1108" s="24" t="s">
        <v>583</v>
      </c>
      <c r="I1108" s="24" t="s">
        <v>584</v>
      </c>
      <c r="J1108" s="24" t="s">
        <v>585</v>
      </c>
      <c r="K1108" s="24" t="s">
        <v>594</v>
      </c>
    </row>
    <row r="1109" spans="1:11">
      <c r="A1109" s="12">
        <v>2015</v>
      </c>
      <c r="B1109" s="15" t="s">
        <v>73</v>
      </c>
      <c r="C1109" s="15" t="s">
        <v>102</v>
      </c>
      <c r="D1109" s="15" t="s">
        <v>103</v>
      </c>
      <c r="E1109" s="19">
        <v>344979</v>
      </c>
      <c r="F1109" s="19">
        <v>268341</v>
      </c>
      <c r="G1109" s="20">
        <f t="shared" si="17"/>
        <v>0.43752201134807278</v>
      </c>
      <c r="H1109" s="24" t="s">
        <v>583</v>
      </c>
      <c r="I1109" s="24" t="s">
        <v>584</v>
      </c>
      <c r="J1109" s="24" t="s">
        <v>585</v>
      </c>
      <c r="K1109" s="24" t="s">
        <v>594</v>
      </c>
    </row>
    <row r="1110" spans="1:11">
      <c r="A1110" s="12">
        <v>2015</v>
      </c>
      <c r="B1110" s="15" t="s">
        <v>104</v>
      </c>
      <c r="C1110" s="15" t="s">
        <v>22</v>
      </c>
      <c r="D1110" s="15" t="s">
        <v>104</v>
      </c>
      <c r="E1110" s="19">
        <v>2266606</v>
      </c>
      <c r="F1110" s="19">
        <v>450622</v>
      </c>
      <c r="G1110" s="20">
        <f t="shared" si="17"/>
        <v>0.16583886225226591</v>
      </c>
      <c r="H1110" s="24" t="s">
        <v>583</v>
      </c>
      <c r="I1110" s="24" t="s">
        <v>584</v>
      </c>
      <c r="J1110" s="24" t="s">
        <v>585</v>
      </c>
      <c r="K1110" s="24" t="s">
        <v>594</v>
      </c>
    </row>
    <row r="1111" spans="1:11">
      <c r="A1111" s="12">
        <v>2015</v>
      </c>
      <c r="B1111" s="15" t="s">
        <v>104</v>
      </c>
      <c r="C1111" s="15" t="s">
        <v>79</v>
      </c>
      <c r="D1111" s="15" t="s">
        <v>107</v>
      </c>
      <c r="E1111" s="19">
        <v>116450</v>
      </c>
      <c r="F1111" s="19">
        <v>122083</v>
      </c>
      <c r="G1111" s="20">
        <f t="shared" si="17"/>
        <v>0.51180759056398906</v>
      </c>
      <c r="H1111" s="24" t="s">
        <v>583</v>
      </c>
      <c r="I1111" s="24" t="s">
        <v>584</v>
      </c>
      <c r="J1111" s="24" t="s">
        <v>585</v>
      </c>
      <c r="K1111" s="24" t="s">
        <v>594</v>
      </c>
    </row>
    <row r="1112" spans="1:11">
      <c r="A1112" s="12">
        <v>2015</v>
      </c>
      <c r="B1112" s="15" t="s">
        <v>104</v>
      </c>
      <c r="C1112" s="15" t="s">
        <v>108</v>
      </c>
      <c r="D1112" s="15" t="s">
        <v>109</v>
      </c>
      <c r="E1112" s="19">
        <v>509388</v>
      </c>
      <c r="F1112" s="19">
        <v>378185</v>
      </c>
      <c r="G1112" s="20">
        <f t="shared" si="17"/>
        <v>0.42608889634993402</v>
      </c>
      <c r="H1112" s="24" t="s">
        <v>583</v>
      </c>
      <c r="I1112" s="24" t="s">
        <v>584</v>
      </c>
      <c r="J1112" s="24" t="s">
        <v>585</v>
      </c>
      <c r="K1112" s="24" t="s">
        <v>594</v>
      </c>
    </row>
    <row r="1113" spans="1:11">
      <c r="A1113" s="12">
        <v>2015</v>
      </c>
      <c r="B1113" s="15" t="s">
        <v>104</v>
      </c>
      <c r="C1113" s="15" t="s">
        <v>110</v>
      </c>
      <c r="D1113" s="15" t="s">
        <v>111</v>
      </c>
      <c r="E1113" s="19">
        <v>148897</v>
      </c>
      <c r="F1113" s="19">
        <v>144503</v>
      </c>
      <c r="G1113" s="20">
        <f t="shared" si="17"/>
        <v>0.49251192910702113</v>
      </c>
      <c r="H1113" s="24" t="s">
        <v>583</v>
      </c>
      <c r="I1113" s="24" t="s">
        <v>584</v>
      </c>
      <c r="J1113" s="24" t="s">
        <v>585</v>
      </c>
      <c r="K1113" s="24" t="s">
        <v>594</v>
      </c>
    </row>
    <row r="1114" spans="1:11">
      <c r="A1114" s="12">
        <v>2015</v>
      </c>
      <c r="B1114" s="15" t="s">
        <v>104</v>
      </c>
      <c r="C1114" s="15" t="s">
        <v>81</v>
      </c>
      <c r="D1114" s="15" t="s">
        <v>112</v>
      </c>
      <c r="E1114" s="19">
        <v>280228</v>
      </c>
      <c r="F1114" s="19">
        <v>234210</v>
      </c>
      <c r="G1114" s="20">
        <f t="shared" si="17"/>
        <v>0.45527352178493813</v>
      </c>
      <c r="H1114" s="24" t="s">
        <v>583</v>
      </c>
      <c r="I1114" s="24" t="s">
        <v>584</v>
      </c>
      <c r="J1114" s="24" t="s">
        <v>585</v>
      </c>
      <c r="K1114" s="24" t="s">
        <v>594</v>
      </c>
    </row>
    <row r="1115" spans="1:11">
      <c r="A1115" s="12">
        <v>2015</v>
      </c>
      <c r="B1115" s="15" t="s">
        <v>104</v>
      </c>
      <c r="C1115" s="15" t="s">
        <v>87</v>
      </c>
      <c r="D1115" s="15" t="s">
        <v>113</v>
      </c>
      <c r="E1115" s="19">
        <v>371369</v>
      </c>
      <c r="F1115" s="19">
        <v>263718</v>
      </c>
      <c r="G1115" s="20">
        <f t="shared" si="17"/>
        <v>0.41524704489306191</v>
      </c>
      <c r="H1115" s="24" t="s">
        <v>583</v>
      </c>
      <c r="I1115" s="24" t="s">
        <v>584</v>
      </c>
      <c r="J1115" s="24" t="s">
        <v>585</v>
      </c>
      <c r="K1115" s="24" t="s">
        <v>594</v>
      </c>
    </row>
    <row r="1116" spans="1:11">
      <c r="A1116" s="12">
        <v>2015</v>
      </c>
      <c r="B1116" s="15" t="s">
        <v>104</v>
      </c>
      <c r="C1116" s="15" t="s">
        <v>93</v>
      </c>
      <c r="D1116" s="15" t="s">
        <v>114</v>
      </c>
      <c r="E1116" s="19">
        <v>153525</v>
      </c>
      <c r="F1116" s="19">
        <v>154718</v>
      </c>
      <c r="G1116" s="20">
        <f t="shared" si="17"/>
        <v>0.50193516154462547</v>
      </c>
      <c r="H1116" s="24" t="s">
        <v>583</v>
      </c>
      <c r="I1116" s="24" t="s">
        <v>584</v>
      </c>
      <c r="J1116" s="24" t="s">
        <v>585</v>
      </c>
      <c r="K1116" s="24" t="s">
        <v>594</v>
      </c>
    </row>
    <row r="1117" spans="1:11">
      <c r="A1117" s="12">
        <v>2015</v>
      </c>
      <c r="B1117" s="15" t="s">
        <v>104</v>
      </c>
      <c r="C1117" s="15" t="s">
        <v>115</v>
      </c>
      <c r="D1117" s="15" t="s">
        <v>116</v>
      </c>
      <c r="E1117" s="19">
        <v>371217</v>
      </c>
      <c r="F1117" s="19">
        <v>296032</v>
      </c>
      <c r="G1117" s="20">
        <f t="shared" si="17"/>
        <v>0.44366046258593117</v>
      </c>
      <c r="H1117" s="24" t="s">
        <v>583</v>
      </c>
      <c r="I1117" s="24" t="s">
        <v>584</v>
      </c>
      <c r="J1117" s="24" t="s">
        <v>585</v>
      </c>
      <c r="K1117" s="24" t="s">
        <v>594</v>
      </c>
    </row>
    <row r="1118" spans="1:11">
      <c r="A1118" s="12">
        <v>2015</v>
      </c>
      <c r="B1118" s="15" t="s">
        <v>104</v>
      </c>
      <c r="C1118" s="15" t="s">
        <v>69</v>
      </c>
      <c r="D1118" s="15" t="s">
        <v>117</v>
      </c>
      <c r="E1118" s="19">
        <v>58995</v>
      </c>
      <c r="F1118" s="19">
        <v>61517</v>
      </c>
      <c r="G1118" s="20">
        <f t="shared" si="17"/>
        <v>0.51046368826340949</v>
      </c>
      <c r="H1118" s="24" t="s">
        <v>583</v>
      </c>
      <c r="I1118" s="24" t="s">
        <v>584</v>
      </c>
      <c r="J1118" s="24" t="s">
        <v>585</v>
      </c>
      <c r="K1118" s="24" t="s">
        <v>594</v>
      </c>
    </row>
    <row r="1119" spans="1:11">
      <c r="A1119" s="12">
        <v>2015</v>
      </c>
      <c r="B1119" s="15" t="s">
        <v>118</v>
      </c>
      <c r="C1119" s="15" t="s">
        <v>22</v>
      </c>
      <c r="D1119" s="15" t="s">
        <v>118</v>
      </c>
      <c r="E1119" s="19">
        <v>2555409</v>
      </c>
      <c r="F1119" s="19">
        <v>981138</v>
      </c>
      <c r="G1119" s="20">
        <f t="shared" si="17"/>
        <v>0.27742823720425602</v>
      </c>
      <c r="H1119" s="24" t="s">
        <v>579</v>
      </c>
      <c r="I1119" s="24" t="s">
        <v>580</v>
      </c>
      <c r="J1119" s="24" t="s">
        <v>581</v>
      </c>
      <c r="K1119" s="24" t="s">
        <v>594</v>
      </c>
    </row>
    <row r="1120" spans="1:11">
      <c r="A1120" s="12">
        <v>2015</v>
      </c>
      <c r="B1120" s="15" t="s">
        <v>118</v>
      </c>
      <c r="C1120" s="15" t="s">
        <v>119</v>
      </c>
      <c r="D1120" s="15" t="s">
        <v>120</v>
      </c>
      <c r="E1120" s="19">
        <v>50093</v>
      </c>
      <c r="F1120" s="19">
        <v>46392</v>
      </c>
      <c r="G1120" s="20">
        <f t="shared" si="17"/>
        <v>0.48082085298232885</v>
      </c>
      <c r="H1120" s="24" t="s">
        <v>579</v>
      </c>
      <c r="I1120" s="24" t="s">
        <v>580</v>
      </c>
      <c r="J1120" s="24" t="s">
        <v>581</v>
      </c>
      <c r="K1120" s="24" t="s">
        <v>594</v>
      </c>
    </row>
    <row r="1121" spans="1:11">
      <c r="A1121" s="12">
        <v>2015</v>
      </c>
      <c r="B1121" s="15" t="s">
        <v>118</v>
      </c>
      <c r="C1121" s="15" t="s">
        <v>121</v>
      </c>
      <c r="D1121" s="15" t="s">
        <v>122</v>
      </c>
      <c r="E1121" s="19">
        <v>267620</v>
      </c>
      <c r="F1121" s="19">
        <v>196636</v>
      </c>
      <c r="G1121" s="20">
        <f t="shared" si="17"/>
        <v>0.4235507995588641</v>
      </c>
      <c r="H1121" s="24" t="s">
        <v>579</v>
      </c>
      <c r="I1121" s="24" t="s">
        <v>580</v>
      </c>
      <c r="J1121" s="24" t="s">
        <v>581</v>
      </c>
      <c r="K1121" s="24" t="s">
        <v>594</v>
      </c>
    </row>
    <row r="1122" spans="1:11">
      <c r="A1122" s="12">
        <v>2015</v>
      </c>
      <c r="B1122" s="15" t="s">
        <v>118</v>
      </c>
      <c r="C1122" s="15" t="s">
        <v>79</v>
      </c>
      <c r="D1122" s="15" t="s">
        <v>123</v>
      </c>
      <c r="E1122" s="19">
        <v>311695</v>
      </c>
      <c r="F1122" s="19">
        <v>268847</v>
      </c>
      <c r="G1122" s="20">
        <f t="shared" si="17"/>
        <v>0.46309655459897819</v>
      </c>
      <c r="H1122" s="24" t="s">
        <v>579</v>
      </c>
      <c r="I1122" s="24" t="s">
        <v>580</v>
      </c>
      <c r="J1122" s="24" t="s">
        <v>581</v>
      </c>
      <c r="K1122" s="24" t="s">
        <v>594</v>
      </c>
    </row>
    <row r="1123" spans="1:11">
      <c r="A1123" s="12">
        <v>2015</v>
      </c>
      <c r="B1123" s="15" t="s">
        <v>118</v>
      </c>
      <c r="C1123" s="15" t="s">
        <v>124</v>
      </c>
      <c r="D1123" s="15" t="s">
        <v>125</v>
      </c>
      <c r="E1123" s="19">
        <v>436294</v>
      </c>
      <c r="F1123" s="19">
        <v>318448</v>
      </c>
      <c r="G1123" s="20">
        <f t="shared" si="17"/>
        <v>0.42192961303332793</v>
      </c>
      <c r="H1123" s="24" t="s">
        <v>579</v>
      </c>
      <c r="I1123" s="24" t="s">
        <v>580</v>
      </c>
      <c r="J1123" s="24" t="s">
        <v>581</v>
      </c>
      <c r="K1123" s="24" t="s">
        <v>594</v>
      </c>
    </row>
    <row r="1124" spans="1:11">
      <c r="A1124" s="12">
        <v>2015</v>
      </c>
      <c r="B1124" s="15" t="s">
        <v>118</v>
      </c>
      <c r="C1124" s="15" t="s">
        <v>81</v>
      </c>
      <c r="D1124" s="15" t="s">
        <v>126</v>
      </c>
      <c r="E1124" s="19">
        <v>54026</v>
      </c>
      <c r="F1124" s="19">
        <v>53766</v>
      </c>
      <c r="G1124" s="20">
        <f t="shared" si="17"/>
        <v>0.49879397357874422</v>
      </c>
      <c r="H1124" s="24" t="s">
        <v>579</v>
      </c>
      <c r="I1124" s="24" t="s">
        <v>580</v>
      </c>
      <c r="J1124" s="24" t="s">
        <v>581</v>
      </c>
      <c r="K1124" s="24" t="s">
        <v>594</v>
      </c>
    </row>
    <row r="1125" spans="1:11">
      <c r="A1125" s="12">
        <v>2015</v>
      </c>
      <c r="B1125" s="15" t="s">
        <v>118</v>
      </c>
      <c r="C1125" s="15" t="s">
        <v>129</v>
      </c>
      <c r="D1125" s="15" t="s">
        <v>130</v>
      </c>
      <c r="E1125" s="19">
        <v>447981</v>
      </c>
      <c r="F1125" s="19">
        <v>326092</v>
      </c>
      <c r="G1125" s="20">
        <f t="shared" si="17"/>
        <v>0.42126776156770745</v>
      </c>
      <c r="H1125" s="24" t="s">
        <v>579</v>
      </c>
      <c r="I1125" s="24" t="s">
        <v>580</v>
      </c>
      <c r="J1125" s="24" t="s">
        <v>581</v>
      </c>
      <c r="K1125" s="24" t="s">
        <v>594</v>
      </c>
    </row>
    <row r="1126" spans="1:11">
      <c r="A1126" s="12">
        <v>2015</v>
      </c>
      <c r="B1126" s="15" t="s">
        <v>118</v>
      </c>
      <c r="C1126" s="15" t="s">
        <v>93</v>
      </c>
      <c r="D1126" s="15" t="s">
        <v>131</v>
      </c>
      <c r="E1126" s="19">
        <v>417057</v>
      </c>
      <c r="F1126" s="19">
        <v>292375</v>
      </c>
      <c r="G1126" s="20">
        <f t="shared" si="17"/>
        <v>0.41212547502790964</v>
      </c>
      <c r="H1126" s="24" t="s">
        <v>579</v>
      </c>
      <c r="I1126" s="24" t="s">
        <v>580</v>
      </c>
      <c r="J1126" s="24" t="s">
        <v>581</v>
      </c>
      <c r="K1126" s="24" t="s">
        <v>594</v>
      </c>
    </row>
    <row r="1127" spans="1:11">
      <c r="A1127" s="12">
        <v>2015</v>
      </c>
      <c r="B1127" s="15" t="s">
        <v>118</v>
      </c>
      <c r="C1127" s="15" t="s">
        <v>132</v>
      </c>
      <c r="D1127" s="15" t="s">
        <v>133</v>
      </c>
      <c r="E1127" s="19">
        <v>254948</v>
      </c>
      <c r="F1127" s="19">
        <v>198372</v>
      </c>
      <c r="G1127" s="20">
        <f t="shared" si="17"/>
        <v>0.43759816465190154</v>
      </c>
      <c r="H1127" s="24" t="s">
        <v>579</v>
      </c>
      <c r="I1127" s="24" t="s">
        <v>580</v>
      </c>
      <c r="J1127" s="24" t="s">
        <v>581</v>
      </c>
      <c r="K1127" s="24" t="s">
        <v>594</v>
      </c>
    </row>
    <row r="1128" spans="1:11">
      <c r="A1128" s="12">
        <v>2015</v>
      </c>
      <c r="B1128" s="15" t="s">
        <v>118</v>
      </c>
      <c r="C1128" s="15" t="s">
        <v>134</v>
      </c>
      <c r="D1128" s="15" t="s">
        <v>135</v>
      </c>
      <c r="E1128" s="19">
        <v>12459</v>
      </c>
      <c r="F1128" s="19">
        <v>17859</v>
      </c>
      <c r="G1128" s="20">
        <f t="shared" si="17"/>
        <v>0.58905600633287158</v>
      </c>
      <c r="H1128" s="24" t="s">
        <v>579</v>
      </c>
      <c r="I1128" s="24" t="s">
        <v>580</v>
      </c>
      <c r="J1128" s="24" t="s">
        <v>581</v>
      </c>
      <c r="K1128" s="24" t="s">
        <v>594</v>
      </c>
    </row>
    <row r="1129" spans="1:11">
      <c r="A1129" s="12">
        <v>2015</v>
      </c>
      <c r="B1129" s="15" t="s">
        <v>118</v>
      </c>
      <c r="C1129" s="15" t="s">
        <v>69</v>
      </c>
      <c r="D1129" s="15" t="s">
        <v>136</v>
      </c>
      <c r="E1129" s="19">
        <v>84120</v>
      </c>
      <c r="F1129" s="19">
        <v>82058</v>
      </c>
      <c r="G1129" s="20">
        <f t="shared" si="17"/>
        <v>0.49379580931290545</v>
      </c>
      <c r="H1129" s="24" t="s">
        <v>579</v>
      </c>
      <c r="I1129" s="24" t="s">
        <v>580</v>
      </c>
      <c r="J1129" s="24" t="s">
        <v>581</v>
      </c>
      <c r="K1129" s="24" t="s">
        <v>594</v>
      </c>
    </row>
    <row r="1130" spans="1:11">
      <c r="A1130" s="12">
        <v>2015</v>
      </c>
      <c r="B1130" s="15" t="s">
        <v>137</v>
      </c>
      <c r="C1130" s="15" t="s">
        <v>22</v>
      </c>
      <c r="D1130" s="15" t="s">
        <v>137</v>
      </c>
      <c r="E1130" s="19">
        <v>1345992</v>
      </c>
      <c r="F1130" s="19">
        <v>326582</v>
      </c>
      <c r="G1130" s="20">
        <f t="shared" si="17"/>
        <v>0.19525713062620847</v>
      </c>
      <c r="H1130" s="24" t="s">
        <v>586</v>
      </c>
      <c r="I1130" s="24" t="s">
        <v>587</v>
      </c>
      <c r="J1130" s="24" t="s">
        <v>588</v>
      </c>
      <c r="K1130" s="24" t="s">
        <v>594</v>
      </c>
    </row>
    <row r="1131" spans="1:11">
      <c r="A1131" s="12">
        <v>2015</v>
      </c>
      <c r="B1131" s="15" t="s">
        <v>137</v>
      </c>
      <c r="C1131" s="15" t="s">
        <v>138</v>
      </c>
      <c r="D1131" s="15" t="s">
        <v>139</v>
      </c>
      <c r="E1131" s="19">
        <v>346284</v>
      </c>
      <c r="F1131" s="19">
        <v>224649</v>
      </c>
      <c r="G1131" s="20">
        <f t="shared" si="17"/>
        <v>0.39347699292211169</v>
      </c>
      <c r="H1131" s="24" t="s">
        <v>586</v>
      </c>
      <c r="I1131" s="24" t="s">
        <v>587</v>
      </c>
      <c r="J1131" s="24" t="s">
        <v>588</v>
      </c>
      <c r="K1131" s="24" t="s">
        <v>594</v>
      </c>
    </row>
    <row r="1132" spans="1:11">
      <c r="A1132" s="12">
        <v>2015</v>
      </c>
      <c r="B1132" s="15" t="s">
        <v>137</v>
      </c>
      <c r="C1132" s="15" t="s">
        <v>79</v>
      </c>
      <c r="D1132" s="15" t="s">
        <v>140</v>
      </c>
      <c r="E1132" s="19">
        <v>174106</v>
      </c>
      <c r="F1132" s="19">
        <v>160814</v>
      </c>
      <c r="G1132" s="20">
        <f t="shared" si="17"/>
        <v>0.48015645527290102</v>
      </c>
      <c r="H1132" s="24" t="s">
        <v>586</v>
      </c>
      <c r="I1132" s="24" t="s">
        <v>587</v>
      </c>
      <c r="J1132" s="24" t="s">
        <v>588</v>
      </c>
      <c r="K1132" s="24" t="s">
        <v>594</v>
      </c>
    </row>
    <row r="1133" spans="1:11">
      <c r="A1133" s="12">
        <v>2015</v>
      </c>
      <c r="B1133" s="15" t="s">
        <v>137</v>
      </c>
      <c r="C1133" s="15" t="s">
        <v>81</v>
      </c>
      <c r="D1133" s="15" t="s">
        <v>141</v>
      </c>
      <c r="E1133" s="19">
        <v>73926</v>
      </c>
      <c r="F1133" s="19">
        <v>74517</v>
      </c>
      <c r="G1133" s="20">
        <f t="shared" si="17"/>
        <v>0.50199066308279949</v>
      </c>
      <c r="H1133" s="24" t="s">
        <v>586</v>
      </c>
      <c r="I1133" s="24" t="s">
        <v>587</v>
      </c>
      <c r="J1133" s="24" t="s">
        <v>588</v>
      </c>
      <c r="K1133" s="24" t="s">
        <v>594</v>
      </c>
    </row>
    <row r="1134" spans="1:11">
      <c r="A1134" s="12">
        <v>2015</v>
      </c>
      <c r="B1134" s="15" t="s">
        <v>137</v>
      </c>
      <c r="C1134" s="15" t="s">
        <v>87</v>
      </c>
      <c r="D1134" s="15" t="s">
        <v>142</v>
      </c>
      <c r="E1134" s="19">
        <v>368960</v>
      </c>
      <c r="F1134" s="19">
        <v>292337</v>
      </c>
      <c r="G1134" s="20">
        <f t="shared" si="17"/>
        <v>0.44206612157623582</v>
      </c>
      <c r="H1134" s="24" t="s">
        <v>586</v>
      </c>
      <c r="I1134" s="24" t="s">
        <v>587</v>
      </c>
      <c r="J1134" s="24" t="s">
        <v>588</v>
      </c>
      <c r="K1134" s="24" t="s">
        <v>594</v>
      </c>
    </row>
    <row r="1135" spans="1:11">
      <c r="A1135" s="12">
        <v>2015</v>
      </c>
      <c r="B1135" s="15" t="s">
        <v>137</v>
      </c>
      <c r="C1135" s="15" t="s">
        <v>93</v>
      </c>
      <c r="D1135" s="15" t="s">
        <v>143</v>
      </c>
      <c r="E1135" s="19">
        <v>251708</v>
      </c>
      <c r="F1135" s="19">
        <v>204422</v>
      </c>
      <c r="G1135" s="20">
        <f t="shared" si="17"/>
        <v>0.4481660929998027</v>
      </c>
      <c r="H1135" s="24" t="s">
        <v>586</v>
      </c>
      <c r="I1135" s="24" t="s">
        <v>587</v>
      </c>
      <c r="J1135" s="24" t="s">
        <v>588</v>
      </c>
      <c r="K1135" s="24" t="s">
        <v>594</v>
      </c>
    </row>
    <row r="1136" spans="1:11">
      <c r="A1136" s="12">
        <v>2015</v>
      </c>
      <c r="B1136" s="15" t="s">
        <v>144</v>
      </c>
      <c r="C1136" s="15" t="s">
        <v>22</v>
      </c>
      <c r="D1136" s="15" t="s">
        <v>144</v>
      </c>
      <c r="E1136" s="19">
        <v>1381957</v>
      </c>
      <c r="F1136" s="19">
        <v>333156</v>
      </c>
      <c r="G1136" s="20">
        <f t="shared" si="17"/>
        <v>0.19424725951001479</v>
      </c>
      <c r="H1136" s="24" t="s">
        <v>589</v>
      </c>
      <c r="I1136" s="24" t="s">
        <v>560</v>
      </c>
      <c r="J1136" s="24" t="s">
        <v>590</v>
      </c>
      <c r="K1136" s="24" t="s">
        <v>594</v>
      </c>
    </row>
    <row r="1137" spans="1:11">
      <c r="A1137" s="12">
        <v>2015</v>
      </c>
      <c r="B1137" s="15" t="s">
        <v>144</v>
      </c>
      <c r="C1137" s="15" t="s">
        <v>145</v>
      </c>
      <c r="D1137" s="15" t="s">
        <v>146</v>
      </c>
      <c r="E1137" s="19">
        <v>160521</v>
      </c>
      <c r="F1137" s="19">
        <v>137668</v>
      </c>
      <c r="G1137" s="20">
        <f t="shared" si="17"/>
        <v>0.46168034367464927</v>
      </c>
      <c r="H1137" s="24" t="s">
        <v>589</v>
      </c>
      <c r="I1137" s="24" t="s">
        <v>560</v>
      </c>
      <c r="J1137" s="24" t="s">
        <v>590</v>
      </c>
      <c r="K1137" s="24" t="s">
        <v>594</v>
      </c>
    </row>
    <row r="1138" spans="1:11">
      <c r="A1138" s="12">
        <v>2015</v>
      </c>
      <c r="B1138" s="15" t="s">
        <v>144</v>
      </c>
      <c r="C1138" s="15" t="s">
        <v>81</v>
      </c>
      <c r="D1138" s="15" t="s">
        <v>147</v>
      </c>
      <c r="E1138" s="19">
        <v>183853</v>
      </c>
      <c r="F1138" s="19">
        <v>184220</v>
      </c>
      <c r="G1138" s="20">
        <f t="shared" si="17"/>
        <v>0.50049854240870695</v>
      </c>
      <c r="H1138" s="24" t="s">
        <v>589</v>
      </c>
      <c r="I1138" s="24" t="s">
        <v>560</v>
      </c>
      <c r="J1138" s="24" t="s">
        <v>590</v>
      </c>
      <c r="K1138" s="24" t="s">
        <v>594</v>
      </c>
    </row>
    <row r="1139" spans="1:11">
      <c r="A1139" s="12">
        <v>2015</v>
      </c>
      <c r="B1139" s="15" t="s">
        <v>144</v>
      </c>
      <c r="C1139" s="15" t="s">
        <v>93</v>
      </c>
      <c r="D1139" s="15" t="s">
        <v>148</v>
      </c>
      <c r="E1139" s="19">
        <v>426062</v>
      </c>
      <c r="F1139" s="19">
        <v>277902</v>
      </c>
      <c r="G1139" s="20">
        <f t="shared" si="17"/>
        <v>0.39476734605746883</v>
      </c>
      <c r="H1139" s="24" t="s">
        <v>589</v>
      </c>
      <c r="I1139" s="24" t="s">
        <v>560</v>
      </c>
      <c r="J1139" s="24" t="s">
        <v>590</v>
      </c>
      <c r="K1139" s="24" t="s">
        <v>594</v>
      </c>
    </row>
    <row r="1140" spans="1:11">
      <c r="A1140" s="12">
        <v>2015</v>
      </c>
      <c r="B1140" s="15" t="s">
        <v>144</v>
      </c>
      <c r="C1140" s="15" t="s">
        <v>149</v>
      </c>
      <c r="D1140" s="15" t="s">
        <v>150</v>
      </c>
      <c r="E1140" s="19">
        <v>267571</v>
      </c>
      <c r="F1140" s="19">
        <v>238603</v>
      </c>
      <c r="G1140" s="20">
        <f t="shared" si="17"/>
        <v>0.47138533389703935</v>
      </c>
      <c r="H1140" s="24" t="s">
        <v>589</v>
      </c>
      <c r="I1140" s="24" t="s">
        <v>560</v>
      </c>
      <c r="J1140" s="24" t="s">
        <v>590</v>
      </c>
      <c r="K1140" s="24" t="s">
        <v>594</v>
      </c>
    </row>
    <row r="1141" spans="1:11">
      <c r="A1141" s="12">
        <v>2015</v>
      </c>
      <c r="B1141" s="15" t="s">
        <v>144</v>
      </c>
      <c r="C1141" s="15" t="s">
        <v>69</v>
      </c>
      <c r="D1141" s="15" t="s">
        <v>151</v>
      </c>
      <c r="E1141" s="19">
        <v>210318</v>
      </c>
      <c r="F1141" s="19">
        <v>176902</v>
      </c>
      <c r="G1141" s="20">
        <f t="shared" si="17"/>
        <v>0.4568514023036</v>
      </c>
      <c r="H1141" s="24" t="s">
        <v>589</v>
      </c>
      <c r="I1141" s="24" t="s">
        <v>560</v>
      </c>
      <c r="J1141" s="24" t="s">
        <v>590</v>
      </c>
      <c r="K1141" s="24" t="s">
        <v>594</v>
      </c>
    </row>
    <row r="1142" spans="1:11">
      <c r="A1142" s="12">
        <v>2015</v>
      </c>
      <c r="B1142" s="15" t="s">
        <v>152</v>
      </c>
      <c r="C1142" s="15" t="s">
        <v>22</v>
      </c>
      <c r="D1142" s="15" t="s">
        <v>152</v>
      </c>
      <c r="E1142" s="19">
        <v>1075544</v>
      </c>
      <c r="F1142" s="19">
        <v>269407</v>
      </c>
      <c r="G1142" s="20">
        <f t="shared" si="17"/>
        <v>0.20030989976586508</v>
      </c>
      <c r="H1142" s="24" t="s">
        <v>583</v>
      </c>
      <c r="I1142" s="24" t="s">
        <v>584</v>
      </c>
      <c r="J1142" s="24" t="s">
        <v>585</v>
      </c>
      <c r="K1142" s="24" t="s">
        <v>594</v>
      </c>
    </row>
    <row r="1143" spans="1:11">
      <c r="A1143" s="12">
        <v>2015</v>
      </c>
      <c r="B1143" s="15" t="s">
        <v>152</v>
      </c>
      <c r="C1143" s="15" t="s">
        <v>79</v>
      </c>
      <c r="D1143" s="15" t="s">
        <v>153</v>
      </c>
      <c r="E1143" s="19">
        <v>301670</v>
      </c>
      <c r="F1143" s="19">
        <v>168288</v>
      </c>
      <c r="G1143" s="20">
        <f t="shared" si="17"/>
        <v>0.35809157414066789</v>
      </c>
      <c r="H1143" s="24" t="s">
        <v>583</v>
      </c>
      <c r="I1143" s="24" t="s">
        <v>584</v>
      </c>
      <c r="J1143" s="24" t="s">
        <v>585</v>
      </c>
      <c r="K1143" s="24" t="s">
        <v>594</v>
      </c>
    </row>
    <row r="1144" spans="1:11">
      <c r="A1144" s="12">
        <v>2015</v>
      </c>
      <c r="B1144" s="15" t="s">
        <v>152</v>
      </c>
      <c r="C1144" s="15" t="s">
        <v>81</v>
      </c>
      <c r="D1144" s="15" t="s">
        <v>154</v>
      </c>
      <c r="E1144" s="19">
        <v>157440</v>
      </c>
      <c r="F1144" s="19">
        <v>84052</v>
      </c>
      <c r="G1144" s="20">
        <f t="shared" si="17"/>
        <v>0.34805293757143096</v>
      </c>
      <c r="H1144" s="24" t="s">
        <v>583</v>
      </c>
      <c r="I1144" s="24" t="s">
        <v>584</v>
      </c>
      <c r="J1144" s="24" t="s">
        <v>585</v>
      </c>
      <c r="K1144" s="24" t="s">
        <v>594</v>
      </c>
    </row>
    <row r="1145" spans="1:11">
      <c r="A1145" s="12">
        <v>2015</v>
      </c>
      <c r="B1145" s="15" t="s">
        <v>152</v>
      </c>
      <c r="C1145" s="15" t="s">
        <v>87</v>
      </c>
      <c r="D1145" s="15" t="s">
        <v>155</v>
      </c>
      <c r="E1145" s="19">
        <v>152817</v>
      </c>
      <c r="F1145" s="19">
        <v>131004</v>
      </c>
      <c r="G1145" s="20">
        <f t="shared" si="17"/>
        <v>0.46157261090616974</v>
      </c>
      <c r="H1145" s="24" t="s">
        <v>583</v>
      </c>
      <c r="I1145" s="24" t="s">
        <v>584</v>
      </c>
      <c r="J1145" s="24" t="s">
        <v>585</v>
      </c>
      <c r="K1145" s="24" t="s">
        <v>594</v>
      </c>
    </row>
    <row r="1146" spans="1:11">
      <c r="A1146" s="12">
        <v>2015</v>
      </c>
      <c r="B1146" s="15" t="s">
        <v>152</v>
      </c>
      <c r="C1146" s="15" t="s">
        <v>156</v>
      </c>
      <c r="D1146" s="15" t="s">
        <v>157</v>
      </c>
      <c r="E1146" s="19">
        <v>162336</v>
      </c>
      <c r="F1146" s="19">
        <v>171744</v>
      </c>
      <c r="G1146" s="20">
        <f t="shared" si="17"/>
        <v>0.51408045977011496</v>
      </c>
      <c r="H1146" s="24" t="s">
        <v>583</v>
      </c>
      <c r="I1146" s="24" t="s">
        <v>584</v>
      </c>
      <c r="J1146" s="24" t="s">
        <v>585</v>
      </c>
      <c r="K1146" s="24" t="s">
        <v>594</v>
      </c>
    </row>
    <row r="1147" spans="1:11">
      <c r="A1147" s="12">
        <v>2015</v>
      </c>
      <c r="B1147" s="15" t="s">
        <v>152</v>
      </c>
      <c r="C1147" s="15" t="s">
        <v>69</v>
      </c>
      <c r="D1147" s="15" t="s">
        <v>158</v>
      </c>
      <c r="E1147" s="19">
        <v>193122</v>
      </c>
      <c r="F1147" s="19">
        <v>175792</v>
      </c>
      <c r="G1147" s="20">
        <f t="shared" si="17"/>
        <v>0.47651214104100142</v>
      </c>
      <c r="H1147" s="24" t="s">
        <v>583</v>
      </c>
      <c r="I1147" s="24" t="s">
        <v>584</v>
      </c>
      <c r="J1147" s="24" t="s">
        <v>585</v>
      </c>
      <c r="K1147" s="24" t="s">
        <v>594</v>
      </c>
    </row>
    <row r="1148" spans="1:11">
      <c r="A1148" s="12">
        <v>2015</v>
      </c>
      <c r="B1148" s="15" t="s">
        <v>159</v>
      </c>
      <c r="C1148" s="15" t="s">
        <v>22</v>
      </c>
      <c r="D1148" s="15" t="s">
        <v>159</v>
      </c>
      <c r="E1148" s="19">
        <v>157149</v>
      </c>
      <c r="F1148" s="19">
        <v>158099</v>
      </c>
      <c r="G1148" s="20">
        <f t="shared" si="17"/>
        <v>0.50150675024108005</v>
      </c>
      <c r="H1148" s="24" t="s">
        <v>589</v>
      </c>
      <c r="I1148" s="24" t="s">
        <v>560</v>
      </c>
      <c r="J1148" s="24" t="s">
        <v>590</v>
      </c>
      <c r="K1148" s="24" t="s">
        <v>594</v>
      </c>
    </row>
    <row r="1149" spans="1:11">
      <c r="A1149" s="12">
        <v>2015</v>
      </c>
      <c r="B1149" s="15" t="s">
        <v>160</v>
      </c>
      <c r="C1149" s="15" t="s">
        <v>22</v>
      </c>
      <c r="D1149" s="15" t="s">
        <v>160</v>
      </c>
      <c r="E1149" s="19">
        <v>11113944</v>
      </c>
      <c r="F1149" s="19">
        <v>4220913</v>
      </c>
      <c r="G1149" s="20">
        <f t="shared" si="17"/>
        <v>0.27524958335118482</v>
      </c>
      <c r="H1149" s="24" t="s">
        <v>579</v>
      </c>
      <c r="I1149" s="24" t="s">
        <v>580</v>
      </c>
      <c r="J1149" s="24" t="s">
        <v>581</v>
      </c>
      <c r="K1149" s="24" t="s">
        <v>594</v>
      </c>
    </row>
    <row r="1150" spans="1:11">
      <c r="A1150" s="12">
        <v>2015</v>
      </c>
      <c r="B1150" s="15" t="s">
        <v>160</v>
      </c>
      <c r="C1150" s="15" t="s">
        <v>161</v>
      </c>
      <c r="D1150" s="15" t="s">
        <v>162</v>
      </c>
      <c r="E1150" s="19">
        <v>46980</v>
      </c>
      <c r="F1150" s="19">
        <v>43839</v>
      </c>
      <c r="G1150" s="20">
        <f t="shared" si="17"/>
        <v>0.48270736299672978</v>
      </c>
      <c r="H1150" s="24" t="s">
        <v>579</v>
      </c>
      <c r="I1150" s="24" t="s">
        <v>591</v>
      </c>
      <c r="J1150" s="24" t="s">
        <v>592</v>
      </c>
      <c r="K1150" s="24" t="s">
        <v>594</v>
      </c>
    </row>
    <row r="1151" spans="1:11">
      <c r="A1151" s="12">
        <v>2015</v>
      </c>
      <c r="B1151" s="15" t="s">
        <v>160</v>
      </c>
      <c r="C1151" s="15" t="s">
        <v>163</v>
      </c>
      <c r="D1151" s="15" t="s">
        <v>164</v>
      </c>
      <c r="E1151" s="19">
        <v>340339</v>
      </c>
      <c r="F1151" s="19">
        <v>282521</v>
      </c>
      <c r="G1151" s="20">
        <f t="shared" si="17"/>
        <v>0.45358668079504222</v>
      </c>
      <c r="H1151" s="24" t="s">
        <v>579</v>
      </c>
      <c r="I1151" s="24" t="s">
        <v>591</v>
      </c>
      <c r="J1151" s="24" t="s">
        <v>592</v>
      </c>
      <c r="K1151" s="24" t="s">
        <v>594</v>
      </c>
    </row>
    <row r="1152" spans="1:11">
      <c r="A1152" s="12">
        <v>2015</v>
      </c>
      <c r="B1152" s="15" t="s">
        <v>160</v>
      </c>
      <c r="C1152" s="15" t="s">
        <v>167</v>
      </c>
      <c r="D1152" s="15" t="s">
        <v>168</v>
      </c>
      <c r="E1152" s="19">
        <v>220982</v>
      </c>
      <c r="F1152" s="19">
        <v>189060</v>
      </c>
      <c r="G1152" s="20">
        <f t="shared" si="17"/>
        <v>0.46107471917510889</v>
      </c>
      <c r="H1152" s="24" t="s">
        <v>579</v>
      </c>
      <c r="I1152" s="24" t="s">
        <v>591</v>
      </c>
      <c r="J1152" s="24" t="s">
        <v>592</v>
      </c>
      <c r="K1152" s="24" t="s">
        <v>594</v>
      </c>
    </row>
    <row r="1153" spans="1:11">
      <c r="A1153" s="12">
        <v>2015</v>
      </c>
      <c r="B1153" s="15" t="s">
        <v>160</v>
      </c>
      <c r="C1153" s="15" t="s">
        <v>169</v>
      </c>
      <c r="D1153" s="15" t="s">
        <v>170</v>
      </c>
      <c r="E1153" s="19">
        <v>236740</v>
      </c>
      <c r="F1153" s="19">
        <v>200804</v>
      </c>
      <c r="G1153" s="20">
        <f t="shared" si="17"/>
        <v>0.45893441573875998</v>
      </c>
      <c r="H1153" s="24" t="s">
        <v>579</v>
      </c>
      <c r="I1153" s="24" t="s">
        <v>591</v>
      </c>
      <c r="J1153" s="24" t="s">
        <v>592</v>
      </c>
      <c r="K1153" s="24" t="s">
        <v>594</v>
      </c>
    </row>
    <row r="1154" spans="1:11">
      <c r="A1154" s="12">
        <v>2015</v>
      </c>
      <c r="B1154" s="15" t="s">
        <v>160</v>
      </c>
      <c r="C1154" s="15" t="s">
        <v>171</v>
      </c>
      <c r="D1154" s="15" t="s">
        <v>172</v>
      </c>
      <c r="E1154" s="19">
        <v>49157</v>
      </c>
      <c r="F1154" s="19">
        <v>50922</v>
      </c>
      <c r="G1154" s="20">
        <f t="shared" si="17"/>
        <v>0.5088180337533349</v>
      </c>
      <c r="H1154" s="24" t="s">
        <v>579</v>
      </c>
      <c r="I1154" s="24" t="s">
        <v>591</v>
      </c>
      <c r="J1154" s="24" t="s">
        <v>592</v>
      </c>
      <c r="K1154" s="24" t="s">
        <v>594</v>
      </c>
    </row>
    <row r="1155" spans="1:11">
      <c r="A1155" s="12">
        <v>2015</v>
      </c>
      <c r="B1155" s="15" t="s">
        <v>160</v>
      </c>
      <c r="C1155" s="15" t="s">
        <v>173</v>
      </c>
      <c r="D1155" s="15" t="s">
        <v>174</v>
      </c>
      <c r="E1155" s="19">
        <v>284566</v>
      </c>
      <c r="F1155" s="19">
        <v>201027</v>
      </c>
      <c r="G1155" s="20">
        <f t="shared" si="17"/>
        <v>0.41398249151038008</v>
      </c>
      <c r="H1155" s="24" t="s">
        <v>579</v>
      </c>
      <c r="I1155" s="24" t="s">
        <v>591</v>
      </c>
      <c r="J1155" s="24" t="s">
        <v>592</v>
      </c>
      <c r="K1155" s="24" t="s">
        <v>594</v>
      </c>
    </row>
    <row r="1156" spans="1:11">
      <c r="A1156" s="12">
        <v>2015</v>
      </c>
      <c r="B1156" s="15" t="s">
        <v>160</v>
      </c>
      <c r="C1156" s="15" t="s">
        <v>175</v>
      </c>
      <c r="D1156" s="15" t="s">
        <v>176</v>
      </c>
      <c r="E1156" s="19">
        <v>227040</v>
      </c>
      <c r="F1156" s="19">
        <v>209743</v>
      </c>
      <c r="G1156" s="20">
        <f t="shared" si="17"/>
        <v>0.48019954989090691</v>
      </c>
      <c r="H1156" s="24" t="s">
        <v>579</v>
      </c>
      <c r="I1156" s="24" t="s">
        <v>591</v>
      </c>
      <c r="J1156" s="24" t="s">
        <v>592</v>
      </c>
      <c r="K1156" s="24" t="s">
        <v>594</v>
      </c>
    </row>
    <row r="1157" spans="1:11">
      <c r="A1157" s="12">
        <v>2015</v>
      </c>
      <c r="B1157" s="15" t="s">
        <v>160</v>
      </c>
      <c r="C1157" s="15" t="s">
        <v>177</v>
      </c>
      <c r="D1157" s="15" t="s">
        <v>178</v>
      </c>
      <c r="E1157" s="19">
        <v>151974</v>
      </c>
      <c r="F1157" s="19">
        <v>103467</v>
      </c>
      <c r="G1157" s="20">
        <f t="shared" si="17"/>
        <v>0.40505243872361918</v>
      </c>
      <c r="H1157" s="24" t="s">
        <v>579</v>
      </c>
      <c r="I1157" s="24" t="s">
        <v>591</v>
      </c>
      <c r="J1157" s="24" t="s">
        <v>592</v>
      </c>
      <c r="K1157" s="24" t="s">
        <v>594</v>
      </c>
    </row>
    <row r="1158" spans="1:11">
      <c r="A1158" s="12">
        <v>2015</v>
      </c>
      <c r="B1158" s="15" t="s">
        <v>160</v>
      </c>
      <c r="C1158" s="15" t="s">
        <v>179</v>
      </c>
      <c r="D1158" s="15" t="s">
        <v>180</v>
      </c>
      <c r="E1158" s="19">
        <v>236562</v>
      </c>
      <c r="F1158" s="19">
        <v>174237</v>
      </c>
      <c r="G1158" s="20">
        <f t="shared" ref="G1158:G1221" si="18">IFERROR(F1158/(E1158+F1158),"")</f>
        <v>0.42414173354852375</v>
      </c>
      <c r="H1158" s="24" t="s">
        <v>579</v>
      </c>
      <c r="I1158" s="24" t="s">
        <v>591</v>
      </c>
      <c r="J1158" s="24" t="s">
        <v>592</v>
      </c>
      <c r="K1158" s="24" t="s">
        <v>594</v>
      </c>
    </row>
    <row r="1159" spans="1:11">
      <c r="A1159" s="12">
        <v>2015</v>
      </c>
      <c r="B1159" s="15" t="s">
        <v>160</v>
      </c>
      <c r="C1159" s="15" t="s">
        <v>181</v>
      </c>
      <c r="D1159" s="15" t="s">
        <v>182</v>
      </c>
      <c r="E1159" s="19">
        <v>293008</v>
      </c>
      <c r="F1159" s="19">
        <v>205028</v>
      </c>
      <c r="G1159" s="20">
        <f t="shared" si="18"/>
        <v>0.41167305174726326</v>
      </c>
      <c r="H1159" s="24" t="s">
        <v>579</v>
      </c>
      <c r="I1159" s="24" t="s">
        <v>591</v>
      </c>
      <c r="J1159" s="24" t="s">
        <v>592</v>
      </c>
      <c r="K1159" s="24" t="s">
        <v>594</v>
      </c>
    </row>
    <row r="1160" spans="1:11">
      <c r="A1160" s="12">
        <v>2015</v>
      </c>
      <c r="B1160" s="15" t="s">
        <v>160</v>
      </c>
      <c r="C1160" s="15" t="s">
        <v>183</v>
      </c>
      <c r="D1160" s="15" t="s">
        <v>184</v>
      </c>
      <c r="E1160" s="19">
        <v>521090</v>
      </c>
      <c r="F1160" s="19">
        <v>398379</v>
      </c>
      <c r="G1160" s="20">
        <f t="shared" si="18"/>
        <v>0.43327072473351469</v>
      </c>
      <c r="H1160" s="24" t="s">
        <v>579</v>
      </c>
      <c r="I1160" s="24" t="s">
        <v>591</v>
      </c>
      <c r="J1160" s="24" t="s">
        <v>592</v>
      </c>
      <c r="K1160" s="24" t="s">
        <v>594</v>
      </c>
    </row>
    <row r="1161" spans="1:11">
      <c r="A1161" s="12">
        <v>2015</v>
      </c>
      <c r="B1161" s="15" t="s">
        <v>160</v>
      </c>
      <c r="C1161" s="15" t="s">
        <v>185</v>
      </c>
      <c r="D1161" s="15" t="s">
        <v>186</v>
      </c>
      <c r="E1161" s="19">
        <v>79286</v>
      </c>
      <c r="F1161" s="19">
        <v>55211</v>
      </c>
      <c r="G1161" s="20">
        <f t="shared" si="18"/>
        <v>0.4104998624504636</v>
      </c>
      <c r="H1161" s="24" t="s">
        <v>579</v>
      </c>
      <c r="I1161" s="24" t="s">
        <v>591</v>
      </c>
      <c r="J1161" s="24" t="s">
        <v>592</v>
      </c>
      <c r="K1161" s="24" t="s">
        <v>594</v>
      </c>
    </row>
    <row r="1162" spans="1:11">
      <c r="A1162" s="12">
        <v>2015</v>
      </c>
      <c r="B1162" s="15" t="s">
        <v>160</v>
      </c>
      <c r="C1162" s="15" t="s">
        <v>189</v>
      </c>
      <c r="D1162" s="15" t="s">
        <v>190</v>
      </c>
      <c r="E1162" s="19">
        <v>165960</v>
      </c>
      <c r="F1162" s="19">
        <v>164502</v>
      </c>
      <c r="G1162" s="20">
        <f t="shared" si="18"/>
        <v>0.49779399749441688</v>
      </c>
      <c r="H1162" s="24" t="s">
        <v>579</v>
      </c>
      <c r="I1162" s="24" t="s">
        <v>580</v>
      </c>
      <c r="J1162" s="24" t="s">
        <v>581</v>
      </c>
      <c r="K1162" s="24" t="s">
        <v>594</v>
      </c>
    </row>
    <row r="1163" spans="1:11">
      <c r="A1163" s="12">
        <v>2015</v>
      </c>
      <c r="B1163" s="15" t="s">
        <v>160</v>
      </c>
      <c r="C1163" s="15" t="s">
        <v>191</v>
      </c>
      <c r="D1163" s="15" t="s">
        <v>192</v>
      </c>
      <c r="E1163" s="19">
        <v>137440</v>
      </c>
      <c r="F1163" s="19">
        <v>127081</v>
      </c>
      <c r="G1163" s="20">
        <f t="shared" si="18"/>
        <v>0.48041932398561926</v>
      </c>
      <c r="H1163" s="24" t="s">
        <v>579</v>
      </c>
      <c r="I1163" s="24" t="s">
        <v>580</v>
      </c>
      <c r="J1163" s="24" t="s">
        <v>581</v>
      </c>
      <c r="K1163" s="24" t="s">
        <v>594</v>
      </c>
    </row>
    <row r="1164" spans="1:11">
      <c r="A1164" s="12">
        <v>2015</v>
      </c>
      <c r="B1164" s="15" t="s">
        <v>160</v>
      </c>
      <c r="C1164" s="15" t="s">
        <v>193</v>
      </c>
      <c r="D1164" s="15" t="s">
        <v>194</v>
      </c>
      <c r="E1164" s="19">
        <v>367480</v>
      </c>
      <c r="F1164" s="19">
        <v>248316</v>
      </c>
      <c r="G1164" s="20">
        <f t="shared" si="18"/>
        <v>0.40324393143183784</v>
      </c>
      <c r="H1164" s="24" t="s">
        <v>579</v>
      </c>
      <c r="I1164" s="24" t="s">
        <v>580</v>
      </c>
      <c r="J1164" s="24" t="s">
        <v>581</v>
      </c>
      <c r="K1164" s="24" t="s">
        <v>594</v>
      </c>
    </row>
    <row r="1165" spans="1:11">
      <c r="A1165" s="12">
        <v>2015</v>
      </c>
      <c r="B1165" s="15" t="s">
        <v>160</v>
      </c>
      <c r="C1165" s="15" t="s">
        <v>195</v>
      </c>
      <c r="D1165" s="15" t="s">
        <v>196</v>
      </c>
      <c r="E1165" s="19">
        <v>416527</v>
      </c>
      <c r="F1165" s="19">
        <v>274428</v>
      </c>
      <c r="G1165" s="20">
        <f t="shared" si="18"/>
        <v>0.39717203001642654</v>
      </c>
      <c r="H1165" s="24" t="s">
        <v>579</v>
      </c>
      <c r="I1165" s="24" t="s">
        <v>580</v>
      </c>
      <c r="J1165" s="24" t="s">
        <v>581</v>
      </c>
      <c r="K1165" s="24" t="s">
        <v>594</v>
      </c>
    </row>
    <row r="1166" spans="1:11">
      <c r="A1166" s="12">
        <v>2015</v>
      </c>
      <c r="B1166" s="15" t="s">
        <v>160</v>
      </c>
      <c r="C1166" s="15" t="s">
        <v>197</v>
      </c>
      <c r="D1166" s="15" t="s">
        <v>198</v>
      </c>
      <c r="E1166" s="19">
        <v>151763</v>
      </c>
      <c r="F1166" s="19">
        <v>162979</v>
      </c>
      <c r="G1166" s="20">
        <f t="shared" si="18"/>
        <v>0.51781776820379866</v>
      </c>
      <c r="H1166" s="24" t="s">
        <v>579</v>
      </c>
      <c r="I1166" s="24" t="s">
        <v>580</v>
      </c>
      <c r="J1166" s="24" t="s">
        <v>581</v>
      </c>
      <c r="K1166" s="24" t="s">
        <v>594</v>
      </c>
    </row>
    <row r="1167" spans="1:11">
      <c r="A1167" s="12">
        <v>2015</v>
      </c>
      <c r="B1167" s="15" t="s">
        <v>160</v>
      </c>
      <c r="C1167" s="15" t="s">
        <v>199</v>
      </c>
      <c r="D1167" s="15" t="s">
        <v>200</v>
      </c>
      <c r="E1167" s="19">
        <v>185337</v>
      </c>
      <c r="F1167" s="19">
        <v>178969</v>
      </c>
      <c r="G1167" s="20">
        <f t="shared" si="18"/>
        <v>0.49126009453591213</v>
      </c>
      <c r="H1167" s="24" t="s">
        <v>579</v>
      </c>
      <c r="I1167" s="24" t="s">
        <v>580</v>
      </c>
      <c r="J1167" s="24" t="s">
        <v>581</v>
      </c>
      <c r="K1167" s="24" t="s">
        <v>594</v>
      </c>
    </row>
    <row r="1168" spans="1:11">
      <c r="A1168" s="12">
        <v>2015</v>
      </c>
      <c r="B1168" s="15" t="s">
        <v>160</v>
      </c>
      <c r="C1168" s="15" t="s">
        <v>201</v>
      </c>
      <c r="D1168" s="15" t="s">
        <v>202</v>
      </c>
      <c r="E1168" s="19">
        <v>255762</v>
      </c>
      <c r="F1168" s="19">
        <v>260913</v>
      </c>
      <c r="G1168" s="20">
        <f t="shared" si="18"/>
        <v>0.50498475831034983</v>
      </c>
      <c r="H1168" s="24" t="s">
        <v>579</v>
      </c>
      <c r="I1168" s="24" t="s">
        <v>580</v>
      </c>
      <c r="J1168" s="24" t="s">
        <v>581</v>
      </c>
      <c r="K1168" s="24" t="s">
        <v>594</v>
      </c>
    </row>
    <row r="1169" spans="1:11">
      <c r="A1169" s="12">
        <v>2015</v>
      </c>
      <c r="B1169" s="15" t="s">
        <v>160</v>
      </c>
      <c r="C1169" s="15" t="s">
        <v>203</v>
      </c>
      <c r="D1169" s="15" t="s">
        <v>204</v>
      </c>
      <c r="E1169" s="19">
        <v>263577</v>
      </c>
      <c r="F1169" s="19">
        <v>231418</v>
      </c>
      <c r="G1169" s="20">
        <f t="shared" si="18"/>
        <v>0.46751583349326759</v>
      </c>
      <c r="H1169" s="24" t="s">
        <v>579</v>
      </c>
      <c r="I1169" s="24" t="s">
        <v>580</v>
      </c>
      <c r="J1169" s="24" t="s">
        <v>581</v>
      </c>
      <c r="K1169" s="24" t="s">
        <v>594</v>
      </c>
    </row>
    <row r="1170" spans="1:11">
      <c r="A1170" s="12">
        <v>2015</v>
      </c>
      <c r="B1170" s="15" t="s">
        <v>160</v>
      </c>
      <c r="C1170" s="15" t="s">
        <v>205</v>
      </c>
      <c r="D1170" s="15" t="s">
        <v>206</v>
      </c>
      <c r="E1170" s="19">
        <v>238548</v>
      </c>
      <c r="F1170" s="19">
        <v>199735</v>
      </c>
      <c r="G1170" s="20">
        <f t="shared" si="18"/>
        <v>0.45572153152187056</v>
      </c>
      <c r="H1170" s="24" t="s">
        <v>579</v>
      </c>
      <c r="I1170" s="24" t="s">
        <v>580</v>
      </c>
      <c r="J1170" s="24" t="s">
        <v>581</v>
      </c>
      <c r="K1170" s="24" t="s">
        <v>594</v>
      </c>
    </row>
    <row r="1171" spans="1:11">
      <c r="A1171" s="12">
        <v>2015</v>
      </c>
      <c r="B1171" s="15" t="s">
        <v>160</v>
      </c>
      <c r="C1171" s="15" t="s">
        <v>207</v>
      </c>
      <c r="D1171" s="15" t="s">
        <v>208</v>
      </c>
      <c r="E1171" s="19">
        <v>152123</v>
      </c>
      <c r="F1171" s="19">
        <v>143387</v>
      </c>
      <c r="G1171" s="20">
        <f t="shared" si="18"/>
        <v>0.48521877432235794</v>
      </c>
      <c r="H1171" s="24" t="s">
        <v>579</v>
      </c>
      <c r="I1171" s="24" t="s">
        <v>580</v>
      </c>
      <c r="J1171" s="24" t="s">
        <v>581</v>
      </c>
      <c r="K1171" s="24" t="s">
        <v>594</v>
      </c>
    </row>
    <row r="1172" spans="1:11">
      <c r="A1172" s="12">
        <v>2015</v>
      </c>
      <c r="B1172" s="15" t="s">
        <v>160</v>
      </c>
      <c r="C1172" s="15" t="s">
        <v>209</v>
      </c>
      <c r="D1172" s="15" t="s">
        <v>210</v>
      </c>
      <c r="E1172" s="19">
        <v>333287</v>
      </c>
      <c r="F1172" s="19">
        <v>227265</v>
      </c>
      <c r="G1172" s="20">
        <f t="shared" si="18"/>
        <v>0.40543071829196936</v>
      </c>
      <c r="H1172" s="24" t="s">
        <v>579</v>
      </c>
      <c r="I1172" s="24" t="s">
        <v>591</v>
      </c>
      <c r="J1172" s="24" t="s">
        <v>592</v>
      </c>
      <c r="K1172" s="24" t="s">
        <v>594</v>
      </c>
    </row>
    <row r="1173" spans="1:11">
      <c r="A1173" s="12">
        <v>2015</v>
      </c>
      <c r="B1173" s="15" t="s">
        <v>160</v>
      </c>
      <c r="C1173" s="15" t="s">
        <v>211</v>
      </c>
      <c r="D1173" s="15" t="s">
        <v>212</v>
      </c>
      <c r="E1173" s="19">
        <v>275686</v>
      </c>
      <c r="F1173" s="19">
        <v>156653</v>
      </c>
      <c r="G1173" s="20">
        <f t="shared" si="18"/>
        <v>0.36233835022979655</v>
      </c>
      <c r="H1173" s="24" t="s">
        <v>579</v>
      </c>
      <c r="I1173" s="24" t="s">
        <v>591</v>
      </c>
      <c r="J1173" s="24" t="s">
        <v>592</v>
      </c>
      <c r="K1173" s="24" t="s">
        <v>594</v>
      </c>
    </row>
    <row r="1174" spans="1:11">
      <c r="A1174" s="12">
        <v>2015</v>
      </c>
      <c r="B1174" s="15" t="s">
        <v>160</v>
      </c>
      <c r="C1174" s="15" t="s">
        <v>213</v>
      </c>
      <c r="D1174" s="15" t="s">
        <v>214</v>
      </c>
      <c r="E1174" s="19">
        <v>289890</v>
      </c>
      <c r="F1174" s="19">
        <v>269949</v>
      </c>
      <c r="G1174" s="20">
        <f t="shared" si="18"/>
        <v>0.48219041545873009</v>
      </c>
      <c r="H1174" s="24" t="s">
        <v>579</v>
      </c>
      <c r="I1174" s="24" t="s">
        <v>591</v>
      </c>
      <c r="J1174" s="24" t="s">
        <v>592</v>
      </c>
      <c r="K1174" s="24" t="s">
        <v>594</v>
      </c>
    </row>
    <row r="1175" spans="1:11">
      <c r="A1175" s="12">
        <v>2015</v>
      </c>
      <c r="B1175" s="15" t="s">
        <v>160</v>
      </c>
      <c r="C1175" s="15" t="s">
        <v>215</v>
      </c>
      <c r="D1175" s="15" t="s">
        <v>216</v>
      </c>
      <c r="E1175" s="19">
        <v>151194</v>
      </c>
      <c r="F1175" s="19">
        <v>107208</v>
      </c>
      <c r="G1175" s="20">
        <f t="shared" si="18"/>
        <v>0.41488842965611722</v>
      </c>
      <c r="H1175" s="24" t="s">
        <v>579</v>
      </c>
      <c r="I1175" s="24" t="s">
        <v>591</v>
      </c>
      <c r="J1175" s="24" t="s">
        <v>592</v>
      </c>
      <c r="K1175" s="24" t="s">
        <v>594</v>
      </c>
    </row>
    <row r="1176" spans="1:11">
      <c r="A1176" s="12">
        <v>2015</v>
      </c>
      <c r="B1176" s="15" t="s">
        <v>160</v>
      </c>
      <c r="C1176" s="15" t="s">
        <v>217</v>
      </c>
      <c r="D1176" s="15" t="s">
        <v>218</v>
      </c>
      <c r="E1176" s="19">
        <v>287756</v>
      </c>
      <c r="F1176" s="19">
        <v>208962</v>
      </c>
      <c r="G1176" s="20">
        <f t="shared" si="18"/>
        <v>0.42068537882661794</v>
      </c>
      <c r="H1176" s="24" t="s">
        <v>579</v>
      </c>
      <c r="I1176" s="24" t="s">
        <v>580</v>
      </c>
      <c r="J1176" s="24" t="s">
        <v>581</v>
      </c>
      <c r="K1176" s="24" t="s">
        <v>594</v>
      </c>
    </row>
    <row r="1177" spans="1:11">
      <c r="A1177" s="12">
        <v>2015</v>
      </c>
      <c r="B1177" s="15" t="s">
        <v>160</v>
      </c>
      <c r="C1177" s="15" t="s">
        <v>219</v>
      </c>
      <c r="D1177" s="15" t="s">
        <v>220</v>
      </c>
      <c r="E1177" s="19">
        <v>189754</v>
      </c>
      <c r="F1177" s="19">
        <v>164022</v>
      </c>
      <c r="G1177" s="20">
        <f t="shared" si="18"/>
        <v>0.46363235493645699</v>
      </c>
      <c r="H1177" s="24" t="s">
        <v>579</v>
      </c>
      <c r="I1177" s="24" t="s">
        <v>580</v>
      </c>
      <c r="J1177" s="24" t="s">
        <v>581</v>
      </c>
      <c r="K1177" s="24" t="s">
        <v>594</v>
      </c>
    </row>
    <row r="1178" spans="1:11">
      <c r="A1178" s="12">
        <v>2015</v>
      </c>
      <c r="B1178" s="15" t="s">
        <v>160</v>
      </c>
      <c r="C1178" s="15" t="s">
        <v>221</v>
      </c>
      <c r="D1178" s="15" t="s">
        <v>222</v>
      </c>
      <c r="E1178" s="19">
        <v>154575</v>
      </c>
      <c r="F1178" s="19">
        <v>143905</v>
      </c>
      <c r="G1178" s="20">
        <f t="shared" si="18"/>
        <v>0.48212610560171537</v>
      </c>
      <c r="H1178" s="24" t="s">
        <v>579</v>
      </c>
      <c r="I1178" s="24" t="s">
        <v>591</v>
      </c>
      <c r="J1178" s="24" t="s">
        <v>592</v>
      </c>
      <c r="K1178" s="24" t="s">
        <v>594</v>
      </c>
    </row>
    <row r="1179" spans="1:11">
      <c r="A1179" s="12">
        <v>2015</v>
      </c>
      <c r="B1179" s="15" t="s">
        <v>160</v>
      </c>
      <c r="C1179" s="15" t="s">
        <v>223</v>
      </c>
      <c r="D1179" s="15" t="s">
        <v>224</v>
      </c>
      <c r="E1179" s="19">
        <v>79848</v>
      </c>
      <c r="F1179" s="19">
        <v>70569</v>
      </c>
      <c r="G1179" s="20">
        <f t="shared" si="18"/>
        <v>0.46915574702327528</v>
      </c>
      <c r="H1179" s="24" t="s">
        <v>579</v>
      </c>
      <c r="I1179" s="24" t="s">
        <v>591</v>
      </c>
      <c r="J1179" s="24" t="s">
        <v>592</v>
      </c>
      <c r="K1179" s="24" t="s">
        <v>594</v>
      </c>
    </row>
    <row r="1180" spans="1:11">
      <c r="A1180" s="12">
        <v>2015</v>
      </c>
      <c r="B1180" s="15" t="s">
        <v>160</v>
      </c>
      <c r="C1180" s="15" t="s">
        <v>227</v>
      </c>
      <c r="D1180" s="15" t="s">
        <v>228</v>
      </c>
      <c r="E1180" s="19">
        <v>85659</v>
      </c>
      <c r="F1180" s="19">
        <v>66533</v>
      </c>
      <c r="G1180" s="20">
        <f t="shared" si="18"/>
        <v>0.43716489697224559</v>
      </c>
      <c r="H1180" s="24" t="s">
        <v>579</v>
      </c>
      <c r="I1180" s="24" t="s">
        <v>591</v>
      </c>
      <c r="J1180" s="24" t="s">
        <v>592</v>
      </c>
      <c r="K1180" s="24" t="s">
        <v>594</v>
      </c>
    </row>
    <row r="1181" spans="1:11">
      <c r="A1181" s="12">
        <v>2015</v>
      </c>
      <c r="B1181" s="15" t="s">
        <v>160</v>
      </c>
      <c r="C1181" s="15" t="s">
        <v>229</v>
      </c>
      <c r="D1181" s="15" t="s">
        <v>230</v>
      </c>
      <c r="E1181" s="19">
        <v>32477</v>
      </c>
      <c r="F1181" s="19">
        <v>32787</v>
      </c>
      <c r="G1181" s="20">
        <f t="shared" si="18"/>
        <v>0.50237496935523418</v>
      </c>
      <c r="H1181" s="24" t="s">
        <v>579</v>
      </c>
      <c r="I1181" s="24" t="s">
        <v>591</v>
      </c>
      <c r="J1181" s="24" t="s">
        <v>592</v>
      </c>
      <c r="K1181" s="24" t="s">
        <v>594</v>
      </c>
    </row>
    <row r="1182" spans="1:11">
      <c r="A1182" s="12">
        <v>2015</v>
      </c>
      <c r="B1182" s="15" t="s">
        <v>160</v>
      </c>
      <c r="C1182" s="15" t="s">
        <v>231</v>
      </c>
      <c r="D1182" s="15" t="s">
        <v>232</v>
      </c>
      <c r="E1182" s="19">
        <v>170252</v>
      </c>
      <c r="F1182" s="19">
        <v>119450</v>
      </c>
      <c r="G1182" s="20">
        <f t="shared" si="18"/>
        <v>0.4123202463220827</v>
      </c>
      <c r="H1182" s="24" t="s">
        <v>579</v>
      </c>
      <c r="I1182" s="24" t="s">
        <v>591</v>
      </c>
      <c r="J1182" s="24" t="s">
        <v>592</v>
      </c>
      <c r="K1182" s="24" t="s">
        <v>594</v>
      </c>
    </row>
    <row r="1183" spans="1:11">
      <c r="A1183" s="12">
        <v>2015</v>
      </c>
      <c r="B1183" s="15" t="s">
        <v>160</v>
      </c>
      <c r="C1183" s="15" t="s">
        <v>235</v>
      </c>
      <c r="D1183" s="15" t="s">
        <v>236</v>
      </c>
      <c r="E1183" s="19">
        <v>305210</v>
      </c>
      <c r="F1183" s="19">
        <v>293308</v>
      </c>
      <c r="G1183" s="20">
        <f t="shared" si="18"/>
        <v>0.49005710772274186</v>
      </c>
      <c r="H1183" s="24" t="s">
        <v>579</v>
      </c>
      <c r="I1183" s="24" t="s">
        <v>591</v>
      </c>
      <c r="J1183" s="24" t="s">
        <v>592</v>
      </c>
      <c r="K1183" s="24" t="s">
        <v>594</v>
      </c>
    </row>
    <row r="1184" spans="1:11">
      <c r="A1184" s="12">
        <v>2015</v>
      </c>
      <c r="B1184" s="15" t="s">
        <v>160</v>
      </c>
      <c r="C1184" s="15" t="s">
        <v>237</v>
      </c>
      <c r="D1184" s="15" t="s">
        <v>238</v>
      </c>
      <c r="E1184" s="19">
        <v>256170</v>
      </c>
      <c r="F1184" s="19">
        <v>255052</v>
      </c>
      <c r="G1184" s="20">
        <f t="shared" si="18"/>
        <v>0.49890654158076136</v>
      </c>
      <c r="H1184" s="24" t="s">
        <v>579</v>
      </c>
      <c r="I1184" s="24" t="s">
        <v>591</v>
      </c>
      <c r="J1184" s="24" t="s">
        <v>592</v>
      </c>
      <c r="K1184" s="24" t="s">
        <v>594</v>
      </c>
    </row>
    <row r="1185" spans="1:11">
      <c r="A1185" s="12">
        <v>2015</v>
      </c>
      <c r="B1185" s="15" t="s">
        <v>160</v>
      </c>
      <c r="C1185" s="15" t="s">
        <v>239</v>
      </c>
      <c r="D1185" s="15" t="s">
        <v>240</v>
      </c>
      <c r="E1185" s="19">
        <v>173531</v>
      </c>
      <c r="F1185" s="19">
        <v>128235</v>
      </c>
      <c r="G1185" s="20">
        <f t="shared" si="18"/>
        <v>0.42494847000656139</v>
      </c>
      <c r="H1185" s="24" t="s">
        <v>579</v>
      </c>
      <c r="I1185" s="24" t="s">
        <v>591</v>
      </c>
      <c r="J1185" s="24" t="s">
        <v>592</v>
      </c>
      <c r="K1185" s="24" t="s">
        <v>594</v>
      </c>
    </row>
    <row r="1186" spans="1:11">
      <c r="A1186" s="12">
        <v>2015</v>
      </c>
      <c r="B1186" s="15" t="s">
        <v>160</v>
      </c>
      <c r="C1186" s="15" t="s">
        <v>241</v>
      </c>
      <c r="D1186" s="15" t="s">
        <v>242</v>
      </c>
      <c r="E1186" s="19">
        <v>108502</v>
      </c>
      <c r="F1186" s="19">
        <v>125585</v>
      </c>
      <c r="G1186" s="20">
        <f t="shared" si="18"/>
        <v>0.53648857048874987</v>
      </c>
      <c r="H1186" s="24" t="s">
        <v>579</v>
      </c>
      <c r="I1186" s="24" t="s">
        <v>591</v>
      </c>
      <c r="J1186" s="24" t="s">
        <v>592</v>
      </c>
      <c r="K1186" s="24" t="s">
        <v>594</v>
      </c>
    </row>
    <row r="1187" spans="1:11">
      <c r="A1187" s="12">
        <v>2015</v>
      </c>
      <c r="B1187" s="15" t="s">
        <v>160</v>
      </c>
      <c r="C1187" s="15" t="s">
        <v>243</v>
      </c>
      <c r="D1187" s="15" t="s">
        <v>244</v>
      </c>
      <c r="E1187" s="19">
        <v>358478</v>
      </c>
      <c r="F1187" s="19">
        <v>209546</v>
      </c>
      <c r="G1187" s="20">
        <f t="shared" si="18"/>
        <v>0.3689034266157768</v>
      </c>
      <c r="H1187" s="24" t="s">
        <v>579</v>
      </c>
      <c r="I1187" s="24" t="s">
        <v>580</v>
      </c>
      <c r="J1187" s="24" t="s">
        <v>581</v>
      </c>
      <c r="K1187" s="24" t="s">
        <v>594</v>
      </c>
    </row>
    <row r="1188" spans="1:11">
      <c r="A1188" s="12">
        <v>2015</v>
      </c>
      <c r="B1188" s="15" t="s">
        <v>160</v>
      </c>
      <c r="C1188" s="15" t="s">
        <v>245</v>
      </c>
      <c r="D1188" s="15" t="s">
        <v>246</v>
      </c>
      <c r="E1188" s="19">
        <v>174543</v>
      </c>
      <c r="F1188" s="19">
        <v>101851</v>
      </c>
      <c r="G1188" s="20">
        <f t="shared" si="18"/>
        <v>0.36849931619354981</v>
      </c>
      <c r="H1188" s="24" t="s">
        <v>579</v>
      </c>
      <c r="I1188" s="24" t="s">
        <v>591</v>
      </c>
      <c r="J1188" s="24" t="s">
        <v>592</v>
      </c>
      <c r="K1188" s="24" t="s">
        <v>594</v>
      </c>
    </row>
    <row r="1189" spans="1:11">
      <c r="A1189" s="12">
        <v>2015</v>
      </c>
      <c r="B1189" s="15" t="s">
        <v>160</v>
      </c>
      <c r="C1189" s="15" t="s">
        <v>247</v>
      </c>
      <c r="D1189" s="15" t="s">
        <v>248</v>
      </c>
      <c r="E1189" s="19">
        <v>343251</v>
      </c>
      <c r="F1189" s="19">
        <v>254799</v>
      </c>
      <c r="G1189" s="20">
        <f t="shared" si="18"/>
        <v>0.42604966139954853</v>
      </c>
      <c r="H1189" s="24" t="s">
        <v>579</v>
      </c>
      <c r="I1189" s="24" t="s">
        <v>591</v>
      </c>
      <c r="J1189" s="24" t="s">
        <v>592</v>
      </c>
      <c r="K1189" s="24" t="s">
        <v>594</v>
      </c>
    </row>
    <row r="1190" spans="1:11">
      <c r="A1190" s="12">
        <v>2015</v>
      </c>
      <c r="B1190" s="15" t="s">
        <v>160</v>
      </c>
      <c r="C1190" s="15" t="s">
        <v>249</v>
      </c>
      <c r="D1190" s="15" t="s">
        <v>250</v>
      </c>
      <c r="E1190" s="19">
        <v>393691</v>
      </c>
      <c r="F1190" s="19">
        <v>215431</v>
      </c>
      <c r="G1190" s="20">
        <f t="shared" si="18"/>
        <v>0.35367463332468702</v>
      </c>
      <c r="H1190" s="24" t="s">
        <v>579</v>
      </c>
      <c r="I1190" s="24" t="s">
        <v>591</v>
      </c>
      <c r="J1190" s="24" t="s">
        <v>592</v>
      </c>
      <c r="K1190" s="24" t="s">
        <v>594</v>
      </c>
    </row>
    <row r="1191" spans="1:11">
      <c r="A1191" s="12">
        <v>2015</v>
      </c>
      <c r="B1191" s="15" t="s">
        <v>160</v>
      </c>
      <c r="C1191" s="15" t="s">
        <v>251</v>
      </c>
      <c r="D1191" s="15" t="s">
        <v>252</v>
      </c>
      <c r="E1191" s="19">
        <v>126300</v>
      </c>
      <c r="F1191" s="19">
        <v>91282</v>
      </c>
      <c r="G1191" s="20">
        <f t="shared" si="18"/>
        <v>0.41952918899541325</v>
      </c>
      <c r="H1191" s="24" t="s">
        <v>579</v>
      </c>
      <c r="I1191" s="24" t="s">
        <v>591</v>
      </c>
      <c r="J1191" s="24" t="s">
        <v>592</v>
      </c>
      <c r="K1191" s="24" t="s">
        <v>594</v>
      </c>
    </row>
    <row r="1192" spans="1:11">
      <c r="A1192" s="12">
        <v>2015</v>
      </c>
      <c r="B1192" s="15" t="s">
        <v>160</v>
      </c>
      <c r="C1192" s="15" t="s">
        <v>253</v>
      </c>
      <c r="D1192" s="15" t="s">
        <v>254</v>
      </c>
      <c r="E1192" s="19">
        <v>116930</v>
      </c>
      <c r="F1192" s="19">
        <v>116099</v>
      </c>
      <c r="G1192" s="20">
        <f t="shared" si="18"/>
        <v>0.49821696012084332</v>
      </c>
      <c r="H1192" s="24" t="s">
        <v>579</v>
      </c>
      <c r="I1192" s="24" t="s">
        <v>591</v>
      </c>
      <c r="J1192" s="24" t="s">
        <v>592</v>
      </c>
      <c r="K1192" s="24" t="s">
        <v>594</v>
      </c>
    </row>
    <row r="1193" spans="1:11">
      <c r="A1193" s="12">
        <v>2015</v>
      </c>
      <c r="B1193" s="15" t="s">
        <v>160</v>
      </c>
      <c r="C1193" s="15" t="s">
        <v>255</v>
      </c>
      <c r="D1193" s="15" t="s">
        <v>256</v>
      </c>
      <c r="E1193" s="19">
        <v>490469</v>
      </c>
      <c r="F1193" s="19">
        <v>383290</v>
      </c>
      <c r="G1193" s="20">
        <f t="shared" si="18"/>
        <v>0.43866787065998747</v>
      </c>
      <c r="H1193" s="24" t="s">
        <v>579</v>
      </c>
      <c r="I1193" s="24" t="s">
        <v>591</v>
      </c>
      <c r="J1193" s="24" t="s">
        <v>592</v>
      </c>
      <c r="K1193" s="24" t="s">
        <v>594</v>
      </c>
    </row>
    <row r="1194" spans="1:11">
      <c r="A1194" s="12">
        <v>2015</v>
      </c>
      <c r="B1194" s="15" t="s">
        <v>257</v>
      </c>
      <c r="C1194" s="15" t="s">
        <v>22</v>
      </c>
      <c r="D1194" s="15" t="s">
        <v>257</v>
      </c>
      <c r="E1194" s="19">
        <v>1348983</v>
      </c>
      <c r="F1194" s="19">
        <v>422892</v>
      </c>
      <c r="G1194" s="20">
        <f t="shared" si="18"/>
        <v>0.23866920634920635</v>
      </c>
      <c r="H1194" s="24" t="s">
        <v>579</v>
      </c>
      <c r="I1194" s="24" t="s">
        <v>591</v>
      </c>
      <c r="J1194" s="24" t="s">
        <v>592</v>
      </c>
      <c r="K1194" s="24" t="s">
        <v>594</v>
      </c>
    </row>
    <row r="1195" spans="1:11">
      <c r="A1195" s="12">
        <v>2015</v>
      </c>
      <c r="B1195" s="15" t="s">
        <v>257</v>
      </c>
      <c r="C1195" s="15" t="s">
        <v>258</v>
      </c>
      <c r="D1195" s="15" t="s">
        <v>259</v>
      </c>
      <c r="E1195" s="19">
        <v>186239</v>
      </c>
      <c r="F1195" s="19">
        <v>56426</v>
      </c>
      <c r="G1195" s="20">
        <f t="shared" si="18"/>
        <v>0.23252632229616962</v>
      </c>
      <c r="H1195" s="24" t="s">
        <v>579</v>
      </c>
      <c r="I1195" s="24" t="s">
        <v>591</v>
      </c>
      <c r="J1195" s="24" t="s">
        <v>592</v>
      </c>
      <c r="K1195" s="24" t="s">
        <v>594</v>
      </c>
    </row>
    <row r="1196" spans="1:11">
      <c r="A1196" s="12">
        <v>2015</v>
      </c>
      <c r="B1196" s="15" t="s">
        <v>257</v>
      </c>
      <c r="C1196" s="15" t="s">
        <v>260</v>
      </c>
      <c r="D1196" s="15" t="s">
        <v>261</v>
      </c>
      <c r="E1196" s="19">
        <v>16718</v>
      </c>
      <c r="F1196" s="19">
        <v>24653</v>
      </c>
      <c r="G1196" s="20">
        <f t="shared" si="18"/>
        <v>0.5959005100190955</v>
      </c>
      <c r="H1196" s="24" t="s">
        <v>579</v>
      </c>
      <c r="I1196" s="24" t="s">
        <v>591</v>
      </c>
      <c r="J1196" s="24" t="s">
        <v>592</v>
      </c>
      <c r="K1196" s="24" t="s">
        <v>594</v>
      </c>
    </row>
    <row r="1197" spans="1:11">
      <c r="A1197" s="12">
        <v>2015</v>
      </c>
      <c r="B1197" s="15" t="s">
        <v>257</v>
      </c>
      <c r="C1197" s="15" t="s">
        <v>262</v>
      </c>
      <c r="D1197" s="15" t="s">
        <v>263</v>
      </c>
      <c r="E1197" s="19">
        <v>81498</v>
      </c>
      <c r="F1197" s="19">
        <v>42617</v>
      </c>
      <c r="G1197" s="20">
        <f t="shared" si="18"/>
        <v>0.34336703863352536</v>
      </c>
      <c r="H1197" s="24" t="s">
        <v>579</v>
      </c>
      <c r="I1197" s="24" t="s">
        <v>591</v>
      </c>
      <c r="J1197" s="24" t="s">
        <v>592</v>
      </c>
      <c r="K1197" s="24" t="s">
        <v>594</v>
      </c>
    </row>
    <row r="1198" spans="1:11">
      <c r="A1198" s="12">
        <v>2015</v>
      </c>
      <c r="B1198" s="15" t="s">
        <v>257</v>
      </c>
      <c r="C1198" s="15" t="s">
        <v>264</v>
      </c>
      <c r="D1198" s="15" t="s">
        <v>265</v>
      </c>
      <c r="E1198" s="19">
        <v>57240</v>
      </c>
      <c r="F1198" s="19">
        <v>42658</v>
      </c>
      <c r="G1198" s="20">
        <f t="shared" si="18"/>
        <v>0.42701555586698431</v>
      </c>
      <c r="H1198" s="24" t="s">
        <v>579</v>
      </c>
      <c r="I1198" s="24" t="s">
        <v>591</v>
      </c>
      <c r="J1198" s="24" t="s">
        <v>592</v>
      </c>
      <c r="K1198" s="24" t="s">
        <v>594</v>
      </c>
    </row>
    <row r="1199" spans="1:11">
      <c r="A1199" s="12">
        <v>2015</v>
      </c>
      <c r="B1199" s="15" t="s">
        <v>257</v>
      </c>
      <c r="C1199" s="15" t="s">
        <v>266</v>
      </c>
      <c r="D1199" s="15" t="s">
        <v>267</v>
      </c>
      <c r="E1199" s="19">
        <v>69935</v>
      </c>
      <c r="F1199" s="19">
        <v>34679</v>
      </c>
      <c r="G1199" s="20">
        <f t="shared" si="18"/>
        <v>0.3314948286080257</v>
      </c>
      <c r="H1199" s="24" t="s">
        <v>579</v>
      </c>
      <c r="I1199" s="24" t="s">
        <v>591</v>
      </c>
      <c r="J1199" s="24" t="s">
        <v>592</v>
      </c>
      <c r="K1199" s="24" t="s">
        <v>594</v>
      </c>
    </row>
    <row r="1200" spans="1:11">
      <c r="A1200" s="12">
        <v>2015</v>
      </c>
      <c r="B1200" s="15" t="s">
        <v>257</v>
      </c>
      <c r="C1200" s="15" t="s">
        <v>268</v>
      </c>
      <c r="D1200" s="15" t="s">
        <v>269</v>
      </c>
      <c r="E1200" s="19">
        <v>17796</v>
      </c>
      <c r="F1200" s="19">
        <v>17679</v>
      </c>
      <c r="G1200" s="20">
        <f t="shared" si="18"/>
        <v>0.49835095137420721</v>
      </c>
      <c r="H1200" s="24" t="s">
        <v>579</v>
      </c>
      <c r="I1200" s="24" t="s">
        <v>591</v>
      </c>
      <c r="J1200" s="24" t="s">
        <v>592</v>
      </c>
      <c r="K1200" s="24" t="s">
        <v>594</v>
      </c>
    </row>
    <row r="1201" spans="1:11">
      <c r="A1201" s="12">
        <v>2015</v>
      </c>
      <c r="B1201" s="15" t="s">
        <v>257</v>
      </c>
      <c r="C1201" s="15" t="s">
        <v>270</v>
      </c>
      <c r="D1201" s="15" t="s">
        <v>271</v>
      </c>
      <c r="E1201" s="19">
        <v>17892</v>
      </c>
      <c r="F1201" s="19">
        <v>22395</v>
      </c>
      <c r="G1201" s="20">
        <f t="shared" si="18"/>
        <v>0.55588651426018321</v>
      </c>
      <c r="H1201" s="24" t="s">
        <v>579</v>
      </c>
      <c r="I1201" s="24" t="s">
        <v>591</v>
      </c>
      <c r="J1201" s="24" t="s">
        <v>592</v>
      </c>
      <c r="K1201" s="24" t="s">
        <v>594</v>
      </c>
    </row>
    <row r="1202" spans="1:11">
      <c r="A1202" s="12">
        <v>2015</v>
      </c>
      <c r="B1202" s="15" t="s">
        <v>257</v>
      </c>
      <c r="C1202" s="15" t="s">
        <v>272</v>
      </c>
      <c r="D1202" s="15" t="s">
        <v>273</v>
      </c>
      <c r="E1202" s="19">
        <v>29886</v>
      </c>
      <c r="F1202" s="19">
        <v>27568</v>
      </c>
      <c r="G1202" s="20">
        <f t="shared" si="18"/>
        <v>0.47982734013297595</v>
      </c>
      <c r="H1202" s="24" t="s">
        <v>579</v>
      </c>
      <c r="I1202" s="24" t="s">
        <v>591</v>
      </c>
      <c r="J1202" s="24" t="s">
        <v>592</v>
      </c>
      <c r="K1202" s="24" t="s">
        <v>594</v>
      </c>
    </row>
    <row r="1203" spans="1:11">
      <c r="A1203" s="12">
        <v>2015</v>
      </c>
      <c r="B1203" s="15" t="s">
        <v>257</v>
      </c>
      <c r="C1203" s="15" t="s">
        <v>274</v>
      </c>
      <c r="D1203" s="15" t="s">
        <v>275</v>
      </c>
      <c r="E1203" s="19">
        <v>291886</v>
      </c>
      <c r="F1203" s="19">
        <v>94844</v>
      </c>
      <c r="G1203" s="20">
        <f t="shared" si="18"/>
        <v>0.24524603728699609</v>
      </c>
      <c r="H1203" s="24" t="s">
        <v>579</v>
      </c>
      <c r="I1203" s="24" t="s">
        <v>591</v>
      </c>
      <c r="J1203" s="24" t="s">
        <v>592</v>
      </c>
      <c r="K1203" s="24" t="s">
        <v>594</v>
      </c>
    </row>
    <row r="1204" spans="1:11">
      <c r="A1204" s="12">
        <v>2015</v>
      </c>
      <c r="B1204" s="15" t="s">
        <v>257</v>
      </c>
      <c r="C1204" s="15" t="s">
        <v>276</v>
      </c>
      <c r="D1204" s="15" t="s">
        <v>277</v>
      </c>
      <c r="E1204" s="19">
        <v>24668</v>
      </c>
      <c r="F1204" s="19">
        <v>24067</v>
      </c>
      <c r="G1204" s="20">
        <f t="shared" si="18"/>
        <v>0.49383400020519136</v>
      </c>
      <c r="H1204" s="24" t="s">
        <v>579</v>
      </c>
      <c r="I1204" s="24" t="s">
        <v>591</v>
      </c>
      <c r="J1204" s="24" t="s">
        <v>592</v>
      </c>
      <c r="K1204" s="24" t="s">
        <v>594</v>
      </c>
    </row>
    <row r="1205" spans="1:11">
      <c r="A1205" s="12">
        <v>2015</v>
      </c>
      <c r="B1205" s="15" t="s">
        <v>257</v>
      </c>
      <c r="C1205" s="15" t="s">
        <v>278</v>
      </c>
      <c r="D1205" s="15" t="s">
        <v>279</v>
      </c>
      <c r="E1205" s="19">
        <v>26405</v>
      </c>
      <c r="F1205" s="19">
        <v>29009</v>
      </c>
      <c r="G1205" s="20">
        <f t="shared" si="18"/>
        <v>0.5234958674703144</v>
      </c>
      <c r="H1205" s="24" t="s">
        <v>579</v>
      </c>
      <c r="I1205" s="24" t="s">
        <v>591</v>
      </c>
      <c r="J1205" s="24" t="s">
        <v>592</v>
      </c>
      <c r="K1205" s="24" t="s">
        <v>594</v>
      </c>
    </row>
    <row r="1206" spans="1:11">
      <c r="A1206" s="12">
        <v>2015</v>
      </c>
      <c r="B1206" s="15" t="s">
        <v>257</v>
      </c>
      <c r="C1206" s="15" t="s">
        <v>280</v>
      </c>
      <c r="D1206" s="15" t="s">
        <v>281</v>
      </c>
      <c r="E1206" s="19">
        <v>37413</v>
      </c>
      <c r="F1206" s="19">
        <v>33938</v>
      </c>
      <c r="G1206" s="20">
        <f t="shared" si="18"/>
        <v>0.47564855433000236</v>
      </c>
      <c r="H1206" s="24" t="s">
        <v>579</v>
      </c>
      <c r="I1206" s="24" t="s">
        <v>591</v>
      </c>
      <c r="J1206" s="24" t="s">
        <v>592</v>
      </c>
      <c r="K1206" s="24" t="s">
        <v>594</v>
      </c>
    </row>
    <row r="1207" spans="1:11">
      <c r="A1207" s="12">
        <v>2015</v>
      </c>
      <c r="B1207" s="15" t="s">
        <v>257</v>
      </c>
      <c r="C1207" s="15" t="s">
        <v>282</v>
      </c>
      <c r="D1207" s="15" t="s">
        <v>283</v>
      </c>
      <c r="E1207" s="19">
        <v>243926</v>
      </c>
      <c r="F1207" s="19">
        <v>74228</v>
      </c>
      <c r="G1207" s="20">
        <f t="shared" si="18"/>
        <v>0.23330839781992369</v>
      </c>
      <c r="H1207" s="24" t="s">
        <v>579</v>
      </c>
      <c r="I1207" s="24" t="s">
        <v>591</v>
      </c>
      <c r="J1207" s="24" t="s">
        <v>592</v>
      </c>
      <c r="K1207" s="24" t="s">
        <v>594</v>
      </c>
    </row>
    <row r="1208" spans="1:11">
      <c r="A1208" s="12">
        <v>2015</v>
      </c>
      <c r="B1208" s="15" t="s">
        <v>257</v>
      </c>
      <c r="C1208" s="15" t="s">
        <v>284</v>
      </c>
      <c r="D1208" s="15" t="s">
        <v>285</v>
      </c>
      <c r="E1208" s="19">
        <v>39101</v>
      </c>
      <c r="F1208" s="19">
        <v>25791</v>
      </c>
      <c r="G1208" s="20">
        <f t="shared" si="18"/>
        <v>0.39744498551439317</v>
      </c>
      <c r="H1208" s="24" t="s">
        <v>579</v>
      </c>
      <c r="I1208" s="24" t="s">
        <v>591</v>
      </c>
      <c r="J1208" s="24" t="s">
        <v>592</v>
      </c>
      <c r="K1208" s="24" t="s">
        <v>594</v>
      </c>
    </row>
    <row r="1209" spans="1:11">
      <c r="A1209" s="12">
        <v>2015</v>
      </c>
      <c r="B1209" s="15" t="s">
        <v>257</v>
      </c>
      <c r="C1209" s="15" t="s">
        <v>286</v>
      </c>
      <c r="D1209" s="15" t="s">
        <v>287</v>
      </c>
      <c r="E1209" s="19">
        <v>31600</v>
      </c>
      <c r="F1209" s="19">
        <v>33049</v>
      </c>
      <c r="G1209" s="20">
        <f t="shared" si="18"/>
        <v>0.51120666986341634</v>
      </c>
      <c r="H1209" s="24" t="s">
        <v>579</v>
      </c>
      <c r="I1209" s="24" t="s">
        <v>591</v>
      </c>
      <c r="J1209" s="24" t="s">
        <v>592</v>
      </c>
      <c r="K1209" s="24" t="s">
        <v>594</v>
      </c>
    </row>
    <row r="1210" spans="1:11">
      <c r="A1210" s="12">
        <v>2015</v>
      </c>
      <c r="B1210" s="15" t="s">
        <v>257</v>
      </c>
      <c r="C1210" s="15" t="s">
        <v>288</v>
      </c>
      <c r="D1210" s="15" t="s">
        <v>289</v>
      </c>
      <c r="E1210" s="19">
        <v>56011</v>
      </c>
      <c r="F1210" s="19">
        <v>40387</v>
      </c>
      <c r="G1210" s="20">
        <f t="shared" si="18"/>
        <v>0.41896097429407247</v>
      </c>
      <c r="H1210" s="24" t="s">
        <v>579</v>
      </c>
      <c r="I1210" s="24" t="s">
        <v>591</v>
      </c>
      <c r="J1210" s="24" t="s">
        <v>592</v>
      </c>
      <c r="K1210" s="24" t="s">
        <v>594</v>
      </c>
    </row>
    <row r="1211" spans="1:11">
      <c r="A1211" s="12">
        <v>2015</v>
      </c>
      <c r="B1211" s="15" t="s">
        <v>257</v>
      </c>
      <c r="C1211" s="15" t="s">
        <v>290</v>
      </c>
      <c r="D1211" s="15" t="s">
        <v>291</v>
      </c>
      <c r="E1211" s="19">
        <v>18028</v>
      </c>
      <c r="F1211" s="19">
        <v>21482</v>
      </c>
      <c r="G1211" s="20">
        <f t="shared" si="18"/>
        <v>0.54371045304986076</v>
      </c>
      <c r="H1211" s="24" t="s">
        <v>579</v>
      </c>
      <c r="I1211" s="24" t="s">
        <v>591</v>
      </c>
      <c r="J1211" s="24" t="s">
        <v>592</v>
      </c>
      <c r="K1211" s="24" t="s">
        <v>594</v>
      </c>
    </row>
    <row r="1212" spans="1:11">
      <c r="A1212" s="12">
        <v>2015</v>
      </c>
      <c r="B1212" s="15" t="s">
        <v>257</v>
      </c>
      <c r="C1212" s="15" t="s">
        <v>292</v>
      </c>
      <c r="D1212" s="15" t="s">
        <v>293</v>
      </c>
      <c r="E1212" s="19">
        <v>33911</v>
      </c>
      <c r="F1212" s="19">
        <v>33587</v>
      </c>
      <c r="G1212" s="20">
        <f t="shared" si="18"/>
        <v>0.49759992888678184</v>
      </c>
      <c r="H1212" s="24" t="s">
        <v>579</v>
      </c>
      <c r="I1212" s="24" t="s">
        <v>591</v>
      </c>
      <c r="J1212" s="24" t="s">
        <v>592</v>
      </c>
      <c r="K1212" s="24" t="s">
        <v>594</v>
      </c>
    </row>
    <row r="1213" spans="1:11">
      <c r="A1213" s="12">
        <v>2015</v>
      </c>
      <c r="B1213" s="15" t="s">
        <v>294</v>
      </c>
      <c r="C1213" s="15" t="s">
        <v>22</v>
      </c>
      <c r="D1213" s="15" t="s">
        <v>294</v>
      </c>
      <c r="E1213" s="19">
        <v>1421408</v>
      </c>
      <c r="F1213" s="19">
        <v>468698</v>
      </c>
      <c r="G1213" s="20">
        <f t="shared" si="18"/>
        <v>0.2479744522264889</v>
      </c>
      <c r="H1213" s="24" t="s">
        <v>589</v>
      </c>
      <c r="I1213" s="24" t="s">
        <v>560</v>
      </c>
      <c r="J1213" s="24" t="s">
        <v>590</v>
      </c>
      <c r="K1213" s="24" t="s">
        <v>594</v>
      </c>
    </row>
    <row r="1214" spans="1:11">
      <c r="A1214" s="12">
        <v>2015</v>
      </c>
      <c r="B1214" s="15" t="s">
        <v>294</v>
      </c>
      <c r="C1214" s="15" t="s">
        <v>295</v>
      </c>
      <c r="D1214" s="15" t="s">
        <v>296</v>
      </c>
      <c r="E1214" s="19">
        <v>26087</v>
      </c>
      <c r="F1214" s="19">
        <v>31470</v>
      </c>
      <c r="G1214" s="20">
        <f t="shared" si="18"/>
        <v>0.54676233994127565</v>
      </c>
      <c r="H1214" s="24" t="s">
        <v>589</v>
      </c>
      <c r="I1214" s="24" t="s">
        <v>560</v>
      </c>
      <c r="J1214" s="24" t="s">
        <v>590</v>
      </c>
      <c r="K1214" s="24" t="s">
        <v>594</v>
      </c>
    </row>
    <row r="1215" spans="1:11">
      <c r="A1215" s="12">
        <v>2015</v>
      </c>
      <c r="B1215" s="15" t="s">
        <v>294</v>
      </c>
      <c r="C1215" s="15" t="s">
        <v>297</v>
      </c>
      <c r="D1215" s="15" t="s">
        <v>298</v>
      </c>
      <c r="E1215" s="19">
        <v>22045</v>
      </c>
      <c r="F1215" s="19">
        <v>24850</v>
      </c>
      <c r="G1215" s="20">
        <f t="shared" si="18"/>
        <v>0.52990723957778019</v>
      </c>
      <c r="H1215" s="24" t="s">
        <v>589</v>
      </c>
      <c r="I1215" s="24" t="s">
        <v>560</v>
      </c>
      <c r="J1215" s="24" t="s">
        <v>590</v>
      </c>
      <c r="K1215" s="24" t="s">
        <v>594</v>
      </c>
    </row>
    <row r="1216" spans="1:11">
      <c r="A1216" s="12">
        <v>2015</v>
      </c>
      <c r="B1216" s="15" t="s">
        <v>294</v>
      </c>
      <c r="C1216" s="15" t="s">
        <v>299</v>
      </c>
      <c r="D1216" s="15" t="s">
        <v>300</v>
      </c>
      <c r="E1216" s="19">
        <v>27116</v>
      </c>
      <c r="F1216" s="19">
        <v>23906</v>
      </c>
      <c r="G1216" s="20">
        <f t="shared" si="18"/>
        <v>0.46854298145897849</v>
      </c>
      <c r="H1216" s="24" t="s">
        <v>589</v>
      </c>
      <c r="I1216" s="24" t="s">
        <v>560</v>
      </c>
      <c r="J1216" s="24" t="s">
        <v>590</v>
      </c>
      <c r="K1216" s="24" t="s">
        <v>594</v>
      </c>
    </row>
    <row r="1217" spans="1:11">
      <c r="A1217" s="12">
        <v>2015</v>
      </c>
      <c r="B1217" s="15" t="s">
        <v>294</v>
      </c>
      <c r="C1217" s="15" t="s">
        <v>301</v>
      </c>
      <c r="D1217" s="15" t="s">
        <v>302</v>
      </c>
      <c r="E1217" s="19">
        <v>40862</v>
      </c>
      <c r="F1217" s="19">
        <v>33441</v>
      </c>
      <c r="G1217" s="20">
        <f t="shared" si="18"/>
        <v>0.45006258159159118</v>
      </c>
      <c r="H1217" s="24" t="s">
        <v>589</v>
      </c>
      <c r="I1217" s="24" t="s">
        <v>560</v>
      </c>
      <c r="J1217" s="24" t="s">
        <v>590</v>
      </c>
      <c r="K1217" s="24" t="s">
        <v>594</v>
      </c>
    </row>
    <row r="1218" spans="1:11">
      <c r="A1218" s="12">
        <v>2015</v>
      </c>
      <c r="B1218" s="15" t="s">
        <v>294</v>
      </c>
      <c r="C1218" s="15" t="s">
        <v>303</v>
      </c>
      <c r="D1218" s="15" t="s">
        <v>304</v>
      </c>
      <c r="E1218" s="19">
        <v>43203</v>
      </c>
      <c r="F1218" s="19">
        <v>34389</v>
      </c>
      <c r="G1218" s="20">
        <f t="shared" si="18"/>
        <v>0.44320290751623881</v>
      </c>
      <c r="H1218" s="24" t="s">
        <v>589</v>
      </c>
      <c r="I1218" s="24" t="s">
        <v>560</v>
      </c>
      <c r="J1218" s="24" t="s">
        <v>590</v>
      </c>
      <c r="K1218" s="24" t="s">
        <v>594</v>
      </c>
    </row>
    <row r="1219" spans="1:11">
      <c r="A1219" s="12">
        <v>2015</v>
      </c>
      <c r="B1219" s="15" t="s">
        <v>294</v>
      </c>
      <c r="C1219" s="15" t="s">
        <v>305</v>
      </c>
      <c r="D1219" s="15" t="s">
        <v>306</v>
      </c>
      <c r="E1219" s="19">
        <v>80019</v>
      </c>
      <c r="F1219" s="19">
        <v>70001</v>
      </c>
      <c r="G1219" s="20">
        <f t="shared" si="18"/>
        <v>0.46661111851753101</v>
      </c>
      <c r="H1219" s="24" t="s">
        <v>589</v>
      </c>
      <c r="I1219" s="24" t="s">
        <v>560</v>
      </c>
      <c r="J1219" s="24" t="s">
        <v>590</v>
      </c>
      <c r="K1219" s="24" t="s">
        <v>594</v>
      </c>
    </row>
    <row r="1220" spans="1:11">
      <c r="A1220" s="12">
        <v>2015</v>
      </c>
      <c r="B1220" s="15" t="s">
        <v>294</v>
      </c>
      <c r="C1220" s="15" t="s">
        <v>307</v>
      </c>
      <c r="D1220" s="15" t="s">
        <v>308</v>
      </c>
      <c r="E1220" s="19">
        <v>118671</v>
      </c>
      <c r="F1220" s="19">
        <v>55970</v>
      </c>
      <c r="G1220" s="20">
        <f t="shared" si="18"/>
        <v>0.32048602561826833</v>
      </c>
      <c r="H1220" s="24" t="s">
        <v>589</v>
      </c>
      <c r="I1220" s="24" t="s">
        <v>560</v>
      </c>
      <c r="J1220" s="24" t="s">
        <v>590</v>
      </c>
      <c r="K1220" s="24" t="s">
        <v>594</v>
      </c>
    </row>
    <row r="1221" spans="1:11">
      <c r="A1221" s="12">
        <v>2015</v>
      </c>
      <c r="B1221" s="15" t="s">
        <v>294</v>
      </c>
      <c r="C1221" s="15" t="s">
        <v>309</v>
      </c>
      <c r="D1221" s="15" t="s">
        <v>310</v>
      </c>
      <c r="E1221" s="19">
        <v>29230</v>
      </c>
      <c r="F1221" s="19">
        <v>26310</v>
      </c>
      <c r="G1221" s="20">
        <f t="shared" si="18"/>
        <v>0.47371263953907095</v>
      </c>
      <c r="H1221" s="24" t="s">
        <v>589</v>
      </c>
      <c r="I1221" s="24" t="s">
        <v>560</v>
      </c>
      <c r="J1221" s="24" t="s">
        <v>590</v>
      </c>
      <c r="K1221" s="24" t="s">
        <v>594</v>
      </c>
    </row>
    <row r="1222" spans="1:11">
      <c r="A1222" s="12">
        <v>2015</v>
      </c>
      <c r="B1222" s="15" t="s">
        <v>294</v>
      </c>
      <c r="C1222" s="15" t="s">
        <v>311</v>
      </c>
      <c r="D1222" s="15" t="s">
        <v>312</v>
      </c>
      <c r="E1222" s="19">
        <v>56328</v>
      </c>
      <c r="F1222" s="19">
        <v>44732</v>
      </c>
      <c r="G1222" s="20">
        <f t="shared" ref="G1222:G1285" si="19">IFERROR(F1222/(E1222+F1222),"")</f>
        <v>0.44262814169800119</v>
      </c>
      <c r="H1222" s="24" t="s">
        <v>589</v>
      </c>
      <c r="I1222" s="24" t="s">
        <v>560</v>
      </c>
      <c r="J1222" s="24" t="s">
        <v>590</v>
      </c>
      <c r="K1222" s="24" t="s">
        <v>594</v>
      </c>
    </row>
    <row r="1223" spans="1:11">
      <c r="A1223" s="12">
        <v>2015</v>
      </c>
      <c r="B1223" s="15" t="s">
        <v>294</v>
      </c>
      <c r="C1223" s="15" t="s">
        <v>315</v>
      </c>
      <c r="D1223" s="15" t="s">
        <v>316</v>
      </c>
      <c r="E1223" s="19">
        <v>146899</v>
      </c>
      <c r="F1223" s="19">
        <v>113757</v>
      </c>
      <c r="G1223" s="20">
        <f t="shared" si="19"/>
        <v>0.43642578724449083</v>
      </c>
      <c r="H1223" s="24" t="s">
        <v>589</v>
      </c>
      <c r="I1223" s="24" t="s">
        <v>560</v>
      </c>
      <c r="J1223" s="24" t="s">
        <v>590</v>
      </c>
      <c r="K1223" s="24" t="s">
        <v>594</v>
      </c>
    </row>
    <row r="1224" spans="1:11">
      <c r="A1224" s="12">
        <v>2015</v>
      </c>
      <c r="B1224" s="15" t="s">
        <v>294</v>
      </c>
      <c r="C1224" s="15" t="s">
        <v>317</v>
      </c>
      <c r="D1224" s="15" t="s">
        <v>318</v>
      </c>
      <c r="E1224" s="19">
        <v>173095</v>
      </c>
      <c r="F1224" s="19">
        <v>165564</v>
      </c>
      <c r="G1224" s="20">
        <f t="shared" si="19"/>
        <v>0.48888114593145315</v>
      </c>
      <c r="H1224" s="24" t="s">
        <v>589</v>
      </c>
      <c r="I1224" s="24" t="s">
        <v>560</v>
      </c>
      <c r="J1224" s="24" t="s">
        <v>590</v>
      </c>
      <c r="K1224" s="24" t="s">
        <v>594</v>
      </c>
    </row>
    <row r="1225" spans="1:11">
      <c r="A1225" s="12">
        <v>2015</v>
      </c>
      <c r="B1225" s="15" t="s">
        <v>294</v>
      </c>
      <c r="C1225" s="15" t="s">
        <v>319</v>
      </c>
      <c r="D1225" s="15" t="s">
        <v>320</v>
      </c>
      <c r="E1225" s="19">
        <v>150178</v>
      </c>
      <c r="F1225" s="19">
        <v>120362</v>
      </c>
      <c r="G1225" s="20">
        <f t="shared" si="19"/>
        <v>0.44489539439639242</v>
      </c>
      <c r="H1225" s="24" t="s">
        <v>589</v>
      </c>
      <c r="I1225" s="24" t="s">
        <v>560</v>
      </c>
      <c r="J1225" s="24" t="s">
        <v>590</v>
      </c>
      <c r="K1225" s="24" t="s">
        <v>594</v>
      </c>
    </row>
    <row r="1226" spans="1:11">
      <c r="A1226" s="12">
        <v>2015</v>
      </c>
      <c r="B1226" s="15" t="s">
        <v>294</v>
      </c>
      <c r="C1226" s="15" t="s">
        <v>321</v>
      </c>
      <c r="D1226" s="15" t="s">
        <v>322</v>
      </c>
      <c r="E1226" s="19">
        <v>207317</v>
      </c>
      <c r="F1226" s="19">
        <v>173419</v>
      </c>
      <c r="G1226" s="20">
        <f t="shared" si="19"/>
        <v>0.45548358967893765</v>
      </c>
      <c r="H1226" s="24" t="s">
        <v>589</v>
      </c>
      <c r="I1226" s="24" t="s">
        <v>560</v>
      </c>
      <c r="J1226" s="24" t="s">
        <v>590</v>
      </c>
      <c r="K1226" s="24" t="s">
        <v>594</v>
      </c>
    </row>
    <row r="1227" spans="1:11">
      <c r="A1227" s="12">
        <v>2015</v>
      </c>
      <c r="B1227" s="15" t="s">
        <v>294</v>
      </c>
      <c r="C1227" s="15" t="s">
        <v>323</v>
      </c>
      <c r="D1227" s="15" t="s">
        <v>324</v>
      </c>
      <c r="E1227" s="19">
        <v>182984</v>
      </c>
      <c r="F1227" s="19">
        <v>73440</v>
      </c>
      <c r="G1227" s="20">
        <f t="shared" si="19"/>
        <v>0.2864006489252176</v>
      </c>
      <c r="H1227" s="24" t="s">
        <v>589</v>
      </c>
      <c r="I1227" s="24" t="s">
        <v>560</v>
      </c>
      <c r="J1227" s="24" t="s">
        <v>590</v>
      </c>
      <c r="K1227" s="24" t="s">
        <v>594</v>
      </c>
    </row>
    <row r="1228" spans="1:11">
      <c r="A1228" s="12">
        <v>2015</v>
      </c>
      <c r="B1228" s="15" t="s">
        <v>325</v>
      </c>
      <c r="C1228" s="15" t="s">
        <v>22</v>
      </c>
      <c r="D1228" s="15" t="s">
        <v>325</v>
      </c>
      <c r="E1228" s="19">
        <v>1848125</v>
      </c>
      <c r="F1228" s="19">
        <v>771362</v>
      </c>
      <c r="G1228" s="20">
        <f t="shared" si="19"/>
        <v>0.2944706348991234</v>
      </c>
      <c r="H1228" s="24" t="s">
        <v>589</v>
      </c>
      <c r="I1228" s="24" t="s">
        <v>560</v>
      </c>
      <c r="J1228" s="24" t="s">
        <v>590</v>
      </c>
      <c r="K1228" s="24" t="s">
        <v>594</v>
      </c>
    </row>
    <row r="1229" spans="1:11">
      <c r="A1229" s="12">
        <v>2015</v>
      </c>
      <c r="B1229" s="15" t="s">
        <v>325</v>
      </c>
      <c r="C1229" s="15" t="s">
        <v>326</v>
      </c>
      <c r="D1229" s="15" t="s">
        <v>327</v>
      </c>
      <c r="E1229" s="19">
        <v>31418</v>
      </c>
      <c r="F1229" s="19">
        <v>32262</v>
      </c>
      <c r="G1229" s="20">
        <f t="shared" si="19"/>
        <v>0.50662688442211057</v>
      </c>
      <c r="H1229" s="24" t="s">
        <v>589</v>
      </c>
      <c r="I1229" s="24" t="s">
        <v>560</v>
      </c>
      <c r="J1229" s="24" t="s">
        <v>590</v>
      </c>
      <c r="K1229" s="24" t="s">
        <v>594</v>
      </c>
    </row>
    <row r="1230" spans="1:11">
      <c r="A1230" s="12">
        <v>2015</v>
      </c>
      <c r="B1230" s="15" t="s">
        <v>325</v>
      </c>
      <c r="C1230" s="15" t="s">
        <v>328</v>
      </c>
      <c r="D1230" s="15" t="s">
        <v>329</v>
      </c>
      <c r="E1230" s="19">
        <v>91278</v>
      </c>
      <c r="F1230" s="19">
        <v>62714</v>
      </c>
      <c r="G1230" s="20">
        <f t="shared" si="19"/>
        <v>0.4072549223336277</v>
      </c>
      <c r="H1230" s="24" t="s">
        <v>589</v>
      </c>
      <c r="I1230" s="24" t="s">
        <v>560</v>
      </c>
      <c r="J1230" s="24" t="s">
        <v>590</v>
      </c>
      <c r="K1230" s="24" t="s">
        <v>594</v>
      </c>
    </row>
    <row r="1231" spans="1:11">
      <c r="A1231" s="12">
        <v>2015</v>
      </c>
      <c r="B1231" s="15" t="s">
        <v>325</v>
      </c>
      <c r="C1231" s="15" t="s">
        <v>330</v>
      </c>
      <c r="D1231" s="15" t="s">
        <v>331</v>
      </c>
      <c r="E1231" s="19">
        <v>44026</v>
      </c>
      <c r="F1231" s="19">
        <v>38544</v>
      </c>
      <c r="G1231" s="20">
        <f t="shared" si="19"/>
        <v>0.46680392394332082</v>
      </c>
      <c r="H1231" s="24" t="s">
        <v>589</v>
      </c>
      <c r="I1231" s="24" t="s">
        <v>560</v>
      </c>
      <c r="J1231" s="24" t="s">
        <v>590</v>
      </c>
      <c r="K1231" s="24" t="s">
        <v>594</v>
      </c>
    </row>
    <row r="1232" spans="1:11">
      <c r="A1232" s="12">
        <v>2015</v>
      </c>
      <c r="B1232" s="15" t="s">
        <v>325</v>
      </c>
      <c r="C1232" s="15" t="s">
        <v>332</v>
      </c>
      <c r="D1232" s="15" t="s">
        <v>333</v>
      </c>
      <c r="E1232" s="19">
        <v>104866</v>
      </c>
      <c r="F1232" s="19">
        <v>67766</v>
      </c>
      <c r="G1232" s="20">
        <f t="shared" si="19"/>
        <v>0.39254599379025906</v>
      </c>
      <c r="H1232" s="24" t="s">
        <v>589</v>
      </c>
      <c r="I1232" s="24" t="s">
        <v>560</v>
      </c>
      <c r="J1232" s="24" t="s">
        <v>590</v>
      </c>
      <c r="K1232" s="24" t="s">
        <v>594</v>
      </c>
    </row>
    <row r="1233" spans="1:11">
      <c r="A1233" s="12">
        <v>2015</v>
      </c>
      <c r="B1233" s="15" t="s">
        <v>325</v>
      </c>
      <c r="C1233" s="15" t="s">
        <v>336</v>
      </c>
      <c r="D1233" s="15" t="s">
        <v>337</v>
      </c>
      <c r="E1233" s="19">
        <v>143943</v>
      </c>
      <c r="F1233" s="19">
        <v>84739</v>
      </c>
      <c r="G1233" s="20">
        <f t="shared" si="19"/>
        <v>0.37055386956559766</v>
      </c>
      <c r="H1233" s="24" t="s">
        <v>589</v>
      </c>
      <c r="I1233" s="24" t="s">
        <v>560</v>
      </c>
      <c r="J1233" s="24" t="s">
        <v>590</v>
      </c>
      <c r="K1233" s="24" t="s">
        <v>594</v>
      </c>
    </row>
    <row r="1234" spans="1:11">
      <c r="A1234" s="12">
        <v>2015</v>
      </c>
      <c r="B1234" s="15" t="s">
        <v>325</v>
      </c>
      <c r="C1234" s="15" t="s">
        <v>338</v>
      </c>
      <c r="D1234" s="15" t="s">
        <v>339</v>
      </c>
      <c r="E1234" s="19">
        <v>89949</v>
      </c>
      <c r="F1234" s="19">
        <v>53769</v>
      </c>
      <c r="G1234" s="20">
        <f t="shared" si="19"/>
        <v>0.37412850164906275</v>
      </c>
      <c r="H1234" s="24" t="s">
        <v>589</v>
      </c>
      <c r="I1234" s="24" t="s">
        <v>560</v>
      </c>
      <c r="J1234" s="24" t="s">
        <v>590</v>
      </c>
      <c r="K1234" s="24" t="s">
        <v>594</v>
      </c>
    </row>
    <row r="1235" spans="1:11">
      <c r="A1235" s="12">
        <v>2015</v>
      </c>
      <c r="B1235" s="15" t="s">
        <v>325</v>
      </c>
      <c r="C1235" s="15" t="s">
        <v>340</v>
      </c>
      <c r="D1235" s="15" t="s">
        <v>341</v>
      </c>
      <c r="E1235" s="19">
        <v>57192</v>
      </c>
      <c r="F1235" s="19">
        <v>49519</v>
      </c>
      <c r="G1235" s="20">
        <f t="shared" si="19"/>
        <v>0.46404775515176505</v>
      </c>
      <c r="H1235" s="24" t="s">
        <v>589</v>
      </c>
      <c r="I1235" s="24" t="s">
        <v>560</v>
      </c>
      <c r="J1235" s="24" t="s">
        <v>590</v>
      </c>
      <c r="K1235" s="24" t="s">
        <v>594</v>
      </c>
    </row>
    <row r="1236" spans="1:11">
      <c r="A1236" s="12">
        <v>2015</v>
      </c>
      <c r="B1236" s="15" t="s">
        <v>325</v>
      </c>
      <c r="C1236" s="15" t="s">
        <v>342</v>
      </c>
      <c r="D1236" s="15" t="s">
        <v>343</v>
      </c>
      <c r="E1236" s="19">
        <v>148780</v>
      </c>
      <c r="F1236" s="19">
        <v>81728</v>
      </c>
      <c r="G1236" s="20">
        <f t="shared" si="19"/>
        <v>0.35455602408593195</v>
      </c>
      <c r="H1236" s="24" t="s">
        <v>589</v>
      </c>
      <c r="I1236" s="24" t="s">
        <v>560</v>
      </c>
      <c r="J1236" s="24" t="s">
        <v>590</v>
      </c>
      <c r="K1236" s="24" t="s">
        <v>594</v>
      </c>
    </row>
    <row r="1237" spans="1:11">
      <c r="A1237" s="12">
        <v>2015</v>
      </c>
      <c r="B1237" s="15" t="s">
        <v>325</v>
      </c>
      <c r="C1237" s="15" t="s">
        <v>344</v>
      </c>
      <c r="D1237" s="15" t="s">
        <v>345</v>
      </c>
      <c r="E1237" s="19">
        <v>48185</v>
      </c>
      <c r="F1237" s="19">
        <v>37892</v>
      </c>
      <c r="G1237" s="20">
        <f t="shared" si="19"/>
        <v>0.4402105091952554</v>
      </c>
      <c r="H1237" s="24" t="s">
        <v>589</v>
      </c>
      <c r="I1237" s="24" t="s">
        <v>560</v>
      </c>
      <c r="J1237" s="24" t="s">
        <v>590</v>
      </c>
      <c r="K1237" s="24" t="s">
        <v>594</v>
      </c>
    </row>
    <row r="1238" spans="1:11">
      <c r="A1238" s="12">
        <v>2015</v>
      </c>
      <c r="B1238" s="15" t="s">
        <v>325</v>
      </c>
      <c r="C1238" s="15" t="s">
        <v>346</v>
      </c>
      <c r="D1238" s="15" t="s">
        <v>347</v>
      </c>
      <c r="E1238" s="19">
        <v>247678</v>
      </c>
      <c r="F1238" s="19">
        <v>182650</v>
      </c>
      <c r="G1238" s="20">
        <f t="shared" si="19"/>
        <v>0.42444368016954509</v>
      </c>
      <c r="H1238" s="24" t="s">
        <v>589</v>
      </c>
      <c r="I1238" s="24" t="s">
        <v>560</v>
      </c>
      <c r="J1238" s="24" t="s">
        <v>590</v>
      </c>
      <c r="K1238" s="24" t="s">
        <v>594</v>
      </c>
    </row>
    <row r="1239" spans="1:11">
      <c r="A1239" s="12">
        <v>2015</v>
      </c>
      <c r="B1239" s="15" t="s">
        <v>325</v>
      </c>
      <c r="C1239" s="15" t="s">
        <v>350</v>
      </c>
      <c r="D1239" s="15" t="s">
        <v>351</v>
      </c>
      <c r="E1239" s="19">
        <v>68328</v>
      </c>
      <c r="F1239" s="19">
        <v>53831</v>
      </c>
      <c r="G1239" s="20">
        <f t="shared" si="19"/>
        <v>0.44066339770299362</v>
      </c>
      <c r="H1239" s="24" t="s">
        <v>589</v>
      </c>
      <c r="I1239" s="24" t="s">
        <v>560</v>
      </c>
      <c r="J1239" s="24" t="s">
        <v>590</v>
      </c>
      <c r="K1239" s="24" t="s">
        <v>594</v>
      </c>
    </row>
    <row r="1240" spans="1:11">
      <c r="A1240" s="12">
        <v>2015</v>
      </c>
      <c r="B1240" s="15" t="s">
        <v>325</v>
      </c>
      <c r="C1240" s="15" t="s">
        <v>354</v>
      </c>
      <c r="D1240" s="15" t="s">
        <v>355</v>
      </c>
      <c r="E1240" s="19">
        <v>206278</v>
      </c>
      <c r="F1240" s="19">
        <v>192077</v>
      </c>
      <c r="G1240" s="20">
        <f t="shared" si="19"/>
        <v>0.48217544652382927</v>
      </c>
      <c r="H1240" s="24" t="s">
        <v>589</v>
      </c>
      <c r="I1240" s="24" t="s">
        <v>560</v>
      </c>
      <c r="J1240" s="24" t="s">
        <v>590</v>
      </c>
      <c r="K1240" s="24" t="s">
        <v>594</v>
      </c>
    </row>
    <row r="1241" spans="1:11">
      <c r="A1241" s="12">
        <v>2015</v>
      </c>
      <c r="B1241" s="15" t="s">
        <v>325</v>
      </c>
      <c r="C1241" s="15" t="s">
        <v>356</v>
      </c>
      <c r="D1241" s="15" t="s">
        <v>357</v>
      </c>
      <c r="E1241" s="19">
        <v>290231</v>
      </c>
      <c r="F1241" s="19">
        <v>216812</v>
      </c>
      <c r="G1241" s="20">
        <f t="shared" si="19"/>
        <v>0.42760081492102248</v>
      </c>
      <c r="H1241" s="24" t="s">
        <v>589</v>
      </c>
      <c r="I1241" s="24" t="s">
        <v>560</v>
      </c>
      <c r="J1241" s="24" t="s">
        <v>590</v>
      </c>
      <c r="K1241" s="24" t="s">
        <v>594</v>
      </c>
    </row>
    <row r="1242" spans="1:11">
      <c r="A1242" s="12">
        <v>2015</v>
      </c>
      <c r="B1242" s="15" t="s">
        <v>325</v>
      </c>
      <c r="C1242" s="15" t="s">
        <v>358</v>
      </c>
      <c r="D1242" s="15" t="s">
        <v>359</v>
      </c>
      <c r="E1242" s="19">
        <v>23723</v>
      </c>
      <c r="F1242" s="19">
        <v>25886</v>
      </c>
      <c r="G1242" s="20">
        <f t="shared" si="19"/>
        <v>0.521800479751658</v>
      </c>
      <c r="H1242" s="24" t="s">
        <v>589</v>
      </c>
      <c r="I1242" s="24" t="s">
        <v>560</v>
      </c>
      <c r="J1242" s="24" t="s">
        <v>590</v>
      </c>
      <c r="K1242" s="24" t="s">
        <v>594</v>
      </c>
    </row>
    <row r="1243" spans="1:11">
      <c r="A1243" s="12">
        <v>2015</v>
      </c>
      <c r="B1243" s="15" t="s">
        <v>325</v>
      </c>
      <c r="C1243" s="15" t="s">
        <v>360</v>
      </c>
      <c r="D1243" s="15" t="s">
        <v>361</v>
      </c>
      <c r="E1243" s="19">
        <v>51448</v>
      </c>
      <c r="F1243" s="19">
        <v>44487</v>
      </c>
      <c r="G1243" s="20">
        <f t="shared" si="19"/>
        <v>0.46372022723719186</v>
      </c>
      <c r="H1243" s="24" t="s">
        <v>589</v>
      </c>
      <c r="I1243" s="24" t="s">
        <v>560</v>
      </c>
      <c r="J1243" s="24" t="s">
        <v>590</v>
      </c>
      <c r="K1243" s="24" t="s">
        <v>594</v>
      </c>
    </row>
    <row r="1244" spans="1:11">
      <c r="A1244" s="12">
        <v>2015</v>
      </c>
      <c r="B1244" s="15" t="s">
        <v>325</v>
      </c>
      <c r="C1244" s="15" t="s">
        <v>362</v>
      </c>
      <c r="D1244" s="15" t="s">
        <v>363</v>
      </c>
      <c r="E1244" s="19">
        <v>81079</v>
      </c>
      <c r="F1244" s="19">
        <v>48345</v>
      </c>
      <c r="G1244" s="20">
        <f t="shared" si="19"/>
        <v>0.37353968352083078</v>
      </c>
      <c r="H1244" s="24" t="s">
        <v>589</v>
      </c>
      <c r="I1244" s="24" t="s">
        <v>560</v>
      </c>
      <c r="J1244" s="24" t="s">
        <v>590</v>
      </c>
      <c r="K1244" s="24" t="s">
        <v>594</v>
      </c>
    </row>
    <row r="1245" spans="1:11">
      <c r="A1245" s="12">
        <v>2015</v>
      </c>
      <c r="B1245" s="15" t="s">
        <v>364</v>
      </c>
      <c r="C1245" s="15" t="s">
        <v>22</v>
      </c>
      <c r="D1245" s="15" t="s">
        <v>364</v>
      </c>
      <c r="E1245" s="19">
        <v>1705632</v>
      </c>
      <c r="F1245" s="19">
        <v>397987</v>
      </c>
      <c r="G1245" s="20">
        <f t="shared" si="19"/>
        <v>0.18919157889332622</v>
      </c>
      <c r="H1245" s="24" t="s">
        <v>586</v>
      </c>
      <c r="I1245" s="24" t="s">
        <v>587</v>
      </c>
      <c r="J1245" s="24" t="s">
        <v>588</v>
      </c>
      <c r="K1245" s="24" t="s">
        <v>594</v>
      </c>
    </row>
    <row r="1246" spans="1:11">
      <c r="A1246" s="12">
        <v>2015</v>
      </c>
      <c r="B1246" s="15" t="s">
        <v>364</v>
      </c>
      <c r="C1246" s="15" t="s">
        <v>365</v>
      </c>
      <c r="D1246" s="15" t="s">
        <v>366</v>
      </c>
      <c r="E1246" s="19">
        <v>47369</v>
      </c>
      <c r="F1246" s="19">
        <v>41711</v>
      </c>
      <c r="G1246" s="20">
        <f t="shared" si="19"/>
        <v>0.46824202963628198</v>
      </c>
      <c r="H1246" s="24" t="s">
        <v>586</v>
      </c>
      <c r="I1246" s="24" t="s">
        <v>587</v>
      </c>
      <c r="J1246" s="24" t="s">
        <v>588</v>
      </c>
      <c r="K1246" s="24" t="s">
        <v>594</v>
      </c>
    </row>
    <row r="1247" spans="1:11">
      <c r="A1247" s="12">
        <v>2015</v>
      </c>
      <c r="B1247" s="15" t="s">
        <v>364</v>
      </c>
      <c r="C1247" s="15" t="s">
        <v>367</v>
      </c>
      <c r="D1247" s="15" t="s">
        <v>368</v>
      </c>
      <c r="E1247" s="19">
        <v>250087</v>
      </c>
      <c r="F1247" s="19">
        <v>102676</v>
      </c>
      <c r="G1247" s="20">
        <f t="shared" si="19"/>
        <v>0.2910622712699461</v>
      </c>
      <c r="H1247" s="24" t="s">
        <v>586</v>
      </c>
      <c r="I1247" s="24" t="s">
        <v>587</v>
      </c>
      <c r="J1247" s="24" t="s">
        <v>588</v>
      </c>
      <c r="K1247" s="24" t="s">
        <v>594</v>
      </c>
    </row>
    <row r="1248" spans="1:11">
      <c r="A1248" s="12">
        <v>2015</v>
      </c>
      <c r="B1248" s="15" t="s">
        <v>364</v>
      </c>
      <c r="C1248" s="15" t="s">
        <v>369</v>
      </c>
      <c r="D1248" s="15" t="s">
        <v>370</v>
      </c>
      <c r="E1248" s="19">
        <v>68552</v>
      </c>
      <c r="F1248" s="19">
        <v>59121</v>
      </c>
      <c r="G1248" s="20">
        <f t="shared" si="19"/>
        <v>0.4630658009132706</v>
      </c>
      <c r="H1248" s="24" t="s">
        <v>586</v>
      </c>
      <c r="I1248" s="24" t="s">
        <v>587</v>
      </c>
      <c r="J1248" s="24" t="s">
        <v>588</v>
      </c>
      <c r="K1248" s="24" t="s">
        <v>594</v>
      </c>
    </row>
    <row r="1249" spans="1:11">
      <c r="A1249" s="12">
        <v>2015</v>
      </c>
      <c r="B1249" s="15" t="s">
        <v>364</v>
      </c>
      <c r="C1249" s="15" t="s">
        <v>371</v>
      </c>
      <c r="D1249" s="15" t="s">
        <v>372</v>
      </c>
      <c r="E1249" s="19">
        <v>74183</v>
      </c>
      <c r="F1249" s="19">
        <v>40656</v>
      </c>
      <c r="G1249" s="20">
        <f t="shared" si="19"/>
        <v>0.35402607128240404</v>
      </c>
      <c r="H1249" s="24" t="s">
        <v>586</v>
      </c>
      <c r="I1249" s="24" t="s">
        <v>587</v>
      </c>
      <c r="J1249" s="24" t="s">
        <v>588</v>
      </c>
      <c r="K1249" s="24" t="s">
        <v>594</v>
      </c>
    </row>
    <row r="1250" spans="1:11">
      <c r="A1250" s="12">
        <v>2015</v>
      </c>
      <c r="B1250" s="15" t="s">
        <v>364</v>
      </c>
      <c r="C1250" s="15" t="s">
        <v>373</v>
      </c>
      <c r="D1250" s="15" t="s">
        <v>374</v>
      </c>
      <c r="E1250" s="19">
        <v>19839</v>
      </c>
      <c r="F1250" s="19">
        <v>19143</v>
      </c>
      <c r="G1250" s="20">
        <f t="shared" si="19"/>
        <v>0.49107280283207633</v>
      </c>
      <c r="H1250" s="24" t="s">
        <v>586</v>
      </c>
      <c r="I1250" s="24" t="s">
        <v>587</v>
      </c>
      <c r="J1250" s="24" t="s">
        <v>588</v>
      </c>
      <c r="K1250" s="24" t="s">
        <v>594</v>
      </c>
    </row>
    <row r="1251" spans="1:11">
      <c r="A1251" s="12">
        <v>2015</v>
      </c>
      <c r="B1251" s="15" t="s">
        <v>364</v>
      </c>
      <c r="C1251" s="15" t="s">
        <v>375</v>
      </c>
      <c r="D1251" s="15" t="s">
        <v>376</v>
      </c>
      <c r="E1251" s="19">
        <v>47331</v>
      </c>
      <c r="F1251" s="19">
        <v>34198</v>
      </c>
      <c r="G1251" s="20">
        <f t="shared" si="19"/>
        <v>0.419458106931276</v>
      </c>
      <c r="H1251" s="24" t="s">
        <v>586</v>
      </c>
      <c r="I1251" s="24" t="s">
        <v>587</v>
      </c>
      <c r="J1251" s="24" t="s">
        <v>588</v>
      </c>
      <c r="K1251" s="24" t="s">
        <v>594</v>
      </c>
    </row>
    <row r="1252" spans="1:11">
      <c r="A1252" s="12">
        <v>2015</v>
      </c>
      <c r="B1252" s="15" t="s">
        <v>364</v>
      </c>
      <c r="C1252" s="15" t="s">
        <v>377</v>
      </c>
      <c r="D1252" s="15" t="s">
        <v>378</v>
      </c>
      <c r="E1252" s="19">
        <v>22303</v>
      </c>
      <c r="F1252" s="19">
        <v>24109</v>
      </c>
      <c r="G1252" s="20">
        <f t="shared" si="19"/>
        <v>0.51945617512712228</v>
      </c>
      <c r="H1252" s="24" t="s">
        <v>586</v>
      </c>
      <c r="I1252" s="24" t="s">
        <v>587</v>
      </c>
      <c r="J1252" s="24" t="s">
        <v>588</v>
      </c>
      <c r="K1252" s="24" t="s">
        <v>594</v>
      </c>
    </row>
    <row r="1253" spans="1:11">
      <c r="A1253" s="12">
        <v>2015</v>
      </c>
      <c r="B1253" s="15" t="s">
        <v>364</v>
      </c>
      <c r="C1253" s="15" t="s">
        <v>379</v>
      </c>
      <c r="D1253" s="15" t="s">
        <v>380</v>
      </c>
      <c r="E1253" s="19">
        <v>61803</v>
      </c>
      <c r="F1253" s="19">
        <v>81282</v>
      </c>
      <c r="G1253" s="20">
        <f t="shared" si="19"/>
        <v>0.56806793164901981</v>
      </c>
      <c r="H1253" s="24" t="s">
        <v>586</v>
      </c>
      <c r="I1253" s="24" t="s">
        <v>587</v>
      </c>
      <c r="J1253" s="24" t="s">
        <v>588</v>
      </c>
      <c r="K1253" s="24" t="s">
        <v>594</v>
      </c>
    </row>
    <row r="1254" spans="1:11">
      <c r="A1254" s="12">
        <v>2015</v>
      </c>
      <c r="B1254" s="15" t="s">
        <v>364</v>
      </c>
      <c r="C1254" s="15" t="s">
        <v>381</v>
      </c>
      <c r="D1254" s="15" t="s">
        <v>382</v>
      </c>
      <c r="E1254" s="19">
        <v>266440</v>
      </c>
      <c r="F1254" s="19">
        <v>105250</v>
      </c>
      <c r="G1254" s="20">
        <f t="shared" si="19"/>
        <v>0.28316607925959802</v>
      </c>
      <c r="H1254" s="24" t="s">
        <v>586</v>
      </c>
      <c r="I1254" s="24" t="s">
        <v>587</v>
      </c>
      <c r="J1254" s="24" t="s">
        <v>588</v>
      </c>
      <c r="K1254" s="24" t="s">
        <v>594</v>
      </c>
    </row>
    <row r="1255" spans="1:11">
      <c r="A1255" s="12">
        <v>2015</v>
      </c>
      <c r="B1255" s="15" t="s">
        <v>364</v>
      </c>
      <c r="C1255" s="15" t="s">
        <v>383</v>
      </c>
      <c r="D1255" s="15" t="s">
        <v>384</v>
      </c>
      <c r="E1255" s="19">
        <v>20799</v>
      </c>
      <c r="F1255" s="19">
        <v>25337</v>
      </c>
      <c r="G1255" s="20">
        <f t="shared" si="19"/>
        <v>0.54918068319750302</v>
      </c>
      <c r="H1255" s="24" t="s">
        <v>586</v>
      </c>
      <c r="I1255" s="24" t="s">
        <v>587</v>
      </c>
      <c r="J1255" s="24" t="s">
        <v>588</v>
      </c>
      <c r="K1255" s="24" t="s">
        <v>594</v>
      </c>
    </row>
    <row r="1256" spans="1:11">
      <c r="A1256" s="12">
        <v>2015</v>
      </c>
      <c r="B1256" s="15" t="s">
        <v>364</v>
      </c>
      <c r="C1256" s="15" t="s">
        <v>385</v>
      </c>
      <c r="D1256" s="15" t="s">
        <v>386</v>
      </c>
      <c r="E1256" s="19">
        <v>17065</v>
      </c>
      <c r="F1256" s="19">
        <v>19318</v>
      </c>
      <c r="G1256" s="20">
        <f t="shared" si="19"/>
        <v>0.5309622625951681</v>
      </c>
      <c r="H1256" s="24" t="s">
        <v>586</v>
      </c>
      <c r="I1256" s="24" t="s">
        <v>587</v>
      </c>
      <c r="J1256" s="24" t="s">
        <v>588</v>
      </c>
      <c r="K1256" s="24" t="s">
        <v>594</v>
      </c>
    </row>
    <row r="1257" spans="1:11">
      <c r="A1257" s="12">
        <v>2015</v>
      </c>
      <c r="B1257" s="15" t="s">
        <v>364</v>
      </c>
      <c r="C1257" s="15" t="s">
        <v>387</v>
      </c>
      <c r="D1257" s="15" t="s">
        <v>388</v>
      </c>
      <c r="E1257" s="19">
        <v>243573</v>
      </c>
      <c r="F1257" s="19">
        <v>176293</v>
      </c>
      <c r="G1257" s="20">
        <f t="shared" si="19"/>
        <v>0.41987919955414349</v>
      </c>
      <c r="H1257" s="24" t="s">
        <v>586</v>
      </c>
      <c r="I1257" s="24" t="s">
        <v>587</v>
      </c>
      <c r="J1257" s="24" t="s">
        <v>588</v>
      </c>
      <c r="K1257" s="24" t="s">
        <v>594</v>
      </c>
    </row>
    <row r="1258" spans="1:11">
      <c r="A1258" s="12">
        <v>2015</v>
      </c>
      <c r="B1258" s="15" t="s">
        <v>364</v>
      </c>
      <c r="C1258" s="15" t="s">
        <v>389</v>
      </c>
      <c r="D1258" s="15" t="s">
        <v>390</v>
      </c>
      <c r="E1258" s="19">
        <v>317314</v>
      </c>
      <c r="F1258" s="19">
        <v>193181</v>
      </c>
      <c r="G1258" s="20">
        <f t="shared" si="19"/>
        <v>0.37841898549447106</v>
      </c>
      <c r="H1258" s="24" t="s">
        <v>586</v>
      </c>
      <c r="I1258" s="24" t="s">
        <v>587</v>
      </c>
      <c r="J1258" s="24" t="s">
        <v>588</v>
      </c>
      <c r="K1258" s="24" t="s">
        <v>594</v>
      </c>
    </row>
    <row r="1259" spans="1:11">
      <c r="A1259" s="12">
        <v>2015</v>
      </c>
      <c r="B1259" s="15" t="s">
        <v>364</v>
      </c>
      <c r="C1259" s="15" t="s">
        <v>391</v>
      </c>
      <c r="D1259" s="15" t="s">
        <v>392</v>
      </c>
      <c r="E1259" s="19">
        <v>99673</v>
      </c>
      <c r="F1259" s="19">
        <v>60273</v>
      </c>
      <c r="G1259" s="20">
        <f t="shared" si="19"/>
        <v>0.37683343128305802</v>
      </c>
      <c r="H1259" s="24" t="s">
        <v>586</v>
      </c>
      <c r="I1259" s="24" t="s">
        <v>587</v>
      </c>
      <c r="J1259" s="24" t="s">
        <v>588</v>
      </c>
      <c r="K1259" s="24" t="s">
        <v>594</v>
      </c>
    </row>
    <row r="1260" spans="1:11">
      <c r="A1260" s="12">
        <v>2015</v>
      </c>
      <c r="B1260" s="15" t="s">
        <v>364</v>
      </c>
      <c r="C1260" s="15" t="s">
        <v>393</v>
      </c>
      <c r="D1260" s="15" t="s">
        <v>394</v>
      </c>
      <c r="E1260" s="19">
        <v>18697</v>
      </c>
      <c r="F1260" s="19">
        <v>21531</v>
      </c>
      <c r="G1260" s="20">
        <f t="shared" si="19"/>
        <v>0.53522422193497066</v>
      </c>
      <c r="H1260" s="24" t="s">
        <v>586</v>
      </c>
      <c r="I1260" s="24" t="s">
        <v>587</v>
      </c>
      <c r="J1260" s="24" t="s">
        <v>588</v>
      </c>
      <c r="K1260" s="24" t="s">
        <v>594</v>
      </c>
    </row>
    <row r="1261" spans="1:11">
      <c r="A1261" s="12">
        <v>2015</v>
      </c>
      <c r="B1261" s="15" t="s">
        <v>395</v>
      </c>
      <c r="C1261" s="15" t="s">
        <v>22</v>
      </c>
      <c r="D1261" s="15" t="s">
        <v>395</v>
      </c>
      <c r="E1261" s="19">
        <v>1670514</v>
      </c>
      <c r="F1261" s="19">
        <v>755758</v>
      </c>
      <c r="G1261" s="20">
        <f t="shared" si="19"/>
        <v>0.31148939607760384</v>
      </c>
      <c r="H1261" s="24" t="s">
        <v>586</v>
      </c>
      <c r="I1261" s="24" t="s">
        <v>587</v>
      </c>
      <c r="J1261" s="24" t="s">
        <v>588</v>
      </c>
      <c r="K1261" s="24" t="s">
        <v>594</v>
      </c>
    </row>
    <row r="1262" spans="1:11">
      <c r="A1262" s="12">
        <v>2015</v>
      </c>
      <c r="B1262" s="15" t="s">
        <v>395</v>
      </c>
      <c r="C1262" s="15" t="s">
        <v>396</v>
      </c>
      <c r="D1262" s="15" t="s">
        <v>397</v>
      </c>
      <c r="E1262" s="19">
        <v>30565</v>
      </c>
      <c r="F1262" s="19">
        <v>27172</v>
      </c>
      <c r="G1262" s="20">
        <f t="shared" si="19"/>
        <v>0.47061676221487087</v>
      </c>
      <c r="H1262" s="24" t="s">
        <v>586</v>
      </c>
      <c r="I1262" s="24" t="s">
        <v>587</v>
      </c>
      <c r="J1262" s="24" t="s">
        <v>588</v>
      </c>
      <c r="K1262" s="24" t="s">
        <v>594</v>
      </c>
    </row>
    <row r="1263" spans="1:11">
      <c r="A1263" s="12">
        <v>2015</v>
      </c>
      <c r="B1263" s="15" t="s">
        <v>395</v>
      </c>
      <c r="C1263" s="15" t="s">
        <v>398</v>
      </c>
      <c r="D1263" s="15" t="s">
        <v>399</v>
      </c>
      <c r="E1263" s="19">
        <v>57048</v>
      </c>
      <c r="F1263" s="19">
        <v>45002</v>
      </c>
      <c r="G1263" s="20">
        <f t="shared" si="19"/>
        <v>0.44097991180793727</v>
      </c>
      <c r="H1263" s="24" t="s">
        <v>586</v>
      </c>
      <c r="I1263" s="24" t="s">
        <v>587</v>
      </c>
      <c r="J1263" s="24" t="s">
        <v>588</v>
      </c>
      <c r="K1263" s="24" t="s">
        <v>594</v>
      </c>
    </row>
    <row r="1264" spans="1:11">
      <c r="A1264" s="12">
        <v>2015</v>
      </c>
      <c r="B1264" s="15" t="s">
        <v>395</v>
      </c>
      <c r="C1264" s="15" t="s">
        <v>400</v>
      </c>
      <c r="D1264" s="15" t="s">
        <v>401</v>
      </c>
      <c r="E1264" s="19">
        <v>22971</v>
      </c>
      <c r="F1264" s="19">
        <v>24942</v>
      </c>
      <c r="G1264" s="20">
        <f t="shared" si="19"/>
        <v>0.52056853046146145</v>
      </c>
      <c r="H1264" s="24" t="s">
        <v>586</v>
      </c>
      <c r="I1264" s="24" t="s">
        <v>587</v>
      </c>
      <c r="J1264" s="24" t="s">
        <v>588</v>
      </c>
      <c r="K1264" s="24" t="s">
        <v>594</v>
      </c>
    </row>
    <row r="1265" spans="1:11">
      <c r="A1265" s="12">
        <v>2015</v>
      </c>
      <c r="B1265" s="15" t="s">
        <v>395</v>
      </c>
      <c r="C1265" s="15" t="s">
        <v>402</v>
      </c>
      <c r="D1265" s="15" t="s">
        <v>403</v>
      </c>
      <c r="E1265" s="19">
        <v>127820</v>
      </c>
      <c r="F1265" s="19">
        <v>93564</v>
      </c>
      <c r="G1265" s="20">
        <f t="shared" si="19"/>
        <v>0.42263216853973185</v>
      </c>
      <c r="H1265" s="24" t="s">
        <v>586</v>
      </c>
      <c r="I1265" s="24" t="s">
        <v>587</v>
      </c>
      <c r="J1265" s="24" t="s">
        <v>588</v>
      </c>
      <c r="K1265" s="24" t="s">
        <v>594</v>
      </c>
    </row>
    <row r="1266" spans="1:11">
      <c r="A1266" s="12">
        <v>2015</v>
      </c>
      <c r="B1266" s="15" t="s">
        <v>395</v>
      </c>
      <c r="C1266" s="15" t="s">
        <v>404</v>
      </c>
      <c r="D1266" s="15" t="s">
        <v>405</v>
      </c>
      <c r="E1266" s="19">
        <v>21476</v>
      </c>
      <c r="F1266" s="19">
        <v>20764</v>
      </c>
      <c r="G1266" s="20">
        <f t="shared" si="19"/>
        <v>0.4915719696969697</v>
      </c>
      <c r="H1266" s="24" t="s">
        <v>586</v>
      </c>
      <c r="I1266" s="24" t="s">
        <v>587</v>
      </c>
      <c r="J1266" s="24" t="s">
        <v>588</v>
      </c>
      <c r="K1266" s="24" t="s">
        <v>594</v>
      </c>
    </row>
    <row r="1267" spans="1:11">
      <c r="A1267" s="12">
        <v>2015</v>
      </c>
      <c r="B1267" s="15" t="s">
        <v>395</v>
      </c>
      <c r="C1267" s="15" t="s">
        <v>406</v>
      </c>
      <c r="D1267" s="15" t="s">
        <v>407</v>
      </c>
      <c r="E1267" s="19">
        <v>72477</v>
      </c>
      <c r="F1267" s="19">
        <v>71920</v>
      </c>
      <c r="G1267" s="20">
        <f t="shared" si="19"/>
        <v>0.4980712895697279</v>
      </c>
      <c r="H1267" s="24" t="s">
        <v>586</v>
      </c>
      <c r="I1267" s="24" t="s">
        <v>587</v>
      </c>
      <c r="J1267" s="24" t="s">
        <v>588</v>
      </c>
      <c r="K1267" s="24" t="s">
        <v>594</v>
      </c>
    </row>
    <row r="1268" spans="1:11">
      <c r="A1268" s="12">
        <v>2015</v>
      </c>
      <c r="B1268" s="15" t="s">
        <v>395</v>
      </c>
      <c r="C1268" s="15" t="s">
        <v>408</v>
      </c>
      <c r="D1268" s="15" t="s">
        <v>409</v>
      </c>
      <c r="E1268" s="19">
        <v>32369</v>
      </c>
      <c r="F1268" s="19">
        <v>36651</v>
      </c>
      <c r="G1268" s="20">
        <f t="shared" si="19"/>
        <v>0.53101999420457835</v>
      </c>
      <c r="H1268" s="24" t="s">
        <v>586</v>
      </c>
      <c r="I1268" s="24" t="s">
        <v>587</v>
      </c>
      <c r="J1268" s="24" t="s">
        <v>588</v>
      </c>
      <c r="K1268" s="24" t="s">
        <v>594</v>
      </c>
    </row>
    <row r="1269" spans="1:11">
      <c r="A1269" s="12">
        <v>2015</v>
      </c>
      <c r="B1269" s="15" t="s">
        <v>395</v>
      </c>
      <c r="C1269" s="15" t="s">
        <v>410</v>
      </c>
      <c r="D1269" s="15" t="s">
        <v>411</v>
      </c>
      <c r="E1269" s="19">
        <v>212571</v>
      </c>
      <c r="F1269" s="19">
        <v>95516</v>
      </c>
      <c r="G1269" s="20">
        <f t="shared" si="19"/>
        <v>0.31002930990272226</v>
      </c>
      <c r="H1269" s="24" t="s">
        <v>586</v>
      </c>
      <c r="I1269" s="24" t="s">
        <v>587</v>
      </c>
      <c r="J1269" s="24" t="s">
        <v>588</v>
      </c>
      <c r="K1269" s="24" t="s">
        <v>594</v>
      </c>
    </row>
    <row r="1270" spans="1:11">
      <c r="A1270" s="12">
        <v>2015</v>
      </c>
      <c r="B1270" s="15" t="s">
        <v>395</v>
      </c>
      <c r="C1270" s="15" t="s">
        <v>412</v>
      </c>
      <c r="D1270" s="15" t="s">
        <v>413</v>
      </c>
      <c r="E1270" s="19">
        <v>61395</v>
      </c>
      <c r="F1270" s="19">
        <v>67018</v>
      </c>
      <c r="G1270" s="20">
        <f t="shared" si="19"/>
        <v>0.52189420074291548</v>
      </c>
      <c r="H1270" s="24" t="s">
        <v>586</v>
      </c>
      <c r="I1270" s="24" t="s">
        <v>587</v>
      </c>
      <c r="J1270" s="24" t="s">
        <v>588</v>
      </c>
      <c r="K1270" s="24" t="s">
        <v>594</v>
      </c>
    </row>
    <row r="1271" spans="1:11">
      <c r="A1271" s="12">
        <v>2015</v>
      </c>
      <c r="B1271" s="15" t="s">
        <v>395</v>
      </c>
      <c r="C1271" s="15" t="s">
        <v>414</v>
      </c>
      <c r="D1271" s="15" t="s">
        <v>415</v>
      </c>
      <c r="E1271" s="19">
        <v>34558</v>
      </c>
      <c r="F1271" s="19">
        <v>33752</v>
      </c>
      <c r="G1271" s="20">
        <f t="shared" si="19"/>
        <v>0.49410042453520714</v>
      </c>
      <c r="H1271" s="24" t="s">
        <v>586</v>
      </c>
      <c r="I1271" s="24" t="s">
        <v>587</v>
      </c>
      <c r="J1271" s="24" t="s">
        <v>588</v>
      </c>
      <c r="K1271" s="24" t="s">
        <v>594</v>
      </c>
    </row>
    <row r="1272" spans="1:11">
      <c r="A1272" s="12">
        <v>2015</v>
      </c>
      <c r="B1272" s="15" t="s">
        <v>395</v>
      </c>
      <c r="C1272" s="15" t="s">
        <v>416</v>
      </c>
      <c r="D1272" s="15" t="s">
        <v>417</v>
      </c>
      <c r="E1272" s="19">
        <v>246858</v>
      </c>
      <c r="F1272" s="19">
        <v>106123</v>
      </c>
      <c r="G1272" s="20">
        <f t="shared" si="19"/>
        <v>0.30064791022746268</v>
      </c>
      <c r="H1272" s="24" t="s">
        <v>586</v>
      </c>
      <c r="I1272" s="24" t="s">
        <v>587</v>
      </c>
      <c r="J1272" s="24" t="s">
        <v>588</v>
      </c>
      <c r="K1272" s="24" t="s">
        <v>594</v>
      </c>
    </row>
    <row r="1273" spans="1:11">
      <c r="A1273" s="12">
        <v>2015</v>
      </c>
      <c r="B1273" s="15" t="s">
        <v>395</v>
      </c>
      <c r="C1273" s="15" t="s">
        <v>418</v>
      </c>
      <c r="D1273" s="15" t="s">
        <v>419</v>
      </c>
      <c r="E1273" s="19">
        <v>27799</v>
      </c>
      <c r="F1273" s="19">
        <v>37783</v>
      </c>
      <c r="G1273" s="20">
        <f t="shared" si="19"/>
        <v>0.57611844713488458</v>
      </c>
      <c r="H1273" s="24" t="s">
        <v>586</v>
      </c>
      <c r="I1273" s="24" t="s">
        <v>587</v>
      </c>
      <c r="J1273" s="24" t="s">
        <v>588</v>
      </c>
      <c r="K1273" s="24" t="s">
        <v>594</v>
      </c>
    </row>
    <row r="1274" spans="1:11">
      <c r="A1274" s="12">
        <v>2015</v>
      </c>
      <c r="B1274" s="15" t="s">
        <v>395</v>
      </c>
      <c r="C1274" s="15" t="s">
        <v>420</v>
      </c>
      <c r="D1274" s="15" t="s">
        <v>421</v>
      </c>
      <c r="E1274" s="19">
        <v>258348</v>
      </c>
      <c r="F1274" s="19">
        <v>107740</v>
      </c>
      <c r="G1274" s="20">
        <f t="shared" si="19"/>
        <v>0.29430082384563272</v>
      </c>
      <c r="H1274" s="24" t="s">
        <v>586</v>
      </c>
      <c r="I1274" s="24" t="s">
        <v>587</v>
      </c>
      <c r="J1274" s="24" t="s">
        <v>588</v>
      </c>
      <c r="K1274" s="24" t="s">
        <v>594</v>
      </c>
    </row>
    <row r="1275" spans="1:11">
      <c r="A1275" s="12">
        <v>2015</v>
      </c>
      <c r="B1275" s="15" t="s">
        <v>395</v>
      </c>
      <c r="C1275" s="15" t="s">
        <v>422</v>
      </c>
      <c r="D1275" s="15" t="s">
        <v>423</v>
      </c>
      <c r="E1275" s="19">
        <v>46119</v>
      </c>
      <c r="F1275" s="19">
        <v>33507</v>
      </c>
      <c r="G1275" s="20">
        <f t="shared" si="19"/>
        <v>0.42080476226358227</v>
      </c>
      <c r="H1275" s="24" t="s">
        <v>586</v>
      </c>
      <c r="I1275" s="24" t="s">
        <v>587</v>
      </c>
      <c r="J1275" s="24" t="s">
        <v>588</v>
      </c>
      <c r="K1275" s="24" t="s">
        <v>594</v>
      </c>
    </row>
    <row r="1276" spans="1:11">
      <c r="A1276" s="12">
        <v>2015</v>
      </c>
      <c r="B1276" s="15" t="s">
        <v>395</v>
      </c>
      <c r="C1276" s="15" t="s">
        <v>424</v>
      </c>
      <c r="D1276" s="15" t="s">
        <v>425</v>
      </c>
      <c r="E1276" s="19">
        <v>42985</v>
      </c>
      <c r="F1276" s="19">
        <v>50190</v>
      </c>
      <c r="G1276" s="20">
        <f t="shared" si="19"/>
        <v>0.53866380466863428</v>
      </c>
      <c r="H1276" s="24" t="s">
        <v>586</v>
      </c>
      <c r="I1276" s="24" t="s">
        <v>587</v>
      </c>
      <c r="J1276" s="24" t="s">
        <v>588</v>
      </c>
      <c r="K1276" s="24" t="s">
        <v>594</v>
      </c>
    </row>
    <row r="1277" spans="1:11">
      <c r="A1277" s="12">
        <v>2015</v>
      </c>
      <c r="B1277" s="15" t="s">
        <v>395</v>
      </c>
      <c r="C1277" s="15" t="s">
        <v>426</v>
      </c>
      <c r="D1277" s="15" t="s">
        <v>427</v>
      </c>
      <c r="E1277" s="19">
        <v>43275</v>
      </c>
      <c r="F1277" s="19">
        <v>41973</v>
      </c>
      <c r="G1277" s="20">
        <f t="shared" si="19"/>
        <v>0.4923634572072072</v>
      </c>
      <c r="H1277" s="24" t="s">
        <v>586</v>
      </c>
      <c r="I1277" s="24" t="s">
        <v>587</v>
      </c>
      <c r="J1277" s="24" t="s">
        <v>588</v>
      </c>
      <c r="K1277" s="24" t="s">
        <v>594</v>
      </c>
    </row>
    <row r="1278" spans="1:11">
      <c r="A1278" s="12">
        <v>2015</v>
      </c>
      <c r="B1278" s="15" t="s">
        <v>395</v>
      </c>
      <c r="C1278" s="15" t="s">
        <v>428</v>
      </c>
      <c r="D1278" s="15" t="s">
        <v>429</v>
      </c>
      <c r="E1278" s="19">
        <v>31164</v>
      </c>
      <c r="F1278" s="19">
        <v>37276</v>
      </c>
      <c r="G1278" s="20">
        <f t="shared" si="19"/>
        <v>0.5446522501461134</v>
      </c>
      <c r="H1278" s="24" t="s">
        <v>586</v>
      </c>
      <c r="I1278" s="24" t="s">
        <v>587</v>
      </c>
      <c r="J1278" s="24" t="s">
        <v>588</v>
      </c>
      <c r="K1278" s="24" t="s">
        <v>594</v>
      </c>
    </row>
    <row r="1279" spans="1:11">
      <c r="A1279" s="12">
        <v>2015</v>
      </c>
      <c r="B1279" s="15" t="s">
        <v>395</v>
      </c>
      <c r="C1279" s="15" t="s">
        <v>430</v>
      </c>
      <c r="D1279" s="15" t="s">
        <v>431</v>
      </c>
      <c r="E1279" s="19">
        <v>33544</v>
      </c>
      <c r="F1279" s="19">
        <v>31996</v>
      </c>
      <c r="G1279" s="20">
        <f t="shared" si="19"/>
        <v>0.48819041806530361</v>
      </c>
      <c r="H1279" s="24" t="s">
        <v>586</v>
      </c>
      <c r="I1279" s="24" t="s">
        <v>587</v>
      </c>
      <c r="J1279" s="24" t="s">
        <v>588</v>
      </c>
      <c r="K1279" s="24" t="s">
        <v>594</v>
      </c>
    </row>
    <row r="1280" spans="1:11">
      <c r="A1280" s="12">
        <v>2015</v>
      </c>
      <c r="B1280" s="15" t="s">
        <v>395</v>
      </c>
      <c r="C1280" s="15" t="s">
        <v>432</v>
      </c>
      <c r="D1280" s="15" t="s">
        <v>433</v>
      </c>
      <c r="E1280" s="19">
        <v>25388</v>
      </c>
      <c r="F1280" s="19">
        <v>25904</v>
      </c>
      <c r="G1280" s="20">
        <f t="shared" si="19"/>
        <v>0.50503002417530996</v>
      </c>
      <c r="H1280" s="24" t="s">
        <v>586</v>
      </c>
      <c r="I1280" s="24" t="s">
        <v>587</v>
      </c>
      <c r="J1280" s="24" t="s">
        <v>588</v>
      </c>
      <c r="K1280" s="24" t="s">
        <v>594</v>
      </c>
    </row>
    <row r="1281" spans="1:11">
      <c r="A1281" s="12">
        <v>2015</v>
      </c>
      <c r="B1281" s="15" t="s">
        <v>395</v>
      </c>
      <c r="C1281" s="15" t="s">
        <v>434</v>
      </c>
      <c r="D1281" s="15" t="s">
        <v>435</v>
      </c>
      <c r="E1281" s="19">
        <v>25250</v>
      </c>
      <c r="F1281" s="19">
        <v>29093</v>
      </c>
      <c r="G1281" s="20">
        <f t="shared" si="19"/>
        <v>0.53535873985609927</v>
      </c>
      <c r="H1281" s="24" t="s">
        <v>586</v>
      </c>
      <c r="I1281" s="24" t="s">
        <v>587</v>
      </c>
      <c r="J1281" s="24" t="s">
        <v>588</v>
      </c>
      <c r="K1281" s="24" t="s">
        <v>594</v>
      </c>
    </row>
    <row r="1282" spans="1:11">
      <c r="A1282" s="12">
        <v>2015</v>
      </c>
      <c r="B1282" s="15" t="s">
        <v>395</v>
      </c>
      <c r="C1282" s="15" t="s">
        <v>436</v>
      </c>
      <c r="D1282" s="15" t="s">
        <v>437</v>
      </c>
      <c r="E1282" s="19">
        <v>61989</v>
      </c>
      <c r="F1282" s="19">
        <v>47123</v>
      </c>
      <c r="G1282" s="20">
        <f t="shared" si="19"/>
        <v>0.43187733704817066</v>
      </c>
      <c r="H1282" s="24" t="s">
        <v>586</v>
      </c>
      <c r="I1282" s="24" t="s">
        <v>587</v>
      </c>
      <c r="J1282" s="24" t="s">
        <v>588</v>
      </c>
      <c r="K1282" s="24" t="s">
        <v>594</v>
      </c>
    </row>
    <row r="1283" spans="1:11">
      <c r="A1283" s="12">
        <v>2015</v>
      </c>
      <c r="B1283" s="15" t="s">
        <v>395</v>
      </c>
      <c r="C1283" s="15" t="s">
        <v>438</v>
      </c>
      <c r="D1283" s="15" t="s">
        <v>439</v>
      </c>
      <c r="E1283" s="19">
        <v>51924</v>
      </c>
      <c r="F1283" s="19">
        <v>42550</v>
      </c>
      <c r="G1283" s="20">
        <f t="shared" si="19"/>
        <v>0.45038846666807797</v>
      </c>
      <c r="H1283" s="24" t="s">
        <v>586</v>
      </c>
      <c r="I1283" s="24" t="s">
        <v>587</v>
      </c>
      <c r="J1283" s="24" t="s">
        <v>588</v>
      </c>
      <c r="K1283" s="24" t="s">
        <v>594</v>
      </c>
    </row>
    <row r="1284" spans="1:11">
      <c r="A1284" s="12">
        <v>2015</v>
      </c>
      <c r="B1284" s="15" t="s">
        <v>440</v>
      </c>
      <c r="C1284" s="15" t="s">
        <v>22</v>
      </c>
      <c r="D1284" s="15" t="s">
        <v>440</v>
      </c>
      <c r="E1284" s="19">
        <v>2374639</v>
      </c>
      <c r="F1284" s="19">
        <v>995433</v>
      </c>
      <c r="G1284" s="20">
        <f t="shared" si="19"/>
        <v>0.29537440149646654</v>
      </c>
      <c r="H1284" s="24" t="s">
        <v>583</v>
      </c>
      <c r="I1284" s="24" t="s">
        <v>584</v>
      </c>
      <c r="J1284" s="24" t="s">
        <v>585</v>
      </c>
      <c r="K1284" s="24" t="s">
        <v>594</v>
      </c>
    </row>
    <row r="1285" spans="1:11">
      <c r="A1285" s="12">
        <v>2015</v>
      </c>
      <c r="B1285" s="15" t="s">
        <v>440</v>
      </c>
      <c r="C1285" s="15" t="s">
        <v>441</v>
      </c>
      <c r="D1285" s="15" t="s">
        <v>442</v>
      </c>
      <c r="E1285" s="19">
        <v>212341</v>
      </c>
      <c r="F1285" s="19">
        <v>157947</v>
      </c>
      <c r="G1285" s="20">
        <f t="shared" si="19"/>
        <v>0.42655176511256104</v>
      </c>
      <c r="H1285" s="24" t="s">
        <v>583</v>
      </c>
      <c r="I1285" s="24" t="s">
        <v>569</v>
      </c>
      <c r="J1285" s="24" t="s">
        <v>593</v>
      </c>
      <c r="K1285" s="24" t="s">
        <v>594</v>
      </c>
    </row>
    <row r="1286" spans="1:11">
      <c r="A1286" s="12">
        <v>2015</v>
      </c>
      <c r="B1286" s="15" t="s">
        <v>440</v>
      </c>
      <c r="C1286" s="15" t="s">
        <v>443</v>
      </c>
      <c r="D1286" s="15" t="s">
        <v>444</v>
      </c>
      <c r="E1286" s="19">
        <v>220401</v>
      </c>
      <c r="F1286" s="19">
        <v>118602</v>
      </c>
      <c r="G1286" s="20">
        <f t="shared" ref="G1286:G1349" si="20">IFERROR(F1286/(E1286+F1286),"")</f>
        <v>0.34985531101494677</v>
      </c>
      <c r="H1286" s="24" t="s">
        <v>583</v>
      </c>
      <c r="I1286" s="24" t="s">
        <v>584</v>
      </c>
      <c r="J1286" s="24" t="s">
        <v>585</v>
      </c>
      <c r="K1286" s="24" t="s">
        <v>594</v>
      </c>
    </row>
    <row r="1287" spans="1:11">
      <c r="A1287" s="12">
        <v>2015</v>
      </c>
      <c r="B1287" s="15" t="s">
        <v>440</v>
      </c>
      <c r="C1287" s="15" t="s">
        <v>445</v>
      </c>
      <c r="D1287" s="15" t="s">
        <v>446</v>
      </c>
      <c r="E1287" s="19">
        <v>23073</v>
      </c>
      <c r="F1287" s="19">
        <v>28209</v>
      </c>
      <c r="G1287" s="20">
        <f t="shared" si="20"/>
        <v>0.55007605007605009</v>
      </c>
      <c r="H1287" s="24" t="s">
        <v>583</v>
      </c>
      <c r="I1287" s="24" t="s">
        <v>569</v>
      </c>
      <c r="J1287" s="24" t="s">
        <v>593</v>
      </c>
      <c r="K1287" s="24" t="s">
        <v>594</v>
      </c>
    </row>
    <row r="1288" spans="1:11">
      <c r="A1288" s="12">
        <v>2015</v>
      </c>
      <c r="B1288" s="15" t="s">
        <v>440</v>
      </c>
      <c r="C1288" s="15" t="s">
        <v>447</v>
      </c>
      <c r="D1288" s="15" t="s">
        <v>448</v>
      </c>
      <c r="E1288" s="19">
        <v>371035</v>
      </c>
      <c r="F1288" s="19">
        <v>150735</v>
      </c>
      <c r="G1288" s="20">
        <f t="shared" si="20"/>
        <v>0.2888916572436131</v>
      </c>
      <c r="H1288" s="24" t="s">
        <v>583</v>
      </c>
      <c r="I1288" s="24" t="s">
        <v>569</v>
      </c>
      <c r="J1288" s="24" t="s">
        <v>593</v>
      </c>
      <c r="K1288" s="24" t="s">
        <v>594</v>
      </c>
    </row>
    <row r="1289" spans="1:11">
      <c r="A1289" s="12">
        <v>2015</v>
      </c>
      <c r="B1289" s="15" t="s">
        <v>440</v>
      </c>
      <c r="C1289" s="15" t="s">
        <v>105</v>
      </c>
      <c r="D1289" s="15" t="s">
        <v>449</v>
      </c>
      <c r="E1289" s="19">
        <v>16909</v>
      </c>
      <c r="F1289" s="19">
        <v>20021</v>
      </c>
      <c r="G1289" s="20">
        <f t="shared" si="20"/>
        <v>0.54213376658543189</v>
      </c>
      <c r="H1289" s="24" t="s">
        <v>583</v>
      </c>
      <c r="I1289" s="24" t="s">
        <v>569</v>
      </c>
      <c r="J1289" s="24" t="s">
        <v>593</v>
      </c>
      <c r="K1289" s="24" t="s">
        <v>594</v>
      </c>
    </row>
    <row r="1290" spans="1:11">
      <c r="A1290" s="12">
        <v>2015</v>
      </c>
      <c r="B1290" s="15" t="s">
        <v>440</v>
      </c>
      <c r="C1290" s="15" t="s">
        <v>450</v>
      </c>
      <c r="D1290" s="15" t="s">
        <v>451</v>
      </c>
      <c r="E1290" s="19">
        <v>113187</v>
      </c>
      <c r="F1290" s="19">
        <v>71557</v>
      </c>
      <c r="G1290" s="20">
        <f t="shared" si="20"/>
        <v>0.3873305763651323</v>
      </c>
      <c r="H1290" s="24" t="s">
        <v>583</v>
      </c>
      <c r="I1290" s="24" t="s">
        <v>584</v>
      </c>
      <c r="J1290" s="24" t="s">
        <v>585</v>
      </c>
      <c r="K1290" s="24" t="s">
        <v>594</v>
      </c>
    </row>
    <row r="1291" spans="1:11">
      <c r="A1291" s="12">
        <v>2015</v>
      </c>
      <c r="B1291" s="15" t="s">
        <v>440</v>
      </c>
      <c r="C1291" s="15" t="s">
        <v>452</v>
      </c>
      <c r="D1291" s="15" t="s">
        <v>453</v>
      </c>
      <c r="E1291" s="19">
        <v>64392</v>
      </c>
      <c r="F1291" s="19">
        <v>40394</v>
      </c>
      <c r="G1291" s="20">
        <f t="shared" si="20"/>
        <v>0.38549042811062545</v>
      </c>
      <c r="H1291" s="24" t="s">
        <v>583</v>
      </c>
      <c r="I1291" s="24" t="s">
        <v>569</v>
      </c>
      <c r="J1291" s="24" t="s">
        <v>593</v>
      </c>
      <c r="K1291" s="24" t="s">
        <v>594</v>
      </c>
    </row>
    <row r="1292" spans="1:11">
      <c r="A1292" s="12">
        <v>2015</v>
      </c>
      <c r="B1292" s="15" t="s">
        <v>440</v>
      </c>
      <c r="C1292" s="15" t="s">
        <v>454</v>
      </c>
      <c r="D1292" s="15" t="s">
        <v>455</v>
      </c>
      <c r="E1292" s="19">
        <v>23042</v>
      </c>
      <c r="F1292" s="19">
        <v>27446</v>
      </c>
      <c r="G1292" s="20">
        <f t="shared" si="20"/>
        <v>0.54361432419584854</v>
      </c>
      <c r="H1292" s="24" t="s">
        <v>583</v>
      </c>
      <c r="I1292" s="24" t="s">
        <v>569</v>
      </c>
      <c r="J1292" s="24" t="s">
        <v>593</v>
      </c>
      <c r="K1292" s="24" t="s">
        <v>594</v>
      </c>
    </row>
    <row r="1293" spans="1:11">
      <c r="A1293" s="12">
        <v>2015</v>
      </c>
      <c r="B1293" s="15" t="s">
        <v>440</v>
      </c>
      <c r="C1293" s="15" t="s">
        <v>456</v>
      </c>
      <c r="D1293" s="15" t="s">
        <v>457</v>
      </c>
      <c r="E1293" s="19">
        <v>85905</v>
      </c>
      <c r="F1293" s="19">
        <v>56346</v>
      </c>
      <c r="G1293" s="20">
        <f t="shared" si="20"/>
        <v>0.39610266360166185</v>
      </c>
      <c r="H1293" s="24" t="s">
        <v>583</v>
      </c>
      <c r="I1293" s="24" t="s">
        <v>569</v>
      </c>
      <c r="J1293" s="24" t="s">
        <v>593</v>
      </c>
      <c r="K1293" s="24" t="s">
        <v>594</v>
      </c>
    </row>
    <row r="1294" spans="1:11">
      <c r="A1294" s="12">
        <v>2015</v>
      </c>
      <c r="B1294" s="15" t="s">
        <v>440</v>
      </c>
      <c r="C1294" s="15" t="s">
        <v>458</v>
      </c>
      <c r="D1294" s="15" t="s">
        <v>459</v>
      </c>
      <c r="E1294" s="19">
        <v>31470</v>
      </c>
      <c r="F1294" s="19">
        <v>35815</v>
      </c>
      <c r="G1294" s="20">
        <f t="shared" si="20"/>
        <v>0.53228802853533475</v>
      </c>
      <c r="H1294" s="24" t="s">
        <v>583</v>
      </c>
      <c r="I1294" s="24" t="s">
        <v>569</v>
      </c>
      <c r="J1294" s="24" t="s">
        <v>593</v>
      </c>
      <c r="K1294" s="24" t="s">
        <v>594</v>
      </c>
    </row>
    <row r="1295" spans="1:11">
      <c r="A1295" s="12">
        <v>2015</v>
      </c>
      <c r="B1295" s="15" t="s">
        <v>440</v>
      </c>
      <c r="C1295" s="15" t="s">
        <v>460</v>
      </c>
      <c r="D1295" s="15" t="s">
        <v>461</v>
      </c>
      <c r="E1295" s="19">
        <v>148570</v>
      </c>
      <c r="F1295" s="19">
        <v>56880</v>
      </c>
      <c r="G1295" s="20">
        <f t="shared" si="20"/>
        <v>0.27685568264784621</v>
      </c>
      <c r="H1295" s="24" t="s">
        <v>583</v>
      </c>
      <c r="I1295" s="24" t="s">
        <v>584</v>
      </c>
      <c r="J1295" s="24" t="s">
        <v>585</v>
      </c>
      <c r="K1295" s="24" t="s">
        <v>594</v>
      </c>
    </row>
    <row r="1296" spans="1:11">
      <c r="A1296" s="12">
        <v>2015</v>
      </c>
      <c r="B1296" s="15" t="s">
        <v>440</v>
      </c>
      <c r="C1296" s="15" t="s">
        <v>462</v>
      </c>
      <c r="D1296" s="15" t="s">
        <v>463</v>
      </c>
      <c r="E1296" s="19">
        <v>31427</v>
      </c>
      <c r="F1296" s="19">
        <v>28147</v>
      </c>
      <c r="G1296" s="20">
        <f t="shared" si="20"/>
        <v>0.47247121227381073</v>
      </c>
      <c r="H1296" s="24" t="s">
        <v>583</v>
      </c>
      <c r="I1296" s="24" t="s">
        <v>569</v>
      </c>
      <c r="J1296" s="24" t="s">
        <v>593</v>
      </c>
      <c r="K1296" s="24" t="s">
        <v>594</v>
      </c>
    </row>
    <row r="1297" spans="1:11">
      <c r="A1297" s="12">
        <v>2015</v>
      </c>
      <c r="B1297" s="15" t="s">
        <v>440</v>
      </c>
      <c r="C1297" s="15" t="s">
        <v>464</v>
      </c>
      <c r="D1297" s="15" t="s">
        <v>465</v>
      </c>
      <c r="E1297" s="19">
        <v>12577</v>
      </c>
      <c r="F1297" s="19">
        <v>14563</v>
      </c>
      <c r="G1297" s="20">
        <f t="shared" si="20"/>
        <v>0.53658806190125274</v>
      </c>
      <c r="H1297" s="24" t="s">
        <v>583</v>
      </c>
      <c r="I1297" s="24" t="s">
        <v>569</v>
      </c>
      <c r="J1297" s="24" t="s">
        <v>593</v>
      </c>
      <c r="K1297" s="24" t="s">
        <v>594</v>
      </c>
    </row>
    <row r="1298" spans="1:11">
      <c r="A1298" s="12">
        <v>2015</v>
      </c>
      <c r="B1298" s="15" t="s">
        <v>440</v>
      </c>
      <c r="C1298" s="15" t="s">
        <v>466</v>
      </c>
      <c r="D1298" s="15" t="s">
        <v>467</v>
      </c>
      <c r="E1298" s="19">
        <v>94901</v>
      </c>
      <c r="F1298" s="19">
        <v>57718</v>
      </c>
      <c r="G1298" s="20">
        <f t="shared" si="20"/>
        <v>0.37818358133653085</v>
      </c>
      <c r="H1298" s="24" t="s">
        <v>583</v>
      </c>
      <c r="I1298" s="24" t="s">
        <v>569</v>
      </c>
      <c r="J1298" s="24" t="s">
        <v>593</v>
      </c>
      <c r="K1298" s="24" t="s">
        <v>594</v>
      </c>
    </row>
    <row r="1299" spans="1:11">
      <c r="A1299" s="12">
        <v>2015</v>
      </c>
      <c r="B1299" s="15" t="s">
        <v>440</v>
      </c>
      <c r="C1299" s="15" t="s">
        <v>468</v>
      </c>
      <c r="D1299" s="15" t="s">
        <v>469</v>
      </c>
      <c r="E1299" s="19">
        <v>82243</v>
      </c>
      <c r="F1299" s="19">
        <v>59951</v>
      </c>
      <c r="G1299" s="20">
        <f t="shared" si="20"/>
        <v>0.4216141328044784</v>
      </c>
      <c r="H1299" s="24" t="s">
        <v>583</v>
      </c>
      <c r="I1299" s="24" t="s">
        <v>569</v>
      </c>
      <c r="J1299" s="24" t="s">
        <v>593</v>
      </c>
      <c r="K1299" s="24" t="s">
        <v>594</v>
      </c>
    </row>
    <row r="1300" spans="1:11">
      <c r="A1300" s="12">
        <v>2015</v>
      </c>
      <c r="B1300" s="15" t="s">
        <v>440</v>
      </c>
      <c r="C1300" s="15" t="s">
        <v>470</v>
      </c>
      <c r="D1300" s="15" t="s">
        <v>471</v>
      </c>
      <c r="E1300" s="19">
        <v>34351</v>
      </c>
      <c r="F1300" s="19">
        <v>33315</v>
      </c>
      <c r="G1300" s="20">
        <f t="shared" si="20"/>
        <v>0.49234475216504597</v>
      </c>
      <c r="H1300" s="24" t="s">
        <v>583</v>
      </c>
      <c r="I1300" s="24" t="s">
        <v>569</v>
      </c>
      <c r="J1300" s="24" t="s">
        <v>593</v>
      </c>
      <c r="K1300" s="24" t="s">
        <v>594</v>
      </c>
    </row>
    <row r="1301" spans="1:11">
      <c r="A1301" s="12">
        <v>2015</v>
      </c>
      <c r="B1301" s="15" t="s">
        <v>440</v>
      </c>
      <c r="C1301" s="15" t="s">
        <v>472</v>
      </c>
      <c r="D1301" s="15" t="s">
        <v>473</v>
      </c>
      <c r="E1301" s="19">
        <v>6914</v>
      </c>
      <c r="F1301" s="19">
        <v>7891</v>
      </c>
      <c r="G1301" s="20">
        <f t="shared" si="20"/>
        <v>0.53299560959135428</v>
      </c>
      <c r="H1301" s="24" t="s">
        <v>583</v>
      </c>
      <c r="I1301" s="24" t="s">
        <v>569</v>
      </c>
      <c r="J1301" s="24" t="s">
        <v>593</v>
      </c>
      <c r="K1301" s="24" t="s">
        <v>594</v>
      </c>
    </row>
    <row r="1302" spans="1:11">
      <c r="A1302" s="12">
        <v>2015</v>
      </c>
      <c r="B1302" s="15" t="s">
        <v>440</v>
      </c>
      <c r="C1302" s="15" t="s">
        <v>474</v>
      </c>
      <c r="D1302" s="15" t="s">
        <v>475</v>
      </c>
      <c r="E1302" s="19">
        <v>43068</v>
      </c>
      <c r="F1302" s="19">
        <v>32478</v>
      </c>
      <c r="G1302" s="20">
        <f t="shared" si="20"/>
        <v>0.42991025335557143</v>
      </c>
      <c r="H1302" s="24" t="s">
        <v>583</v>
      </c>
      <c r="I1302" s="24" t="s">
        <v>569</v>
      </c>
      <c r="J1302" s="24" t="s">
        <v>593</v>
      </c>
      <c r="K1302" s="24" t="s">
        <v>594</v>
      </c>
    </row>
    <row r="1303" spans="1:11">
      <c r="A1303" s="12">
        <v>2015</v>
      </c>
      <c r="B1303" s="15" t="s">
        <v>440</v>
      </c>
      <c r="C1303" s="15" t="s">
        <v>476</v>
      </c>
      <c r="D1303" s="15" t="s">
        <v>477</v>
      </c>
      <c r="E1303" s="19">
        <v>43424</v>
      </c>
      <c r="F1303" s="19">
        <v>40382</v>
      </c>
      <c r="G1303" s="20">
        <f t="shared" si="20"/>
        <v>0.48185094146003865</v>
      </c>
      <c r="H1303" s="24" t="s">
        <v>583</v>
      </c>
      <c r="I1303" s="24" t="s">
        <v>569</v>
      </c>
      <c r="J1303" s="24" t="s">
        <v>593</v>
      </c>
      <c r="K1303" s="24" t="s">
        <v>594</v>
      </c>
    </row>
    <row r="1304" spans="1:11">
      <c r="A1304" s="12">
        <v>2015</v>
      </c>
      <c r="B1304" s="15" t="s">
        <v>440</v>
      </c>
      <c r="C1304" s="15" t="s">
        <v>478</v>
      </c>
      <c r="D1304" s="15" t="s">
        <v>479</v>
      </c>
      <c r="E1304" s="19">
        <v>32719</v>
      </c>
      <c r="F1304" s="19">
        <v>32894</v>
      </c>
      <c r="G1304" s="20">
        <f t="shared" si="20"/>
        <v>0.50133357718744764</v>
      </c>
      <c r="H1304" s="24" t="s">
        <v>583</v>
      </c>
      <c r="I1304" s="24" t="s">
        <v>569</v>
      </c>
      <c r="J1304" s="24" t="s">
        <v>593</v>
      </c>
      <c r="K1304" s="24" t="s">
        <v>594</v>
      </c>
    </row>
    <row r="1305" spans="1:11">
      <c r="A1305" s="12">
        <v>2015</v>
      </c>
      <c r="B1305" s="15" t="s">
        <v>440</v>
      </c>
      <c r="C1305" s="15" t="s">
        <v>480</v>
      </c>
      <c r="D1305" s="15" t="s">
        <v>481</v>
      </c>
      <c r="E1305" s="19">
        <v>19532</v>
      </c>
      <c r="F1305" s="19">
        <v>20997</v>
      </c>
      <c r="G1305" s="20">
        <f t="shared" si="20"/>
        <v>0.51807347825014183</v>
      </c>
      <c r="H1305" s="24" t="s">
        <v>583</v>
      </c>
      <c r="I1305" s="24" t="s">
        <v>569</v>
      </c>
      <c r="J1305" s="24" t="s">
        <v>593</v>
      </c>
      <c r="K1305" s="24" t="s">
        <v>594</v>
      </c>
    </row>
    <row r="1306" spans="1:11">
      <c r="A1306" s="12">
        <v>2015</v>
      </c>
      <c r="B1306" s="15" t="s">
        <v>440</v>
      </c>
      <c r="C1306" s="15" t="s">
        <v>482</v>
      </c>
      <c r="D1306" s="15" t="s">
        <v>483</v>
      </c>
      <c r="E1306" s="19">
        <v>91482</v>
      </c>
      <c r="F1306" s="19">
        <v>91479</v>
      </c>
      <c r="G1306" s="20">
        <f t="shared" si="20"/>
        <v>0.49999180153147393</v>
      </c>
      <c r="H1306" s="24" t="s">
        <v>583</v>
      </c>
      <c r="I1306" s="24" t="s">
        <v>569</v>
      </c>
      <c r="J1306" s="24" t="s">
        <v>593</v>
      </c>
      <c r="K1306" s="24" t="s">
        <v>594</v>
      </c>
    </row>
    <row r="1307" spans="1:11">
      <c r="A1307" s="12">
        <v>2015</v>
      </c>
      <c r="B1307" s="15" t="s">
        <v>440</v>
      </c>
      <c r="C1307" s="15" t="s">
        <v>484</v>
      </c>
      <c r="D1307" s="15" t="s">
        <v>485</v>
      </c>
      <c r="E1307" s="19">
        <v>202528</v>
      </c>
      <c r="F1307" s="19">
        <v>163396</v>
      </c>
      <c r="G1307" s="20">
        <f t="shared" si="20"/>
        <v>0.44652988052163839</v>
      </c>
      <c r="H1307" s="24" t="s">
        <v>583</v>
      </c>
      <c r="I1307" s="24" t="s">
        <v>584</v>
      </c>
      <c r="J1307" s="24" t="s">
        <v>585</v>
      </c>
      <c r="K1307" s="24" t="s">
        <v>594</v>
      </c>
    </row>
    <row r="1308" spans="1:11">
      <c r="A1308" s="12">
        <v>2015</v>
      </c>
      <c r="B1308" s="15" t="s">
        <v>440</v>
      </c>
      <c r="C1308" s="15" t="s">
        <v>486</v>
      </c>
      <c r="D1308" s="15" t="s">
        <v>487</v>
      </c>
      <c r="E1308" s="19">
        <v>232618</v>
      </c>
      <c r="F1308" s="19">
        <v>157406</v>
      </c>
      <c r="G1308" s="20">
        <f t="shared" si="20"/>
        <v>0.40358029249482086</v>
      </c>
      <c r="H1308" s="24" t="s">
        <v>583</v>
      </c>
      <c r="I1308" s="24" t="s">
        <v>584</v>
      </c>
      <c r="J1308" s="24" t="s">
        <v>585</v>
      </c>
      <c r="K1308" s="24" t="s">
        <v>594</v>
      </c>
    </row>
    <row r="1309" spans="1:11">
      <c r="A1309" s="12">
        <v>2015</v>
      </c>
      <c r="B1309" s="15" t="s">
        <v>488</v>
      </c>
      <c r="C1309" s="15" t="s">
        <v>22</v>
      </c>
      <c r="D1309" s="15" t="s">
        <v>488</v>
      </c>
      <c r="E1309" s="19">
        <v>3058434</v>
      </c>
      <c r="F1309" s="19">
        <v>935551</v>
      </c>
      <c r="G1309" s="20">
        <f t="shared" si="20"/>
        <v>0.23423998838253024</v>
      </c>
      <c r="H1309" s="24" t="s">
        <v>583</v>
      </c>
      <c r="I1309" s="24" t="s">
        <v>569</v>
      </c>
      <c r="J1309" s="24" t="s">
        <v>593</v>
      </c>
      <c r="K1309" s="24" t="s">
        <v>594</v>
      </c>
    </row>
    <row r="1310" spans="1:11">
      <c r="A1310" s="12">
        <v>2015</v>
      </c>
      <c r="B1310" s="15" t="s">
        <v>488</v>
      </c>
      <c r="C1310" s="15" t="s">
        <v>489</v>
      </c>
      <c r="D1310" s="15" t="s">
        <v>490</v>
      </c>
      <c r="E1310" s="19">
        <v>231803</v>
      </c>
      <c r="F1310" s="19">
        <v>116387</v>
      </c>
      <c r="G1310" s="20">
        <f t="shared" si="20"/>
        <v>0.33426290243832391</v>
      </c>
      <c r="H1310" s="24" t="s">
        <v>583</v>
      </c>
      <c r="I1310" s="24" t="s">
        <v>569</v>
      </c>
      <c r="J1310" s="24" t="s">
        <v>593</v>
      </c>
      <c r="K1310" s="24" t="s">
        <v>594</v>
      </c>
    </row>
    <row r="1311" spans="1:11">
      <c r="A1311" s="12">
        <v>2015</v>
      </c>
      <c r="B1311" s="15" t="s">
        <v>488</v>
      </c>
      <c r="C1311" s="15" t="s">
        <v>491</v>
      </c>
      <c r="D1311" s="15" t="s">
        <v>492</v>
      </c>
      <c r="E1311" s="19">
        <v>54798</v>
      </c>
      <c r="F1311" s="19">
        <v>34418</v>
      </c>
      <c r="G1311" s="20">
        <f t="shared" si="20"/>
        <v>0.38578281922525109</v>
      </c>
      <c r="H1311" s="24" t="s">
        <v>583</v>
      </c>
      <c r="I1311" s="24" t="s">
        <v>569</v>
      </c>
      <c r="J1311" s="24" t="s">
        <v>593</v>
      </c>
      <c r="K1311" s="24" t="s">
        <v>594</v>
      </c>
    </row>
    <row r="1312" spans="1:11">
      <c r="A1312" s="12">
        <v>2015</v>
      </c>
      <c r="B1312" s="15" t="s">
        <v>488</v>
      </c>
      <c r="C1312" s="15" t="s">
        <v>260</v>
      </c>
      <c r="D1312" s="15" t="s">
        <v>493</v>
      </c>
      <c r="E1312" s="19">
        <v>43034</v>
      </c>
      <c r="F1312" s="19">
        <v>40891</v>
      </c>
      <c r="G1312" s="20">
        <f t="shared" si="20"/>
        <v>0.48723264819779566</v>
      </c>
      <c r="H1312" s="24" t="s">
        <v>583</v>
      </c>
      <c r="I1312" s="24" t="s">
        <v>569</v>
      </c>
      <c r="J1312" s="24" t="s">
        <v>593</v>
      </c>
      <c r="K1312" s="24" t="s">
        <v>594</v>
      </c>
    </row>
    <row r="1313" spans="1:11">
      <c r="A1313" s="12">
        <v>2015</v>
      </c>
      <c r="B1313" s="15" t="s">
        <v>488</v>
      </c>
      <c r="C1313" s="15" t="s">
        <v>494</v>
      </c>
      <c r="D1313" s="15" t="s">
        <v>495</v>
      </c>
      <c r="E1313" s="19">
        <v>467213</v>
      </c>
      <c r="F1313" s="19">
        <v>238930</v>
      </c>
      <c r="G1313" s="20">
        <f t="shared" si="20"/>
        <v>0.33835922752190423</v>
      </c>
      <c r="H1313" s="24" t="s">
        <v>583</v>
      </c>
      <c r="I1313" s="24" t="s">
        <v>569</v>
      </c>
      <c r="J1313" s="24" t="s">
        <v>593</v>
      </c>
      <c r="K1313" s="24" t="s">
        <v>594</v>
      </c>
    </row>
    <row r="1314" spans="1:11">
      <c r="A1314" s="12">
        <v>2015</v>
      </c>
      <c r="B1314" s="15" t="s">
        <v>488</v>
      </c>
      <c r="C1314" s="15" t="s">
        <v>496</v>
      </c>
      <c r="D1314" s="15" t="s">
        <v>497</v>
      </c>
      <c r="E1314" s="19">
        <v>36732</v>
      </c>
      <c r="F1314" s="19">
        <v>33139</v>
      </c>
      <c r="G1314" s="20">
        <f t="shared" si="20"/>
        <v>0.4742883313534943</v>
      </c>
      <c r="H1314" s="24" t="s">
        <v>583</v>
      </c>
      <c r="I1314" s="24" t="s">
        <v>569</v>
      </c>
      <c r="J1314" s="24" t="s">
        <v>593</v>
      </c>
      <c r="K1314" s="24" t="s">
        <v>594</v>
      </c>
    </row>
    <row r="1315" spans="1:11">
      <c r="A1315" s="12">
        <v>2015</v>
      </c>
      <c r="B1315" s="15" t="s">
        <v>488</v>
      </c>
      <c r="C1315" s="15" t="s">
        <v>498</v>
      </c>
      <c r="D1315" s="15" t="s">
        <v>499</v>
      </c>
      <c r="E1315" s="19">
        <v>89880</v>
      </c>
      <c r="F1315" s="19">
        <v>60612</v>
      </c>
      <c r="G1315" s="20">
        <f t="shared" si="20"/>
        <v>0.4027589506418946</v>
      </c>
      <c r="H1315" s="24" t="s">
        <v>583</v>
      </c>
      <c r="I1315" s="24" t="s">
        <v>569</v>
      </c>
      <c r="J1315" s="24" t="s">
        <v>593</v>
      </c>
      <c r="K1315" s="24" t="s">
        <v>594</v>
      </c>
    </row>
    <row r="1316" spans="1:11">
      <c r="A1316" s="12">
        <v>2015</v>
      </c>
      <c r="B1316" s="15" t="s">
        <v>488</v>
      </c>
      <c r="C1316" s="15" t="s">
        <v>500</v>
      </c>
      <c r="D1316" s="15" t="s">
        <v>501</v>
      </c>
      <c r="E1316" s="19">
        <v>97575</v>
      </c>
      <c r="F1316" s="19">
        <v>69428</v>
      </c>
      <c r="G1316" s="20">
        <f t="shared" si="20"/>
        <v>0.41572905875942351</v>
      </c>
      <c r="H1316" s="24" t="s">
        <v>583</v>
      </c>
      <c r="I1316" s="24" t="s">
        <v>569</v>
      </c>
      <c r="J1316" s="24" t="s">
        <v>593</v>
      </c>
      <c r="K1316" s="24" t="s">
        <v>594</v>
      </c>
    </row>
    <row r="1317" spans="1:11">
      <c r="A1317" s="12">
        <v>2015</v>
      </c>
      <c r="B1317" s="15" t="s">
        <v>488</v>
      </c>
      <c r="C1317" s="15" t="s">
        <v>502</v>
      </c>
      <c r="D1317" s="15" t="s">
        <v>503</v>
      </c>
      <c r="E1317" s="19">
        <v>26049</v>
      </c>
      <c r="F1317" s="19">
        <v>30093</v>
      </c>
      <c r="G1317" s="20">
        <f t="shared" si="20"/>
        <v>0.5360158170353746</v>
      </c>
      <c r="H1317" s="24" t="s">
        <v>583</v>
      </c>
      <c r="I1317" s="24" t="s">
        <v>569</v>
      </c>
      <c r="J1317" s="24" t="s">
        <v>593</v>
      </c>
      <c r="K1317" s="24" t="s">
        <v>594</v>
      </c>
    </row>
    <row r="1318" spans="1:11">
      <c r="A1318" s="12">
        <v>2015</v>
      </c>
      <c r="B1318" s="15" t="s">
        <v>488</v>
      </c>
      <c r="C1318" s="15" t="s">
        <v>504</v>
      </c>
      <c r="D1318" s="15" t="s">
        <v>505</v>
      </c>
      <c r="E1318" s="19">
        <v>258837</v>
      </c>
      <c r="F1318" s="19">
        <v>152867</v>
      </c>
      <c r="G1318" s="20">
        <f t="shared" si="20"/>
        <v>0.37130316926724055</v>
      </c>
      <c r="H1318" s="24" t="s">
        <v>583</v>
      </c>
      <c r="I1318" s="24" t="s">
        <v>569</v>
      </c>
      <c r="J1318" s="24" t="s">
        <v>593</v>
      </c>
      <c r="K1318" s="24" t="s">
        <v>594</v>
      </c>
    </row>
    <row r="1319" spans="1:11">
      <c r="A1319" s="12">
        <v>2015</v>
      </c>
      <c r="B1319" s="15" t="s">
        <v>488</v>
      </c>
      <c r="C1319" s="15" t="s">
        <v>506</v>
      </c>
      <c r="D1319" s="15" t="s">
        <v>507</v>
      </c>
      <c r="E1319" s="19">
        <v>20996</v>
      </c>
      <c r="F1319" s="19">
        <v>23985</v>
      </c>
      <c r="G1319" s="20">
        <f t="shared" si="20"/>
        <v>0.53322513950334582</v>
      </c>
      <c r="H1319" s="24" t="s">
        <v>583</v>
      </c>
      <c r="I1319" s="24" t="s">
        <v>569</v>
      </c>
      <c r="J1319" s="24" t="s">
        <v>593</v>
      </c>
      <c r="K1319" s="24" t="s">
        <v>594</v>
      </c>
    </row>
    <row r="1320" spans="1:11">
      <c r="A1320" s="12">
        <v>2015</v>
      </c>
      <c r="B1320" s="15" t="s">
        <v>488</v>
      </c>
      <c r="C1320" s="15" t="s">
        <v>508</v>
      </c>
      <c r="D1320" s="15" t="s">
        <v>509</v>
      </c>
      <c r="E1320" s="19">
        <v>307176</v>
      </c>
      <c r="F1320" s="19">
        <v>96458</v>
      </c>
      <c r="G1320" s="20">
        <f t="shared" si="20"/>
        <v>0.23897392191936259</v>
      </c>
      <c r="H1320" s="24" t="s">
        <v>583</v>
      </c>
      <c r="I1320" s="24" t="s">
        <v>569</v>
      </c>
      <c r="J1320" s="24" t="s">
        <v>593</v>
      </c>
      <c r="K1320" s="24" t="s">
        <v>594</v>
      </c>
    </row>
    <row r="1321" spans="1:11">
      <c r="A1321" s="12">
        <v>2015</v>
      </c>
      <c r="B1321" s="15" t="s">
        <v>488</v>
      </c>
      <c r="C1321" s="15" t="s">
        <v>510</v>
      </c>
      <c r="D1321" s="15" t="s">
        <v>511</v>
      </c>
      <c r="E1321" s="19">
        <v>49640</v>
      </c>
      <c r="F1321" s="19">
        <v>47465</v>
      </c>
      <c r="G1321" s="20">
        <f t="shared" si="20"/>
        <v>0.48880078265794757</v>
      </c>
      <c r="H1321" s="24" t="s">
        <v>583</v>
      </c>
      <c r="I1321" s="24" t="s">
        <v>569</v>
      </c>
      <c r="J1321" s="24" t="s">
        <v>593</v>
      </c>
      <c r="K1321" s="24" t="s">
        <v>594</v>
      </c>
    </row>
    <row r="1322" spans="1:11">
      <c r="A1322" s="12">
        <v>2015</v>
      </c>
      <c r="B1322" s="15" t="s">
        <v>488</v>
      </c>
      <c r="C1322" s="15" t="s">
        <v>512</v>
      </c>
      <c r="D1322" s="15" t="s">
        <v>513</v>
      </c>
      <c r="E1322" s="19">
        <v>148224</v>
      </c>
      <c r="F1322" s="19">
        <v>115197</v>
      </c>
      <c r="G1322" s="20">
        <f t="shared" si="20"/>
        <v>0.43731137608618903</v>
      </c>
      <c r="H1322" s="24" t="s">
        <v>583</v>
      </c>
      <c r="I1322" s="24" t="s">
        <v>569</v>
      </c>
      <c r="J1322" s="24" t="s">
        <v>593</v>
      </c>
      <c r="K1322" s="24" t="s">
        <v>594</v>
      </c>
    </row>
    <row r="1323" spans="1:11">
      <c r="A1323" s="12">
        <v>2015</v>
      </c>
      <c r="B1323" s="15" t="s">
        <v>488</v>
      </c>
      <c r="C1323" s="15" t="s">
        <v>514</v>
      </c>
      <c r="D1323" s="15" t="s">
        <v>515</v>
      </c>
      <c r="E1323" s="19">
        <v>173091</v>
      </c>
      <c r="F1323" s="19">
        <v>134032</v>
      </c>
      <c r="G1323" s="20">
        <f t="shared" si="20"/>
        <v>0.43641147032296507</v>
      </c>
      <c r="H1323" s="24" t="s">
        <v>583</v>
      </c>
      <c r="I1323" s="24" t="s">
        <v>569</v>
      </c>
      <c r="J1323" s="24" t="s">
        <v>593</v>
      </c>
      <c r="K1323" s="24" t="s">
        <v>594</v>
      </c>
    </row>
    <row r="1324" spans="1:11">
      <c r="A1324" s="12">
        <v>2015</v>
      </c>
      <c r="B1324" s="15" t="s">
        <v>488</v>
      </c>
      <c r="C1324" s="15" t="s">
        <v>516</v>
      </c>
      <c r="D1324" s="15" t="s">
        <v>517</v>
      </c>
      <c r="E1324" s="19">
        <v>193450</v>
      </c>
      <c r="F1324" s="19">
        <v>146970</v>
      </c>
      <c r="G1324" s="20">
        <f t="shared" si="20"/>
        <v>0.4317313906350978</v>
      </c>
      <c r="H1324" s="24" t="s">
        <v>583</v>
      </c>
      <c r="I1324" s="24" t="s">
        <v>569</v>
      </c>
      <c r="J1324" s="24" t="s">
        <v>593</v>
      </c>
      <c r="K1324" s="24" t="s">
        <v>594</v>
      </c>
    </row>
    <row r="1325" spans="1:11">
      <c r="A1325" s="12">
        <v>2015</v>
      </c>
      <c r="B1325" s="15" t="s">
        <v>488</v>
      </c>
      <c r="C1325" s="15" t="s">
        <v>518</v>
      </c>
      <c r="D1325" s="15" t="s">
        <v>519</v>
      </c>
      <c r="E1325" s="19">
        <v>200484</v>
      </c>
      <c r="F1325" s="19">
        <v>179592</v>
      </c>
      <c r="G1325" s="20">
        <f t="shared" si="20"/>
        <v>0.47251602311116725</v>
      </c>
      <c r="H1325" s="24" t="s">
        <v>583</v>
      </c>
      <c r="I1325" s="24" t="s">
        <v>569</v>
      </c>
      <c r="J1325" s="24" t="s">
        <v>593</v>
      </c>
      <c r="K1325" s="24" t="s">
        <v>594</v>
      </c>
    </row>
    <row r="1326" spans="1:11">
      <c r="A1326" s="12">
        <v>2015</v>
      </c>
      <c r="B1326" s="15" t="s">
        <v>488</v>
      </c>
      <c r="C1326" s="15" t="s">
        <v>520</v>
      </c>
      <c r="D1326" s="15" t="s">
        <v>521</v>
      </c>
      <c r="E1326" s="19">
        <v>156962</v>
      </c>
      <c r="F1326" s="19">
        <v>112963</v>
      </c>
      <c r="G1326" s="20">
        <f t="shared" si="20"/>
        <v>0.41849773085116238</v>
      </c>
      <c r="H1326" s="24" t="s">
        <v>583</v>
      </c>
      <c r="I1326" s="24" t="s">
        <v>569</v>
      </c>
      <c r="J1326" s="24" t="s">
        <v>593</v>
      </c>
      <c r="K1326" s="24" t="s">
        <v>594</v>
      </c>
    </row>
    <row r="1327" spans="1:11">
      <c r="A1327" s="12">
        <v>2015</v>
      </c>
      <c r="B1327" s="15" t="s">
        <v>488</v>
      </c>
      <c r="C1327" s="15" t="s">
        <v>522</v>
      </c>
      <c r="D1327" s="15" t="s">
        <v>523</v>
      </c>
      <c r="E1327" s="19">
        <v>124201</v>
      </c>
      <c r="F1327" s="19">
        <v>61963</v>
      </c>
      <c r="G1327" s="20">
        <f t="shared" si="20"/>
        <v>0.33284093594894826</v>
      </c>
      <c r="H1327" s="24" t="s">
        <v>583</v>
      </c>
      <c r="I1327" s="24" t="s">
        <v>569</v>
      </c>
      <c r="J1327" s="24" t="s">
        <v>593</v>
      </c>
      <c r="K1327" s="24" t="s">
        <v>594</v>
      </c>
    </row>
    <row r="1328" spans="1:11">
      <c r="A1328" s="12">
        <v>2015</v>
      </c>
      <c r="B1328" s="15" t="s">
        <v>488</v>
      </c>
      <c r="C1328" s="15" t="s">
        <v>524</v>
      </c>
      <c r="D1328" s="15" t="s">
        <v>525</v>
      </c>
      <c r="E1328" s="19">
        <v>36595</v>
      </c>
      <c r="F1328" s="19">
        <v>38362</v>
      </c>
      <c r="G1328" s="20">
        <f t="shared" si="20"/>
        <v>0.51178675774110494</v>
      </c>
      <c r="H1328" s="24" t="s">
        <v>583</v>
      </c>
      <c r="I1328" s="24" t="s">
        <v>569</v>
      </c>
      <c r="J1328" s="24" t="s">
        <v>593</v>
      </c>
      <c r="K1328" s="24" t="s">
        <v>594</v>
      </c>
    </row>
    <row r="1329" spans="1:11">
      <c r="A1329" s="12">
        <v>2015</v>
      </c>
      <c r="B1329" s="15" t="s">
        <v>488</v>
      </c>
      <c r="C1329" s="15" t="s">
        <v>526</v>
      </c>
      <c r="D1329" s="15" t="s">
        <v>527</v>
      </c>
      <c r="E1329" s="19">
        <v>48943</v>
      </c>
      <c r="F1329" s="19">
        <v>55804</v>
      </c>
      <c r="G1329" s="20">
        <f t="shared" si="20"/>
        <v>0.53275034129855747</v>
      </c>
      <c r="H1329" s="24" t="s">
        <v>583</v>
      </c>
      <c r="I1329" s="24" t="s">
        <v>569</v>
      </c>
      <c r="J1329" s="24" t="s">
        <v>593</v>
      </c>
      <c r="K1329" s="24" t="s">
        <v>594</v>
      </c>
    </row>
    <row r="1330" spans="1:11">
      <c r="A1330" s="12">
        <v>2015</v>
      </c>
      <c r="B1330" s="15" t="s">
        <v>488</v>
      </c>
      <c r="C1330" s="15" t="s">
        <v>528</v>
      </c>
      <c r="D1330" s="15" t="s">
        <v>529</v>
      </c>
      <c r="E1330" s="19">
        <v>33366</v>
      </c>
      <c r="F1330" s="19">
        <v>29748</v>
      </c>
      <c r="G1330" s="20">
        <f t="shared" si="20"/>
        <v>0.4713375796178344</v>
      </c>
      <c r="H1330" s="24" t="s">
        <v>583</v>
      </c>
      <c r="I1330" s="24" t="s">
        <v>569</v>
      </c>
      <c r="J1330" s="24" t="s">
        <v>593</v>
      </c>
      <c r="K1330" s="24" t="s">
        <v>594</v>
      </c>
    </row>
    <row r="1331" spans="1:11">
      <c r="A1331" s="12">
        <v>2015</v>
      </c>
      <c r="B1331" s="15" t="s">
        <v>488</v>
      </c>
      <c r="C1331" s="15" t="s">
        <v>530</v>
      </c>
      <c r="D1331" s="15" t="s">
        <v>531</v>
      </c>
      <c r="E1331" s="19">
        <v>36866</v>
      </c>
      <c r="F1331" s="19">
        <v>36177</v>
      </c>
      <c r="G1331" s="20">
        <f t="shared" si="20"/>
        <v>0.49528360007119093</v>
      </c>
      <c r="H1331" s="24" t="s">
        <v>583</v>
      </c>
      <c r="I1331" s="24" t="s">
        <v>569</v>
      </c>
      <c r="J1331" s="24" t="s">
        <v>593</v>
      </c>
      <c r="K1331" s="24" t="s">
        <v>594</v>
      </c>
    </row>
    <row r="1332" spans="1:11">
      <c r="A1332" s="12">
        <v>2015</v>
      </c>
      <c r="B1332" s="15" t="s">
        <v>532</v>
      </c>
      <c r="C1332" s="15" t="s">
        <v>22</v>
      </c>
      <c r="D1332" s="15" t="s">
        <v>532</v>
      </c>
      <c r="E1332" s="19">
        <v>564298</v>
      </c>
      <c r="F1332" s="19">
        <v>106790</v>
      </c>
      <c r="G1332" s="20">
        <f t="shared" si="20"/>
        <v>0.15912965214696134</v>
      </c>
      <c r="H1332" s="24" t="s">
        <v>586</v>
      </c>
      <c r="I1332" s="24" t="s">
        <v>587</v>
      </c>
      <c r="J1332" s="24" t="s">
        <v>588</v>
      </c>
      <c r="K1332" s="24" t="s">
        <v>594</v>
      </c>
    </row>
    <row r="1333" spans="1:11">
      <c r="A1333" s="12">
        <v>2015</v>
      </c>
      <c r="B1333" s="15" t="s">
        <v>532</v>
      </c>
      <c r="C1333" s="15" t="s">
        <v>533</v>
      </c>
      <c r="D1333" s="15" t="s">
        <v>534</v>
      </c>
      <c r="E1333" s="19">
        <v>133580</v>
      </c>
      <c r="F1333" s="19">
        <v>98338</v>
      </c>
      <c r="G1333" s="20">
        <f t="shared" si="20"/>
        <v>0.42402055899067775</v>
      </c>
      <c r="H1333" s="24" t="s">
        <v>586</v>
      </c>
      <c r="I1333" s="24" t="s">
        <v>587</v>
      </c>
      <c r="J1333" s="24" t="s">
        <v>588</v>
      </c>
      <c r="K1333" s="24" t="s">
        <v>594</v>
      </c>
    </row>
    <row r="1334" spans="1:11">
      <c r="A1334" s="12">
        <v>2015</v>
      </c>
      <c r="B1334" s="15" t="s">
        <v>532</v>
      </c>
      <c r="C1334" s="15" t="s">
        <v>535</v>
      </c>
      <c r="D1334" s="15" t="s">
        <v>536</v>
      </c>
      <c r="E1334" s="19">
        <v>414874</v>
      </c>
      <c r="F1334" s="19">
        <v>91236</v>
      </c>
      <c r="G1334" s="20">
        <f t="shared" si="20"/>
        <v>0.18026911145798344</v>
      </c>
      <c r="H1334" s="24" t="s">
        <v>586</v>
      </c>
      <c r="I1334" s="24" t="s">
        <v>587</v>
      </c>
      <c r="J1334" s="24" t="s">
        <v>588</v>
      </c>
      <c r="K1334" s="24" t="s">
        <v>594</v>
      </c>
    </row>
    <row r="1335" spans="1:11">
      <c r="A1335" s="12">
        <v>2016</v>
      </c>
      <c r="B1335" s="15" t="s">
        <v>21</v>
      </c>
      <c r="C1335" s="15" t="s">
        <v>22</v>
      </c>
      <c r="D1335" s="15" t="s">
        <v>21</v>
      </c>
      <c r="E1335" s="19">
        <v>8952142</v>
      </c>
      <c r="F1335" s="19">
        <v>2215952</v>
      </c>
      <c r="G1335" s="20">
        <f t="shared" si="20"/>
        <v>0.19841810070724691</v>
      </c>
      <c r="H1335" s="24" t="s">
        <v>579</v>
      </c>
      <c r="I1335" s="24" t="s">
        <v>580</v>
      </c>
      <c r="J1335" s="24" t="s">
        <v>581</v>
      </c>
      <c r="K1335" s="24" t="s">
        <v>595</v>
      </c>
    </row>
    <row r="1336" spans="1:11">
      <c r="A1336" s="12">
        <v>2016</v>
      </c>
      <c r="B1336" s="15" t="s">
        <v>21</v>
      </c>
      <c r="C1336" s="15" t="s">
        <v>23</v>
      </c>
      <c r="D1336" s="15" t="s">
        <v>24</v>
      </c>
      <c r="E1336" s="19">
        <v>450499</v>
      </c>
      <c r="F1336" s="19">
        <v>378219</v>
      </c>
      <c r="G1336" s="20">
        <f t="shared" si="20"/>
        <v>0.45639047299563906</v>
      </c>
      <c r="H1336" s="24" t="s">
        <v>579</v>
      </c>
      <c r="I1336" s="24" t="s">
        <v>580</v>
      </c>
      <c r="J1336" s="24" t="s">
        <v>581</v>
      </c>
      <c r="K1336" s="24" t="s">
        <v>595</v>
      </c>
    </row>
    <row r="1337" spans="1:11">
      <c r="A1337" s="12">
        <v>2016</v>
      </c>
      <c r="B1337" s="15" t="s">
        <v>21</v>
      </c>
      <c r="C1337" s="15" t="s">
        <v>25</v>
      </c>
      <c r="D1337" s="15" t="s">
        <v>26</v>
      </c>
      <c r="E1337" s="19">
        <v>367045</v>
      </c>
      <c r="F1337" s="19">
        <v>243732</v>
      </c>
      <c r="G1337" s="20">
        <f t="shared" si="20"/>
        <v>0.39905235462370064</v>
      </c>
      <c r="H1337" s="24" t="s">
        <v>579</v>
      </c>
      <c r="I1337" s="24" t="s">
        <v>580</v>
      </c>
      <c r="J1337" s="24" t="s">
        <v>581</v>
      </c>
      <c r="K1337" s="24" t="s">
        <v>595</v>
      </c>
    </row>
    <row r="1338" spans="1:11">
      <c r="A1338" s="12">
        <v>2016</v>
      </c>
      <c r="B1338" s="15" t="s">
        <v>21</v>
      </c>
      <c r="C1338" s="15" t="s">
        <v>27</v>
      </c>
      <c r="D1338" s="15" t="s">
        <v>28</v>
      </c>
      <c r="E1338" s="19">
        <v>254289</v>
      </c>
      <c r="F1338" s="19">
        <v>221873</v>
      </c>
      <c r="G1338" s="20">
        <f t="shared" si="20"/>
        <v>0.46596116447763575</v>
      </c>
      <c r="H1338" s="24" t="s">
        <v>579</v>
      </c>
      <c r="I1338" s="24" t="s">
        <v>580</v>
      </c>
      <c r="J1338" s="24" t="s">
        <v>581</v>
      </c>
      <c r="K1338" s="24" t="s">
        <v>595</v>
      </c>
    </row>
    <row r="1339" spans="1:11">
      <c r="A1339" s="12">
        <v>2016</v>
      </c>
      <c r="B1339" s="15" t="s">
        <v>21</v>
      </c>
      <c r="C1339" s="15" t="s">
        <v>29</v>
      </c>
      <c r="D1339" s="15" t="s">
        <v>30</v>
      </c>
      <c r="E1339" s="19">
        <v>471747</v>
      </c>
      <c r="F1339" s="19">
        <v>399389</v>
      </c>
      <c r="G1339" s="20">
        <f t="shared" si="20"/>
        <v>0.45846917128898357</v>
      </c>
      <c r="H1339" s="24" t="s">
        <v>579</v>
      </c>
      <c r="I1339" s="24" t="s">
        <v>580</v>
      </c>
      <c r="J1339" s="24" t="s">
        <v>581</v>
      </c>
      <c r="K1339" s="24" t="s">
        <v>595</v>
      </c>
    </row>
    <row r="1340" spans="1:11">
      <c r="A1340" s="12">
        <v>2016</v>
      </c>
      <c r="B1340" s="15" t="s">
        <v>21</v>
      </c>
      <c r="C1340" s="15" t="s">
        <v>31</v>
      </c>
      <c r="D1340" s="15" t="s">
        <v>32</v>
      </c>
      <c r="E1340" s="19">
        <v>381056</v>
      </c>
      <c r="F1340" s="19">
        <v>358547</v>
      </c>
      <c r="G1340" s="20">
        <f t="shared" si="20"/>
        <v>0.48478305252953274</v>
      </c>
      <c r="H1340" s="24" t="s">
        <v>579</v>
      </c>
      <c r="I1340" s="24" t="s">
        <v>580</v>
      </c>
      <c r="J1340" s="24" t="s">
        <v>581</v>
      </c>
      <c r="K1340" s="24" t="s">
        <v>595</v>
      </c>
    </row>
    <row r="1341" spans="1:11">
      <c r="A1341" s="12">
        <v>2016</v>
      </c>
      <c r="B1341" s="15" t="s">
        <v>21</v>
      </c>
      <c r="C1341" s="15" t="s">
        <v>33</v>
      </c>
      <c r="D1341" s="15" t="s">
        <v>34</v>
      </c>
      <c r="E1341" s="19">
        <v>283653</v>
      </c>
      <c r="F1341" s="19">
        <v>230853</v>
      </c>
      <c r="G1341" s="20">
        <f t="shared" si="20"/>
        <v>0.44868864503037864</v>
      </c>
      <c r="H1341" s="24" t="s">
        <v>579</v>
      </c>
      <c r="I1341" s="24" t="s">
        <v>580</v>
      </c>
      <c r="J1341" s="24" t="s">
        <v>581</v>
      </c>
      <c r="K1341" s="24" t="s">
        <v>595</v>
      </c>
    </row>
    <row r="1342" spans="1:11">
      <c r="A1342" s="12">
        <v>2016</v>
      </c>
      <c r="B1342" s="15" t="s">
        <v>21</v>
      </c>
      <c r="C1342" s="15" t="s">
        <v>35</v>
      </c>
      <c r="D1342" s="15" t="s">
        <v>36</v>
      </c>
      <c r="E1342" s="19">
        <v>339463</v>
      </c>
      <c r="F1342" s="19">
        <v>287459</v>
      </c>
      <c r="G1342" s="20">
        <f t="shared" si="20"/>
        <v>0.4585243459313918</v>
      </c>
      <c r="H1342" s="24" t="s">
        <v>579</v>
      </c>
      <c r="I1342" s="24" t="s">
        <v>580</v>
      </c>
      <c r="J1342" s="24" t="s">
        <v>581</v>
      </c>
      <c r="K1342" s="24" t="s">
        <v>595</v>
      </c>
    </row>
    <row r="1343" spans="1:11">
      <c r="A1343" s="12">
        <v>2016</v>
      </c>
      <c r="B1343" s="15" t="s">
        <v>21</v>
      </c>
      <c r="C1343" s="15" t="s">
        <v>37</v>
      </c>
      <c r="D1343" s="15" t="s">
        <v>38</v>
      </c>
      <c r="E1343" s="19">
        <v>184509</v>
      </c>
      <c r="F1343" s="19">
        <v>169340</v>
      </c>
      <c r="G1343" s="20">
        <f t="shared" si="20"/>
        <v>0.47856571588445918</v>
      </c>
      <c r="H1343" s="24" t="s">
        <v>579</v>
      </c>
      <c r="I1343" s="24" t="s">
        <v>580</v>
      </c>
      <c r="J1343" s="24" t="s">
        <v>581</v>
      </c>
      <c r="K1343" s="24" t="s">
        <v>595</v>
      </c>
    </row>
    <row r="1344" spans="1:11">
      <c r="A1344" s="12">
        <v>2016</v>
      </c>
      <c r="B1344" s="15" t="s">
        <v>21</v>
      </c>
      <c r="C1344" s="15" t="s">
        <v>39</v>
      </c>
      <c r="D1344" s="15" t="s">
        <v>40</v>
      </c>
      <c r="E1344" s="19">
        <v>458869</v>
      </c>
      <c r="F1344" s="19">
        <v>334166</v>
      </c>
      <c r="G1344" s="20">
        <f t="shared" si="20"/>
        <v>0.4213761057204285</v>
      </c>
      <c r="H1344" s="24" t="s">
        <v>579</v>
      </c>
      <c r="I1344" s="24" t="s">
        <v>580</v>
      </c>
      <c r="J1344" s="24" t="s">
        <v>581</v>
      </c>
      <c r="K1344" s="24" t="s">
        <v>595</v>
      </c>
    </row>
    <row r="1345" spans="1:11">
      <c r="A1345" s="12">
        <v>2016</v>
      </c>
      <c r="B1345" s="15" t="s">
        <v>21</v>
      </c>
      <c r="C1345" s="15" t="s">
        <v>41</v>
      </c>
      <c r="D1345" s="15" t="s">
        <v>42</v>
      </c>
      <c r="E1345" s="19">
        <v>268922</v>
      </c>
      <c r="F1345" s="19">
        <v>242942</v>
      </c>
      <c r="G1345" s="20">
        <f t="shared" si="20"/>
        <v>0.47462216526264789</v>
      </c>
      <c r="H1345" s="24" t="s">
        <v>579</v>
      </c>
      <c r="I1345" s="24" t="s">
        <v>580</v>
      </c>
      <c r="J1345" s="24" t="s">
        <v>581</v>
      </c>
      <c r="K1345" s="24" t="s">
        <v>595</v>
      </c>
    </row>
    <row r="1346" spans="1:11">
      <c r="A1346" s="12">
        <v>2016</v>
      </c>
      <c r="B1346" s="15" t="s">
        <v>21</v>
      </c>
      <c r="C1346" s="15" t="s">
        <v>43</v>
      </c>
      <c r="D1346" s="15" t="s">
        <v>44</v>
      </c>
      <c r="E1346" s="19">
        <v>275822</v>
      </c>
      <c r="F1346" s="19">
        <v>223011</v>
      </c>
      <c r="G1346" s="20">
        <f t="shared" si="20"/>
        <v>0.44706545076207871</v>
      </c>
      <c r="H1346" s="24" t="s">
        <v>579</v>
      </c>
      <c r="I1346" s="24" t="s">
        <v>580</v>
      </c>
      <c r="J1346" s="24" t="s">
        <v>581</v>
      </c>
      <c r="K1346" s="24" t="s">
        <v>595</v>
      </c>
    </row>
    <row r="1347" spans="1:11">
      <c r="A1347" s="12">
        <v>2016</v>
      </c>
      <c r="B1347" s="15" t="s">
        <v>21</v>
      </c>
      <c r="C1347" s="15" t="s">
        <v>45</v>
      </c>
      <c r="D1347" s="15" t="s">
        <v>46</v>
      </c>
      <c r="E1347" s="19">
        <v>297208</v>
      </c>
      <c r="F1347" s="19">
        <v>290203</v>
      </c>
      <c r="G1347" s="20">
        <f t="shared" si="20"/>
        <v>0.49403739460105445</v>
      </c>
      <c r="H1347" s="24" t="s">
        <v>579</v>
      </c>
      <c r="I1347" s="24" t="s">
        <v>580</v>
      </c>
      <c r="J1347" s="24" t="s">
        <v>581</v>
      </c>
      <c r="K1347" s="24" t="s">
        <v>595</v>
      </c>
    </row>
    <row r="1348" spans="1:11">
      <c r="A1348" s="12">
        <v>2016</v>
      </c>
      <c r="B1348" s="15" t="s">
        <v>21</v>
      </c>
      <c r="C1348" s="15" t="s">
        <v>47</v>
      </c>
      <c r="D1348" s="15" t="s">
        <v>48</v>
      </c>
      <c r="E1348" s="19">
        <v>292973</v>
      </c>
      <c r="F1348" s="19">
        <v>272412</v>
      </c>
      <c r="G1348" s="20">
        <f t="shared" si="20"/>
        <v>0.48181681509060198</v>
      </c>
      <c r="H1348" s="24" t="s">
        <v>579</v>
      </c>
      <c r="I1348" s="24" t="s">
        <v>580</v>
      </c>
      <c r="J1348" s="24" t="s">
        <v>581</v>
      </c>
      <c r="K1348" s="24" t="s">
        <v>595</v>
      </c>
    </row>
    <row r="1349" spans="1:11">
      <c r="A1349" s="12">
        <v>2016</v>
      </c>
      <c r="B1349" s="15" t="s">
        <v>21</v>
      </c>
      <c r="C1349" s="15" t="s">
        <v>49</v>
      </c>
      <c r="D1349" s="15" t="s">
        <v>50</v>
      </c>
      <c r="E1349" s="19">
        <v>230025</v>
      </c>
      <c r="F1349" s="19">
        <v>228522</v>
      </c>
      <c r="G1349" s="20">
        <f t="shared" si="20"/>
        <v>0.49836112764885604</v>
      </c>
      <c r="H1349" s="24" t="s">
        <v>579</v>
      </c>
      <c r="I1349" s="24" t="s">
        <v>580</v>
      </c>
      <c r="J1349" s="24" t="s">
        <v>581</v>
      </c>
      <c r="K1349" s="24" t="s">
        <v>595</v>
      </c>
    </row>
    <row r="1350" spans="1:11">
      <c r="A1350" s="12">
        <v>2016</v>
      </c>
      <c r="B1350" s="15" t="s">
        <v>21</v>
      </c>
      <c r="C1350" s="15" t="s">
        <v>51</v>
      </c>
      <c r="D1350" s="15" t="s">
        <v>52</v>
      </c>
      <c r="E1350" s="19">
        <v>332708</v>
      </c>
      <c r="F1350" s="19">
        <v>335737</v>
      </c>
      <c r="G1350" s="20">
        <f t="shared" ref="G1350:G1413" si="21">IFERROR(F1350/(E1350+F1350),"")</f>
        <v>0.50226570622863509</v>
      </c>
      <c r="H1350" s="24" t="s">
        <v>579</v>
      </c>
      <c r="I1350" s="24" t="s">
        <v>580</v>
      </c>
      <c r="J1350" s="24" t="s">
        <v>581</v>
      </c>
      <c r="K1350" s="24" t="s">
        <v>595</v>
      </c>
    </row>
    <row r="1351" spans="1:11">
      <c r="A1351" s="12">
        <v>2016</v>
      </c>
      <c r="B1351" s="15" t="s">
        <v>21</v>
      </c>
      <c r="C1351" s="15" t="s">
        <v>53</v>
      </c>
      <c r="D1351" s="15" t="s">
        <v>54</v>
      </c>
      <c r="E1351" s="19">
        <v>217335</v>
      </c>
      <c r="F1351" s="19">
        <v>217812</v>
      </c>
      <c r="G1351" s="20">
        <f t="shared" si="21"/>
        <v>0.5005480906452302</v>
      </c>
      <c r="H1351" s="24" t="s">
        <v>579</v>
      </c>
      <c r="I1351" s="24" t="s">
        <v>580</v>
      </c>
      <c r="J1351" s="24" t="s">
        <v>581</v>
      </c>
      <c r="K1351" s="24" t="s">
        <v>595</v>
      </c>
    </row>
    <row r="1352" spans="1:11">
      <c r="A1352" s="12">
        <v>2016</v>
      </c>
      <c r="B1352" s="15" t="s">
        <v>21</v>
      </c>
      <c r="C1352" s="15" t="s">
        <v>55</v>
      </c>
      <c r="D1352" s="15" t="s">
        <v>56</v>
      </c>
      <c r="E1352" s="19">
        <v>341282</v>
      </c>
      <c r="F1352" s="19">
        <v>319074</v>
      </c>
      <c r="G1352" s="20">
        <f t="shared" si="21"/>
        <v>0.48318482757785197</v>
      </c>
      <c r="H1352" s="24" t="s">
        <v>579</v>
      </c>
      <c r="I1352" s="24" t="s">
        <v>580</v>
      </c>
      <c r="J1352" s="24" t="s">
        <v>581</v>
      </c>
      <c r="K1352" s="24" t="s">
        <v>595</v>
      </c>
    </row>
    <row r="1353" spans="1:11">
      <c r="A1353" s="12">
        <v>2016</v>
      </c>
      <c r="B1353" s="15" t="s">
        <v>21</v>
      </c>
      <c r="C1353" s="15" t="s">
        <v>57</v>
      </c>
      <c r="D1353" s="15" t="s">
        <v>58</v>
      </c>
      <c r="E1353" s="19">
        <v>523475</v>
      </c>
      <c r="F1353" s="19">
        <v>415580</v>
      </c>
      <c r="G1353" s="20">
        <f t="shared" si="21"/>
        <v>0.44255128826320078</v>
      </c>
      <c r="H1353" s="24" t="s">
        <v>579</v>
      </c>
      <c r="I1353" s="24" t="s">
        <v>580</v>
      </c>
      <c r="J1353" s="24" t="s">
        <v>581</v>
      </c>
      <c r="K1353" s="24" t="s">
        <v>595</v>
      </c>
    </row>
    <row r="1354" spans="1:11">
      <c r="A1354" s="12">
        <v>2016</v>
      </c>
      <c r="B1354" s="15" t="s">
        <v>21</v>
      </c>
      <c r="C1354" s="15" t="s">
        <v>59</v>
      </c>
      <c r="D1354" s="15" t="s">
        <v>60</v>
      </c>
      <c r="E1354" s="19">
        <v>373590</v>
      </c>
      <c r="F1354" s="19">
        <v>327179</v>
      </c>
      <c r="G1354" s="20">
        <f t="shared" si="21"/>
        <v>0.46688566417749644</v>
      </c>
      <c r="H1354" s="24" t="s">
        <v>579</v>
      </c>
      <c r="I1354" s="24" t="s">
        <v>580</v>
      </c>
      <c r="J1354" s="24" t="s">
        <v>581</v>
      </c>
      <c r="K1354" s="24" t="s">
        <v>595</v>
      </c>
    </row>
    <row r="1355" spans="1:11">
      <c r="A1355" s="12">
        <v>2016</v>
      </c>
      <c r="B1355" s="15" t="s">
        <v>21</v>
      </c>
      <c r="C1355" s="15" t="s">
        <v>61</v>
      </c>
      <c r="D1355" s="15" t="s">
        <v>62</v>
      </c>
      <c r="E1355" s="19">
        <v>299696</v>
      </c>
      <c r="F1355" s="19">
        <v>264617</v>
      </c>
      <c r="G1355" s="20">
        <f t="shared" si="21"/>
        <v>0.46891884468371275</v>
      </c>
      <c r="H1355" s="24" t="s">
        <v>579</v>
      </c>
      <c r="I1355" s="24" t="s">
        <v>580</v>
      </c>
      <c r="J1355" s="24" t="s">
        <v>581</v>
      </c>
      <c r="K1355" s="24" t="s">
        <v>595</v>
      </c>
    </row>
    <row r="1356" spans="1:11">
      <c r="A1356" s="12">
        <v>2016</v>
      </c>
      <c r="B1356" s="15" t="s">
        <v>21</v>
      </c>
      <c r="C1356" s="15" t="s">
        <v>63</v>
      </c>
      <c r="D1356" s="15" t="s">
        <v>64</v>
      </c>
      <c r="E1356" s="19">
        <v>153009</v>
      </c>
      <c r="F1356" s="19">
        <v>172837</v>
      </c>
      <c r="G1356" s="20">
        <f t="shared" si="21"/>
        <v>0.53042541568716506</v>
      </c>
      <c r="H1356" s="24" t="s">
        <v>579</v>
      </c>
      <c r="I1356" s="24" t="s">
        <v>580</v>
      </c>
      <c r="J1356" s="24" t="s">
        <v>581</v>
      </c>
      <c r="K1356" s="24" t="s">
        <v>595</v>
      </c>
    </row>
    <row r="1357" spans="1:11">
      <c r="A1357" s="12">
        <v>2016</v>
      </c>
      <c r="B1357" s="15" t="s">
        <v>21</v>
      </c>
      <c r="C1357" s="15" t="s">
        <v>65</v>
      </c>
      <c r="D1357" s="15" t="s">
        <v>66</v>
      </c>
      <c r="E1357" s="19">
        <v>390098</v>
      </c>
      <c r="F1357" s="19">
        <v>314717</v>
      </c>
      <c r="G1357" s="20">
        <f t="shared" si="21"/>
        <v>0.44652426523272065</v>
      </c>
      <c r="H1357" s="24" t="s">
        <v>579</v>
      </c>
      <c r="I1357" s="24" t="s">
        <v>580</v>
      </c>
      <c r="J1357" s="24" t="s">
        <v>581</v>
      </c>
      <c r="K1357" s="24" t="s">
        <v>595</v>
      </c>
    </row>
    <row r="1358" spans="1:11">
      <c r="A1358" s="12">
        <v>2016</v>
      </c>
      <c r="B1358" s="15" t="s">
        <v>21</v>
      </c>
      <c r="C1358" s="15" t="s">
        <v>67</v>
      </c>
      <c r="D1358" s="15" t="s">
        <v>68</v>
      </c>
      <c r="E1358" s="19">
        <v>109732</v>
      </c>
      <c r="F1358" s="19">
        <v>113749</v>
      </c>
      <c r="G1358" s="20">
        <f t="shared" si="21"/>
        <v>0.50898734120574007</v>
      </c>
      <c r="H1358" s="24" t="s">
        <v>579</v>
      </c>
      <c r="I1358" s="24" t="s">
        <v>580</v>
      </c>
      <c r="J1358" s="24" t="s">
        <v>581</v>
      </c>
      <c r="K1358" s="24" t="s">
        <v>595</v>
      </c>
    </row>
    <row r="1359" spans="1:11">
      <c r="A1359" s="12">
        <v>2016</v>
      </c>
      <c r="B1359" s="15" t="s">
        <v>21</v>
      </c>
      <c r="C1359" s="15" t="s">
        <v>69</v>
      </c>
      <c r="D1359" s="15" t="s">
        <v>70</v>
      </c>
      <c r="E1359" s="19">
        <v>93943</v>
      </c>
      <c r="F1359" s="19">
        <v>94605</v>
      </c>
      <c r="G1359" s="20">
        <f t="shared" si="21"/>
        <v>0.50175552114050537</v>
      </c>
      <c r="H1359" s="24" t="s">
        <v>579</v>
      </c>
      <c r="I1359" s="24" t="s">
        <v>580</v>
      </c>
      <c r="J1359" s="24" t="s">
        <v>581</v>
      </c>
      <c r="K1359" s="24" t="s">
        <v>595</v>
      </c>
    </row>
    <row r="1360" spans="1:11">
      <c r="A1360" s="12">
        <v>2016</v>
      </c>
      <c r="B1360" s="15" t="s">
        <v>21</v>
      </c>
      <c r="C1360" s="15" t="s">
        <v>71</v>
      </c>
      <c r="D1360" s="15" t="s">
        <v>72</v>
      </c>
      <c r="E1360" s="19">
        <v>322860</v>
      </c>
      <c r="F1360" s="19">
        <v>267979</v>
      </c>
      <c r="G1360" s="20">
        <f t="shared" si="21"/>
        <v>0.45355672188193402</v>
      </c>
      <c r="H1360" s="24" t="s">
        <v>579</v>
      </c>
      <c r="I1360" s="24" t="s">
        <v>580</v>
      </c>
      <c r="J1360" s="24" t="s">
        <v>581</v>
      </c>
      <c r="K1360" s="24" t="s">
        <v>595</v>
      </c>
    </row>
    <row r="1361" spans="1:11">
      <c r="A1361" s="12">
        <v>2016</v>
      </c>
      <c r="B1361" s="15" t="s">
        <v>73</v>
      </c>
      <c r="C1361" s="15" t="s">
        <v>22</v>
      </c>
      <c r="D1361" s="15" t="s">
        <v>73</v>
      </c>
      <c r="E1361" s="19">
        <v>3181682</v>
      </c>
      <c r="F1361" s="19">
        <v>668382</v>
      </c>
      <c r="G1361" s="20">
        <f t="shared" si="21"/>
        <v>0.17360282842051455</v>
      </c>
      <c r="H1361" s="24" t="s">
        <v>583</v>
      </c>
      <c r="I1361" s="24" t="s">
        <v>584</v>
      </c>
      <c r="J1361" s="24" t="s">
        <v>585</v>
      </c>
      <c r="K1361" s="24" t="s">
        <v>595</v>
      </c>
    </row>
    <row r="1362" spans="1:11">
      <c r="A1362" s="12">
        <v>2016</v>
      </c>
      <c r="B1362" s="15" t="s">
        <v>73</v>
      </c>
      <c r="C1362" s="15" t="s">
        <v>29</v>
      </c>
      <c r="D1362" s="15" t="s">
        <v>74</v>
      </c>
      <c r="E1362" s="19">
        <v>70248</v>
      </c>
      <c r="F1362" s="19">
        <v>97991</v>
      </c>
      <c r="G1362" s="20">
        <f t="shared" si="21"/>
        <v>0.58245115579621842</v>
      </c>
      <c r="H1362" s="24" t="s">
        <v>583</v>
      </c>
      <c r="I1362" s="24" t="s">
        <v>584</v>
      </c>
      <c r="J1362" s="24" t="s">
        <v>585</v>
      </c>
      <c r="K1362" s="24" t="s">
        <v>595</v>
      </c>
    </row>
    <row r="1363" spans="1:11">
      <c r="A1363" s="12">
        <v>2016</v>
      </c>
      <c r="B1363" s="15" t="s">
        <v>73</v>
      </c>
      <c r="C1363" s="15" t="s">
        <v>75</v>
      </c>
      <c r="D1363" s="15" t="s">
        <v>76</v>
      </c>
      <c r="E1363" s="19">
        <v>195006</v>
      </c>
      <c r="F1363" s="19">
        <v>169741</v>
      </c>
      <c r="G1363" s="20">
        <f t="shared" si="21"/>
        <v>0.46536640465857154</v>
      </c>
      <c r="H1363" s="24" t="s">
        <v>583</v>
      </c>
      <c r="I1363" s="24" t="s">
        <v>584</v>
      </c>
      <c r="J1363" s="24" t="s">
        <v>585</v>
      </c>
      <c r="K1363" s="24" t="s">
        <v>595</v>
      </c>
    </row>
    <row r="1364" spans="1:11">
      <c r="A1364" s="12">
        <v>2016</v>
      </c>
      <c r="B1364" s="15" t="s">
        <v>73</v>
      </c>
      <c r="C1364" s="15" t="s">
        <v>77</v>
      </c>
      <c r="D1364" s="15" t="s">
        <v>78</v>
      </c>
      <c r="E1364" s="19">
        <v>127022</v>
      </c>
      <c r="F1364" s="19">
        <v>107099</v>
      </c>
      <c r="G1364" s="20">
        <f t="shared" si="21"/>
        <v>0.45745148876008562</v>
      </c>
      <c r="H1364" s="24" t="s">
        <v>583</v>
      </c>
      <c r="I1364" s="24" t="s">
        <v>584</v>
      </c>
      <c r="J1364" s="24" t="s">
        <v>585</v>
      </c>
      <c r="K1364" s="24" t="s">
        <v>595</v>
      </c>
    </row>
    <row r="1365" spans="1:11">
      <c r="A1365" s="12">
        <v>2016</v>
      </c>
      <c r="B1365" s="15" t="s">
        <v>73</v>
      </c>
      <c r="C1365" s="15" t="s">
        <v>79</v>
      </c>
      <c r="D1365" s="15" t="s">
        <v>80</v>
      </c>
      <c r="E1365" s="19">
        <v>219522</v>
      </c>
      <c r="F1365" s="19">
        <v>196161</v>
      </c>
      <c r="G1365" s="20">
        <f t="shared" si="21"/>
        <v>0.47190046261213475</v>
      </c>
      <c r="H1365" s="24" t="s">
        <v>583</v>
      </c>
      <c r="I1365" s="24" t="s">
        <v>584</v>
      </c>
      <c r="J1365" s="24" t="s">
        <v>585</v>
      </c>
      <c r="K1365" s="24" t="s">
        <v>595</v>
      </c>
    </row>
    <row r="1366" spans="1:11">
      <c r="A1366" s="12">
        <v>2016</v>
      </c>
      <c r="B1366" s="15" t="s">
        <v>73</v>
      </c>
      <c r="C1366" s="15" t="s">
        <v>81</v>
      </c>
      <c r="D1366" s="15" t="s">
        <v>82</v>
      </c>
      <c r="E1366" s="19">
        <v>68072</v>
      </c>
      <c r="F1366" s="19">
        <v>65271</v>
      </c>
      <c r="G1366" s="20">
        <f t="shared" si="21"/>
        <v>0.48949701146666869</v>
      </c>
      <c r="H1366" s="24" t="s">
        <v>583</v>
      </c>
      <c r="I1366" s="24" t="s">
        <v>584</v>
      </c>
      <c r="J1366" s="24" t="s">
        <v>585</v>
      </c>
      <c r="K1366" s="24" t="s">
        <v>595</v>
      </c>
    </row>
    <row r="1367" spans="1:11">
      <c r="A1367" s="12">
        <v>2016</v>
      </c>
      <c r="B1367" s="15" t="s">
        <v>73</v>
      </c>
      <c r="C1367" s="15" t="s">
        <v>83</v>
      </c>
      <c r="D1367" s="15" t="s">
        <v>84</v>
      </c>
      <c r="E1367" s="19">
        <v>216384</v>
      </c>
      <c r="F1367" s="19">
        <v>191736</v>
      </c>
      <c r="G1367" s="20">
        <f t="shared" si="21"/>
        <v>0.46980299911790652</v>
      </c>
      <c r="H1367" s="24" t="s">
        <v>583</v>
      </c>
      <c r="I1367" s="24" t="s">
        <v>584</v>
      </c>
      <c r="J1367" s="24" t="s">
        <v>585</v>
      </c>
      <c r="K1367" s="24" t="s">
        <v>595</v>
      </c>
    </row>
    <row r="1368" spans="1:11">
      <c r="A1368" s="12">
        <v>2016</v>
      </c>
      <c r="B1368" s="15" t="s">
        <v>73</v>
      </c>
      <c r="C1368" s="15" t="s">
        <v>85</v>
      </c>
      <c r="D1368" s="15" t="s">
        <v>86</v>
      </c>
      <c r="E1368" s="19">
        <v>304292</v>
      </c>
      <c r="F1368" s="19">
        <v>240585</v>
      </c>
      <c r="G1368" s="20">
        <f t="shared" si="21"/>
        <v>0.44154001728830544</v>
      </c>
      <c r="H1368" s="24" t="s">
        <v>583</v>
      </c>
      <c r="I1368" s="24" t="s">
        <v>584</v>
      </c>
      <c r="J1368" s="24" t="s">
        <v>585</v>
      </c>
      <c r="K1368" s="24" t="s">
        <v>595</v>
      </c>
    </row>
    <row r="1369" spans="1:11">
      <c r="A1369" s="12">
        <v>2016</v>
      </c>
      <c r="B1369" s="15" t="s">
        <v>73</v>
      </c>
      <c r="C1369" s="15" t="s">
        <v>87</v>
      </c>
      <c r="D1369" s="15" t="s">
        <v>88</v>
      </c>
      <c r="E1369" s="19">
        <v>259754</v>
      </c>
      <c r="F1369" s="19">
        <v>184484</v>
      </c>
      <c r="G1369" s="20">
        <f t="shared" si="21"/>
        <v>0.41528189844182622</v>
      </c>
      <c r="H1369" s="24" t="s">
        <v>583</v>
      </c>
      <c r="I1369" s="24" t="s">
        <v>584</v>
      </c>
      <c r="J1369" s="24" t="s">
        <v>585</v>
      </c>
      <c r="K1369" s="24" t="s">
        <v>595</v>
      </c>
    </row>
    <row r="1370" spans="1:11">
      <c r="A1370" s="12">
        <v>2016</v>
      </c>
      <c r="B1370" s="15" t="s">
        <v>73</v>
      </c>
      <c r="C1370" s="15" t="s">
        <v>89</v>
      </c>
      <c r="D1370" s="15" t="s">
        <v>90</v>
      </c>
      <c r="E1370" s="19">
        <v>180815</v>
      </c>
      <c r="F1370" s="19">
        <v>169257</v>
      </c>
      <c r="G1370" s="20">
        <f t="shared" si="21"/>
        <v>0.48349196736671313</v>
      </c>
      <c r="H1370" s="24" t="s">
        <v>583</v>
      </c>
      <c r="I1370" s="24" t="s">
        <v>584</v>
      </c>
      <c r="J1370" s="24" t="s">
        <v>585</v>
      </c>
      <c r="K1370" s="24" t="s">
        <v>595</v>
      </c>
    </row>
    <row r="1371" spans="1:11">
      <c r="A1371" s="12">
        <v>2016</v>
      </c>
      <c r="B1371" s="15" t="s">
        <v>73</v>
      </c>
      <c r="C1371" s="15" t="s">
        <v>91</v>
      </c>
      <c r="D1371" s="15" t="s">
        <v>92</v>
      </c>
      <c r="E1371" s="19">
        <v>280885</v>
      </c>
      <c r="F1371" s="19">
        <v>202948</v>
      </c>
      <c r="G1371" s="20">
        <f t="shared" si="21"/>
        <v>0.41945878019895294</v>
      </c>
      <c r="H1371" s="24" t="s">
        <v>583</v>
      </c>
      <c r="I1371" s="24" t="s">
        <v>584</v>
      </c>
      <c r="J1371" s="24" t="s">
        <v>585</v>
      </c>
      <c r="K1371" s="24" t="s">
        <v>595</v>
      </c>
    </row>
    <row r="1372" spans="1:11">
      <c r="A1372" s="12">
        <v>2016</v>
      </c>
      <c r="B1372" s="15" t="s">
        <v>73</v>
      </c>
      <c r="C1372" s="15" t="s">
        <v>93</v>
      </c>
      <c r="D1372" s="15" t="s">
        <v>94</v>
      </c>
      <c r="E1372" s="19">
        <v>86134</v>
      </c>
      <c r="F1372" s="19">
        <v>83454</v>
      </c>
      <c r="G1372" s="20">
        <f t="shared" si="21"/>
        <v>0.49209849753520296</v>
      </c>
      <c r="H1372" s="24" t="s">
        <v>583</v>
      </c>
      <c r="I1372" s="24" t="s">
        <v>584</v>
      </c>
      <c r="J1372" s="24" t="s">
        <v>585</v>
      </c>
      <c r="K1372" s="24" t="s">
        <v>595</v>
      </c>
    </row>
    <row r="1373" spans="1:11">
      <c r="A1373" s="12">
        <v>2016</v>
      </c>
      <c r="B1373" s="15" t="s">
        <v>73</v>
      </c>
      <c r="C1373" s="15" t="s">
        <v>95</v>
      </c>
      <c r="D1373" s="15" t="s">
        <v>96</v>
      </c>
      <c r="E1373" s="19">
        <v>135528</v>
      </c>
      <c r="F1373" s="19">
        <v>133424</v>
      </c>
      <c r="G1373" s="20">
        <f t="shared" si="21"/>
        <v>0.49608852137184328</v>
      </c>
      <c r="H1373" s="24" t="s">
        <v>583</v>
      </c>
      <c r="I1373" s="24" t="s">
        <v>584</v>
      </c>
      <c r="J1373" s="24" t="s">
        <v>585</v>
      </c>
      <c r="K1373" s="24" t="s">
        <v>595</v>
      </c>
    </row>
    <row r="1374" spans="1:11">
      <c r="A1374" s="12">
        <v>2016</v>
      </c>
      <c r="B1374" s="15" t="s">
        <v>73</v>
      </c>
      <c r="C1374" s="15" t="s">
        <v>97</v>
      </c>
      <c r="D1374" s="15" t="s">
        <v>98</v>
      </c>
      <c r="E1374" s="19">
        <v>156079</v>
      </c>
      <c r="F1374" s="19">
        <v>158733</v>
      </c>
      <c r="G1374" s="20">
        <f t="shared" si="21"/>
        <v>0.50421521415956194</v>
      </c>
      <c r="H1374" s="24" t="s">
        <v>583</v>
      </c>
      <c r="I1374" s="24" t="s">
        <v>584</v>
      </c>
      <c r="J1374" s="24" t="s">
        <v>585</v>
      </c>
      <c r="K1374" s="24" t="s">
        <v>595</v>
      </c>
    </row>
    <row r="1375" spans="1:11">
      <c r="A1375" s="12">
        <v>2016</v>
      </c>
      <c r="B1375" s="15" t="s">
        <v>73</v>
      </c>
      <c r="C1375" s="15" t="s">
        <v>99</v>
      </c>
      <c r="D1375" s="15" t="s">
        <v>100</v>
      </c>
      <c r="E1375" s="19">
        <v>103341</v>
      </c>
      <c r="F1375" s="19">
        <v>82990</v>
      </c>
      <c r="G1375" s="20">
        <f t="shared" si="21"/>
        <v>0.44539019272155467</v>
      </c>
      <c r="H1375" s="24" t="s">
        <v>583</v>
      </c>
      <c r="I1375" s="24" t="s">
        <v>584</v>
      </c>
      <c r="J1375" s="24" t="s">
        <v>585</v>
      </c>
      <c r="K1375" s="24" t="s">
        <v>595</v>
      </c>
    </row>
    <row r="1376" spans="1:11">
      <c r="A1376" s="12">
        <v>2016</v>
      </c>
      <c r="B1376" s="15" t="s">
        <v>73</v>
      </c>
      <c r="C1376" s="15" t="s">
        <v>69</v>
      </c>
      <c r="D1376" s="15" t="s">
        <v>101</v>
      </c>
      <c r="E1376" s="19">
        <v>32376</v>
      </c>
      <c r="F1376" s="19">
        <v>33378</v>
      </c>
      <c r="G1376" s="20">
        <f t="shared" si="21"/>
        <v>0.50761930833105207</v>
      </c>
      <c r="H1376" s="24" t="s">
        <v>583</v>
      </c>
      <c r="I1376" s="24" t="s">
        <v>584</v>
      </c>
      <c r="J1376" s="24" t="s">
        <v>585</v>
      </c>
      <c r="K1376" s="24" t="s">
        <v>595</v>
      </c>
    </row>
    <row r="1377" spans="1:11">
      <c r="A1377" s="12">
        <v>2016</v>
      </c>
      <c r="B1377" s="15" t="s">
        <v>73</v>
      </c>
      <c r="C1377" s="15" t="s">
        <v>102</v>
      </c>
      <c r="D1377" s="15" t="s">
        <v>103</v>
      </c>
      <c r="E1377" s="19">
        <v>345119</v>
      </c>
      <c r="F1377" s="19">
        <v>264461</v>
      </c>
      <c r="G1377" s="20">
        <f t="shared" si="21"/>
        <v>0.43384133337707931</v>
      </c>
      <c r="H1377" s="24" t="s">
        <v>583</v>
      </c>
      <c r="I1377" s="24" t="s">
        <v>584</v>
      </c>
      <c r="J1377" s="24" t="s">
        <v>585</v>
      </c>
      <c r="K1377" s="24" t="s">
        <v>595</v>
      </c>
    </row>
    <row r="1378" spans="1:11">
      <c r="A1378" s="12">
        <v>2016</v>
      </c>
      <c r="B1378" s="15" t="s">
        <v>104</v>
      </c>
      <c r="C1378" s="15" t="s">
        <v>22</v>
      </c>
      <c r="D1378" s="15" t="s">
        <v>104</v>
      </c>
      <c r="E1378" s="19">
        <v>2279177</v>
      </c>
      <c r="F1378" s="19">
        <v>455897</v>
      </c>
      <c r="G1378" s="20">
        <f t="shared" si="21"/>
        <v>0.16668543520211884</v>
      </c>
      <c r="H1378" s="24" t="s">
        <v>583</v>
      </c>
      <c r="I1378" s="24" t="s">
        <v>584</v>
      </c>
      <c r="J1378" s="24" t="s">
        <v>585</v>
      </c>
      <c r="K1378" s="24" t="s">
        <v>595</v>
      </c>
    </row>
    <row r="1379" spans="1:11">
      <c r="A1379" s="12">
        <v>2016</v>
      </c>
      <c r="B1379" s="15" t="s">
        <v>104</v>
      </c>
      <c r="C1379" s="15" t="s">
        <v>79</v>
      </c>
      <c r="D1379" s="15" t="s">
        <v>107</v>
      </c>
      <c r="E1379" s="19">
        <v>114335</v>
      </c>
      <c r="F1379" s="19">
        <v>120089</v>
      </c>
      <c r="G1379" s="20">
        <f t="shared" si="21"/>
        <v>0.51227263420127633</v>
      </c>
      <c r="H1379" s="24" t="s">
        <v>583</v>
      </c>
      <c r="I1379" s="24" t="s">
        <v>584</v>
      </c>
      <c r="J1379" s="24" t="s">
        <v>585</v>
      </c>
      <c r="K1379" s="24" t="s">
        <v>595</v>
      </c>
    </row>
    <row r="1380" spans="1:11">
      <c r="A1380" s="12">
        <v>2016</v>
      </c>
      <c r="B1380" s="15" t="s">
        <v>104</v>
      </c>
      <c r="C1380" s="15" t="s">
        <v>108</v>
      </c>
      <c r="D1380" s="15" t="s">
        <v>109</v>
      </c>
      <c r="E1380" s="19">
        <v>504991</v>
      </c>
      <c r="F1380" s="19">
        <v>379734</v>
      </c>
      <c r="G1380" s="20">
        <f t="shared" si="21"/>
        <v>0.4292113368560852</v>
      </c>
      <c r="H1380" s="24" t="s">
        <v>583</v>
      </c>
      <c r="I1380" s="24" t="s">
        <v>584</v>
      </c>
      <c r="J1380" s="24" t="s">
        <v>585</v>
      </c>
      <c r="K1380" s="24" t="s">
        <v>595</v>
      </c>
    </row>
    <row r="1381" spans="1:11">
      <c r="A1381" s="12">
        <v>2016</v>
      </c>
      <c r="B1381" s="15" t="s">
        <v>104</v>
      </c>
      <c r="C1381" s="15" t="s">
        <v>110</v>
      </c>
      <c r="D1381" s="15" t="s">
        <v>111</v>
      </c>
      <c r="E1381" s="19">
        <v>168209</v>
      </c>
      <c r="F1381" s="19">
        <v>167826</v>
      </c>
      <c r="G1381" s="20">
        <f t="shared" si="21"/>
        <v>0.49943011888642552</v>
      </c>
      <c r="H1381" s="24" t="s">
        <v>583</v>
      </c>
      <c r="I1381" s="24" t="s">
        <v>584</v>
      </c>
      <c r="J1381" s="24" t="s">
        <v>585</v>
      </c>
      <c r="K1381" s="24" t="s">
        <v>595</v>
      </c>
    </row>
    <row r="1382" spans="1:11">
      <c r="A1382" s="12">
        <v>2016</v>
      </c>
      <c r="B1382" s="15" t="s">
        <v>104</v>
      </c>
      <c r="C1382" s="15" t="s">
        <v>81</v>
      </c>
      <c r="D1382" s="15" t="s">
        <v>112</v>
      </c>
      <c r="E1382" s="19">
        <v>285148</v>
      </c>
      <c r="F1382" s="19">
        <v>237335</v>
      </c>
      <c r="G1382" s="20">
        <f t="shared" si="21"/>
        <v>0.45424444431684857</v>
      </c>
      <c r="H1382" s="24" t="s">
        <v>583</v>
      </c>
      <c r="I1382" s="24" t="s">
        <v>584</v>
      </c>
      <c r="J1382" s="24" t="s">
        <v>585</v>
      </c>
      <c r="K1382" s="24" t="s">
        <v>595</v>
      </c>
    </row>
    <row r="1383" spans="1:11">
      <c r="A1383" s="12">
        <v>2016</v>
      </c>
      <c r="B1383" s="15" t="s">
        <v>104</v>
      </c>
      <c r="C1383" s="15" t="s">
        <v>87</v>
      </c>
      <c r="D1383" s="15" t="s">
        <v>113</v>
      </c>
      <c r="E1383" s="19">
        <v>372221</v>
      </c>
      <c r="F1383" s="19">
        <v>269274</v>
      </c>
      <c r="G1383" s="20">
        <f t="shared" si="21"/>
        <v>0.4197600916608859</v>
      </c>
      <c r="H1383" s="24" t="s">
        <v>583</v>
      </c>
      <c r="I1383" s="24" t="s">
        <v>584</v>
      </c>
      <c r="J1383" s="24" t="s">
        <v>585</v>
      </c>
      <c r="K1383" s="24" t="s">
        <v>595</v>
      </c>
    </row>
    <row r="1384" spans="1:11">
      <c r="A1384" s="12">
        <v>2016</v>
      </c>
      <c r="B1384" s="15" t="s">
        <v>104</v>
      </c>
      <c r="C1384" s="15" t="s">
        <v>93</v>
      </c>
      <c r="D1384" s="15" t="s">
        <v>114</v>
      </c>
      <c r="E1384" s="19">
        <v>150927</v>
      </c>
      <c r="F1384" s="19">
        <v>151666</v>
      </c>
      <c r="G1384" s="20">
        <f t="shared" si="21"/>
        <v>0.50122111218699705</v>
      </c>
      <c r="H1384" s="24" t="s">
        <v>583</v>
      </c>
      <c r="I1384" s="24" t="s">
        <v>584</v>
      </c>
      <c r="J1384" s="24" t="s">
        <v>585</v>
      </c>
      <c r="K1384" s="24" t="s">
        <v>595</v>
      </c>
    </row>
    <row r="1385" spans="1:11">
      <c r="A1385" s="12">
        <v>2016</v>
      </c>
      <c r="B1385" s="15" t="s">
        <v>104</v>
      </c>
      <c r="C1385" s="15" t="s">
        <v>115</v>
      </c>
      <c r="D1385" s="15" t="s">
        <v>116</v>
      </c>
      <c r="E1385" s="19">
        <v>371451</v>
      </c>
      <c r="F1385" s="19">
        <v>299269</v>
      </c>
      <c r="G1385" s="20">
        <f t="shared" si="21"/>
        <v>0.44619066078244274</v>
      </c>
      <c r="H1385" s="24" t="s">
        <v>583</v>
      </c>
      <c r="I1385" s="24" t="s">
        <v>584</v>
      </c>
      <c r="J1385" s="24" t="s">
        <v>585</v>
      </c>
      <c r="K1385" s="24" t="s">
        <v>595</v>
      </c>
    </row>
    <row r="1386" spans="1:11">
      <c r="A1386" s="12">
        <v>2016</v>
      </c>
      <c r="B1386" s="15" t="s">
        <v>104</v>
      </c>
      <c r="C1386" s="15" t="s">
        <v>69</v>
      </c>
      <c r="D1386" s="15" t="s">
        <v>117</v>
      </c>
      <c r="E1386" s="19">
        <v>59097</v>
      </c>
      <c r="F1386" s="19">
        <v>61721</v>
      </c>
      <c r="G1386" s="20">
        <f t="shared" si="21"/>
        <v>0.51085930904335441</v>
      </c>
      <c r="H1386" s="24" t="s">
        <v>583</v>
      </c>
      <c r="I1386" s="24" t="s">
        <v>584</v>
      </c>
      <c r="J1386" s="24" t="s">
        <v>585</v>
      </c>
      <c r="K1386" s="24" t="s">
        <v>595</v>
      </c>
    </row>
    <row r="1387" spans="1:11">
      <c r="A1387" s="12">
        <v>2016</v>
      </c>
      <c r="B1387" s="15" t="s">
        <v>118</v>
      </c>
      <c r="C1387" s="15" t="s">
        <v>22</v>
      </c>
      <c r="D1387" s="15" t="s">
        <v>118</v>
      </c>
      <c r="E1387" s="19">
        <v>2601112</v>
      </c>
      <c r="F1387" s="19">
        <v>1011959</v>
      </c>
      <c r="G1387" s="20">
        <f t="shared" si="21"/>
        <v>0.28008278829837552</v>
      </c>
      <c r="H1387" s="24" t="s">
        <v>579</v>
      </c>
      <c r="I1387" s="24" t="s">
        <v>580</v>
      </c>
      <c r="J1387" s="24" t="s">
        <v>581</v>
      </c>
      <c r="K1387" s="24" t="s">
        <v>595</v>
      </c>
    </row>
    <row r="1388" spans="1:11">
      <c r="A1388" s="12">
        <v>2016</v>
      </c>
      <c r="B1388" s="15" t="s">
        <v>118</v>
      </c>
      <c r="C1388" s="15" t="s">
        <v>119</v>
      </c>
      <c r="D1388" s="15" t="s">
        <v>120</v>
      </c>
      <c r="E1388" s="19">
        <v>50535</v>
      </c>
      <c r="F1388" s="19">
        <v>48132</v>
      </c>
      <c r="G1388" s="20">
        <f t="shared" si="21"/>
        <v>0.4878226762747423</v>
      </c>
      <c r="H1388" s="24" t="s">
        <v>579</v>
      </c>
      <c r="I1388" s="24" t="s">
        <v>580</v>
      </c>
      <c r="J1388" s="24" t="s">
        <v>581</v>
      </c>
      <c r="K1388" s="24" t="s">
        <v>595</v>
      </c>
    </row>
    <row r="1389" spans="1:11">
      <c r="A1389" s="12">
        <v>2016</v>
      </c>
      <c r="B1389" s="15" t="s">
        <v>118</v>
      </c>
      <c r="C1389" s="15" t="s">
        <v>121</v>
      </c>
      <c r="D1389" s="15" t="s">
        <v>122</v>
      </c>
      <c r="E1389" s="19">
        <v>270015</v>
      </c>
      <c r="F1389" s="19">
        <v>201110</v>
      </c>
      <c r="G1389" s="20">
        <f t="shared" si="21"/>
        <v>0.42687184929689576</v>
      </c>
      <c r="H1389" s="24" t="s">
        <v>579</v>
      </c>
      <c r="I1389" s="24" t="s">
        <v>580</v>
      </c>
      <c r="J1389" s="24" t="s">
        <v>581</v>
      </c>
      <c r="K1389" s="24" t="s">
        <v>595</v>
      </c>
    </row>
    <row r="1390" spans="1:11">
      <c r="A1390" s="12">
        <v>2016</v>
      </c>
      <c r="B1390" s="15" t="s">
        <v>118</v>
      </c>
      <c r="C1390" s="15" t="s">
        <v>79</v>
      </c>
      <c r="D1390" s="15" t="s">
        <v>123</v>
      </c>
      <c r="E1390" s="19">
        <v>322007</v>
      </c>
      <c r="F1390" s="19">
        <v>286190</v>
      </c>
      <c r="G1390" s="20">
        <f t="shared" si="21"/>
        <v>0.47055477090482195</v>
      </c>
      <c r="H1390" s="24" t="s">
        <v>579</v>
      </c>
      <c r="I1390" s="24" t="s">
        <v>580</v>
      </c>
      <c r="J1390" s="24" t="s">
        <v>581</v>
      </c>
      <c r="K1390" s="24" t="s">
        <v>595</v>
      </c>
    </row>
    <row r="1391" spans="1:11">
      <c r="A1391" s="12">
        <v>2016</v>
      </c>
      <c r="B1391" s="15" t="s">
        <v>118</v>
      </c>
      <c r="C1391" s="15" t="s">
        <v>124</v>
      </c>
      <c r="D1391" s="15" t="s">
        <v>125</v>
      </c>
      <c r="E1391" s="19">
        <v>444757</v>
      </c>
      <c r="F1391" s="19">
        <v>319801</v>
      </c>
      <c r="G1391" s="20">
        <f t="shared" si="21"/>
        <v>0.41828219703410335</v>
      </c>
      <c r="H1391" s="24" t="s">
        <v>579</v>
      </c>
      <c r="I1391" s="24" t="s">
        <v>580</v>
      </c>
      <c r="J1391" s="24" t="s">
        <v>581</v>
      </c>
      <c r="K1391" s="24" t="s">
        <v>595</v>
      </c>
    </row>
    <row r="1392" spans="1:11">
      <c r="A1392" s="12">
        <v>2016</v>
      </c>
      <c r="B1392" s="15" t="s">
        <v>118</v>
      </c>
      <c r="C1392" s="15" t="s">
        <v>81</v>
      </c>
      <c r="D1392" s="15" t="s">
        <v>126</v>
      </c>
      <c r="E1392" s="19">
        <v>53687</v>
      </c>
      <c r="F1392" s="19">
        <v>53581</v>
      </c>
      <c r="G1392" s="20">
        <f t="shared" si="21"/>
        <v>0.49950591042995113</v>
      </c>
      <c r="H1392" s="24" t="s">
        <v>579</v>
      </c>
      <c r="I1392" s="24" t="s">
        <v>580</v>
      </c>
      <c r="J1392" s="24" t="s">
        <v>581</v>
      </c>
      <c r="K1392" s="24" t="s">
        <v>595</v>
      </c>
    </row>
    <row r="1393" spans="1:11">
      <c r="A1393" s="12">
        <v>2016</v>
      </c>
      <c r="B1393" s="15" t="s">
        <v>118</v>
      </c>
      <c r="C1393" s="15" t="s">
        <v>129</v>
      </c>
      <c r="D1393" s="15" t="s">
        <v>130</v>
      </c>
      <c r="E1393" s="19">
        <v>449171</v>
      </c>
      <c r="F1393" s="19">
        <v>330522</v>
      </c>
      <c r="G1393" s="20">
        <f t="shared" si="21"/>
        <v>0.42391300165577989</v>
      </c>
      <c r="H1393" s="24" t="s">
        <v>579</v>
      </c>
      <c r="I1393" s="24" t="s">
        <v>580</v>
      </c>
      <c r="J1393" s="24" t="s">
        <v>581</v>
      </c>
      <c r="K1393" s="24" t="s">
        <v>595</v>
      </c>
    </row>
    <row r="1394" spans="1:11">
      <c r="A1394" s="12">
        <v>2016</v>
      </c>
      <c r="B1394" s="15" t="s">
        <v>118</v>
      </c>
      <c r="C1394" s="15" t="s">
        <v>93</v>
      </c>
      <c r="D1394" s="15" t="s">
        <v>131</v>
      </c>
      <c r="E1394" s="19">
        <v>430208</v>
      </c>
      <c r="F1394" s="19">
        <v>294667</v>
      </c>
      <c r="G1394" s="20">
        <f t="shared" si="21"/>
        <v>0.40650732884980167</v>
      </c>
      <c r="H1394" s="24" t="s">
        <v>579</v>
      </c>
      <c r="I1394" s="24" t="s">
        <v>580</v>
      </c>
      <c r="J1394" s="24" t="s">
        <v>581</v>
      </c>
      <c r="K1394" s="24" t="s">
        <v>595</v>
      </c>
    </row>
    <row r="1395" spans="1:11">
      <c r="A1395" s="12">
        <v>2016</v>
      </c>
      <c r="B1395" s="15" t="s">
        <v>118</v>
      </c>
      <c r="C1395" s="15" t="s">
        <v>132</v>
      </c>
      <c r="D1395" s="15" t="s">
        <v>133</v>
      </c>
      <c r="E1395" s="19">
        <v>268485</v>
      </c>
      <c r="F1395" s="19">
        <v>207613</v>
      </c>
      <c r="G1395" s="20">
        <f t="shared" si="21"/>
        <v>0.43607198517952184</v>
      </c>
      <c r="H1395" s="24" t="s">
        <v>579</v>
      </c>
      <c r="I1395" s="24" t="s">
        <v>580</v>
      </c>
      <c r="J1395" s="24" t="s">
        <v>581</v>
      </c>
      <c r="K1395" s="24" t="s">
        <v>595</v>
      </c>
    </row>
    <row r="1396" spans="1:11">
      <c r="A1396" s="12">
        <v>2016</v>
      </c>
      <c r="B1396" s="15" t="s">
        <v>118</v>
      </c>
      <c r="C1396" s="15" t="s">
        <v>134</v>
      </c>
      <c r="D1396" s="15" t="s">
        <v>135</v>
      </c>
      <c r="E1396" s="19">
        <v>12490</v>
      </c>
      <c r="F1396" s="19">
        <v>18460</v>
      </c>
      <c r="G1396" s="20">
        <f t="shared" si="21"/>
        <v>0.59644588045234248</v>
      </c>
      <c r="H1396" s="24" t="s">
        <v>579</v>
      </c>
      <c r="I1396" s="24" t="s">
        <v>580</v>
      </c>
      <c r="J1396" s="24" t="s">
        <v>581</v>
      </c>
      <c r="K1396" s="24" t="s">
        <v>595</v>
      </c>
    </row>
    <row r="1397" spans="1:11">
      <c r="A1397" s="12">
        <v>2016</v>
      </c>
      <c r="B1397" s="15" t="s">
        <v>118</v>
      </c>
      <c r="C1397" s="15" t="s">
        <v>69</v>
      </c>
      <c r="D1397" s="15" t="s">
        <v>136</v>
      </c>
      <c r="E1397" s="19">
        <v>85722</v>
      </c>
      <c r="F1397" s="19">
        <v>83103</v>
      </c>
      <c r="G1397" s="20">
        <f t="shared" si="21"/>
        <v>0.49224344735673037</v>
      </c>
      <c r="H1397" s="24" t="s">
        <v>579</v>
      </c>
      <c r="I1397" s="24" t="s">
        <v>580</v>
      </c>
      <c r="J1397" s="24" t="s">
        <v>581</v>
      </c>
      <c r="K1397" s="24" t="s">
        <v>595</v>
      </c>
    </row>
    <row r="1398" spans="1:11">
      <c r="A1398" s="12">
        <v>2016</v>
      </c>
      <c r="B1398" s="15" t="s">
        <v>137</v>
      </c>
      <c r="C1398" s="15" t="s">
        <v>22</v>
      </c>
      <c r="D1398" s="15" t="s">
        <v>137</v>
      </c>
      <c r="E1398" s="19">
        <v>1348744</v>
      </c>
      <c r="F1398" s="19">
        <v>323298</v>
      </c>
      <c r="G1398" s="20">
        <f t="shared" si="21"/>
        <v>0.19335519083850763</v>
      </c>
      <c r="H1398" s="24" t="s">
        <v>586</v>
      </c>
      <c r="I1398" s="24" t="s">
        <v>587</v>
      </c>
      <c r="J1398" s="24" t="s">
        <v>588</v>
      </c>
      <c r="K1398" s="24" t="s">
        <v>595</v>
      </c>
    </row>
    <row r="1399" spans="1:11">
      <c r="A1399" s="12">
        <v>2016</v>
      </c>
      <c r="B1399" s="15" t="s">
        <v>137</v>
      </c>
      <c r="C1399" s="15" t="s">
        <v>138</v>
      </c>
      <c r="D1399" s="15" t="s">
        <v>139</v>
      </c>
      <c r="E1399" s="19">
        <v>350286</v>
      </c>
      <c r="F1399" s="19">
        <v>228983</v>
      </c>
      <c r="G1399" s="20">
        <f t="shared" si="21"/>
        <v>0.39529648574323845</v>
      </c>
      <c r="H1399" s="24" t="s">
        <v>586</v>
      </c>
      <c r="I1399" s="24" t="s">
        <v>587</v>
      </c>
      <c r="J1399" s="24" t="s">
        <v>588</v>
      </c>
      <c r="K1399" s="24" t="s">
        <v>595</v>
      </c>
    </row>
    <row r="1400" spans="1:11">
      <c r="A1400" s="12">
        <v>2016</v>
      </c>
      <c r="B1400" s="15" t="s">
        <v>137</v>
      </c>
      <c r="C1400" s="15" t="s">
        <v>79</v>
      </c>
      <c r="D1400" s="15" t="s">
        <v>140</v>
      </c>
      <c r="E1400" s="19">
        <v>174388</v>
      </c>
      <c r="F1400" s="19">
        <v>159327</v>
      </c>
      <c r="G1400" s="20">
        <f t="shared" si="21"/>
        <v>0.47743433768335258</v>
      </c>
      <c r="H1400" s="24" t="s">
        <v>586</v>
      </c>
      <c r="I1400" s="24" t="s">
        <v>587</v>
      </c>
      <c r="J1400" s="24" t="s">
        <v>588</v>
      </c>
      <c r="K1400" s="24" t="s">
        <v>595</v>
      </c>
    </row>
    <row r="1401" spans="1:11">
      <c r="A1401" s="12">
        <v>2016</v>
      </c>
      <c r="B1401" s="15" t="s">
        <v>137</v>
      </c>
      <c r="C1401" s="15" t="s">
        <v>81</v>
      </c>
      <c r="D1401" s="15" t="s">
        <v>141</v>
      </c>
      <c r="E1401" s="19">
        <v>72278</v>
      </c>
      <c r="F1401" s="19">
        <v>73105</v>
      </c>
      <c r="G1401" s="20">
        <f t="shared" si="21"/>
        <v>0.5028442114965298</v>
      </c>
      <c r="H1401" s="24" t="s">
        <v>586</v>
      </c>
      <c r="I1401" s="24" t="s">
        <v>587</v>
      </c>
      <c r="J1401" s="24" t="s">
        <v>588</v>
      </c>
      <c r="K1401" s="24" t="s">
        <v>595</v>
      </c>
    </row>
    <row r="1402" spans="1:11">
      <c r="A1402" s="12">
        <v>2016</v>
      </c>
      <c r="B1402" s="15" t="s">
        <v>137</v>
      </c>
      <c r="C1402" s="15" t="s">
        <v>87</v>
      </c>
      <c r="D1402" s="15" t="s">
        <v>142</v>
      </c>
      <c r="E1402" s="19">
        <v>367762</v>
      </c>
      <c r="F1402" s="19">
        <v>291734</v>
      </c>
      <c r="G1402" s="20">
        <f t="shared" si="21"/>
        <v>0.442359013549741</v>
      </c>
      <c r="H1402" s="24" t="s">
        <v>586</v>
      </c>
      <c r="I1402" s="24" t="s">
        <v>587</v>
      </c>
      <c r="J1402" s="24" t="s">
        <v>588</v>
      </c>
      <c r="K1402" s="24" t="s">
        <v>595</v>
      </c>
    </row>
    <row r="1403" spans="1:11">
      <c r="A1403" s="12">
        <v>2016</v>
      </c>
      <c r="B1403" s="15" t="s">
        <v>137</v>
      </c>
      <c r="C1403" s="15" t="s">
        <v>93</v>
      </c>
      <c r="D1403" s="15" t="s">
        <v>143</v>
      </c>
      <c r="E1403" s="19">
        <v>256858</v>
      </c>
      <c r="F1403" s="19">
        <v>209082</v>
      </c>
      <c r="G1403" s="20">
        <f t="shared" si="21"/>
        <v>0.44873159634287679</v>
      </c>
      <c r="H1403" s="24" t="s">
        <v>586</v>
      </c>
      <c r="I1403" s="24" t="s">
        <v>587</v>
      </c>
      <c r="J1403" s="24" t="s">
        <v>588</v>
      </c>
      <c r="K1403" s="24" t="s">
        <v>595</v>
      </c>
    </row>
    <row r="1404" spans="1:11">
      <c r="A1404" s="12">
        <v>2016</v>
      </c>
      <c r="B1404" s="15" t="s">
        <v>144</v>
      </c>
      <c r="C1404" s="15" t="s">
        <v>22</v>
      </c>
      <c r="D1404" s="15" t="s">
        <v>144</v>
      </c>
      <c r="E1404" s="19">
        <v>1388238</v>
      </c>
      <c r="F1404" s="19">
        <v>342359</v>
      </c>
      <c r="G1404" s="20">
        <f t="shared" si="21"/>
        <v>0.19782710821756885</v>
      </c>
      <c r="H1404" s="24" t="s">
        <v>589</v>
      </c>
      <c r="I1404" s="24" t="s">
        <v>560</v>
      </c>
      <c r="J1404" s="24" t="s">
        <v>590</v>
      </c>
      <c r="K1404" s="24" t="s">
        <v>595</v>
      </c>
    </row>
    <row r="1405" spans="1:11">
      <c r="A1405" s="12">
        <v>2016</v>
      </c>
      <c r="B1405" s="15" t="s">
        <v>144</v>
      </c>
      <c r="C1405" s="15" t="s">
        <v>145</v>
      </c>
      <c r="D1405" s="15" t="s">
        <v>146</v>
      </c>
      <c r="E1405" s="19">
        <v>158952</v>
      </c>
      <c r="F1405" s="19">
        <v>137287</v>
      </c>
      <c r="G1405" s="20">
        <f t="shared" si="21"/>
        <v>0.46343324140305631</v>
      </c>
      <c r="H1405" s="24" t="s">
        <v>589</v>
      </c>
      <c r="I1405" s="24" t="s">
        <v>560</v>
      </c>
      <c r="J1405" s="24" t="s">
        <v>590</v>
      </c>
      <c r="K1405" s="24" t="s">
        <v>595</v>
      </c>
    </row>
    <row r="1406" spans="1:11">
      <c r="A1406" s="12">
        <v>2016</v>
      </c>
      <c r="B1406" s="15" t="s">
        <v>144</v>
      </c>
      <c r="C1406" s="15" t="s">
        <v>81</v>
      </c>
      <c r="D1406" s="15" t="s">
        <v>147</v>
      </c>
      <c r="E1406" s="19">
        <v>181645</v>
      </c>
      <c r="F1406" s="19">
        <v>182884</v>
      </c>
      <c r="G1406" s="20">
        <f t="shared" si="21"/>
        <v>0.50169945326709264</v>
      </c>
      <c r="H1406" s="24" t="s">
        <v>589</v>
      </c>
      <c r="I1406" s="24" t="s">
        <v>560</v>
      </c>
      <c r="J1406" s="24" t="s">
        <v>590</v>
      </c>
      <c r="K1406" s="24" t="s">
        <v>595</v>
      </c>
    </row>
    <row r="1407" spans="1:11">
      <c r="A1407" s="12">
        <v>2016</v>
      </c>
      <c r="B1407" s="15" t="s">
        <v>144</v>
      </c>
      <c r="C1407" s="15" t="s">
        <v>93</v>
      </c>
      <c r="D1407" s="15" t="s">
        <v>148</v>
      </c>
      <c r="E1407" s="19">
        <v>428120</v>
      </c>
      <c r="F1407" s="19">
        <v>284808</v>
      </c>
      <c r="G1407" s="20">
        <f t="shared" si="21"/>
        <v>0.39949055164055836</v>
      </c>
      <c r="H1407" s="24" t="s">
        <v>589</v>
      </c>
      <c r="I1407" s="24" t="s">
        <v>560</v>
      </c>
      <c r="J1407" s="24" t="s">
        <v>590</v>
      </c>
      <c r="K1407" s="24" t="s">
        <v>595</v>
      </c>
    </row>
    <row r="1408" spans="1:11">
      <c r="A1408" s="12">
        <v>2016</v>
      </c>
      <c r="B1408" s="15" t="s">
        <v>144</v>
      </c>
      <c r="C1408" s="15" t="s">
        <v>149</v>
      </c>
      <c r="D1408" s="15" t="s">
        <v>150</v>
      </c>
      <c r="E1408" s="19">
        <v>281306</v>
      </c>
      <c r="F1408" s="19">
        <v>251630</v>
      </c>
      <c r="G1408" s="20">
        <f t="shared" si="21"/>
        <v>0.47215800771574823</v>
      </c>
      <c r="H1408" s="24" t="s">
        <v>589</v>
      </c>
      <c r="I1408" s="24" t="s">
        <v>560</v>
      </c>
      <c r="J1408" s="24" t="s">
        <v>590</v>
      </c>
      <c r="K1408" s="24" t="s">
        <v>595</v>
      </c>
    </row>
    <row r="1409" spans="1:11">
      <c r="A1409" s="12">
        <v>2016</v>
      </c>
      <c r="B1409" s="15" t="s">
        <v>144</v>
      </c>
      <c r="C1409" s="15" t="s">
        <v>69</v>
      </c>
      <c r="D1409" s="15" t="s">
        <v>151</v>
      </c>
      <c r="E1409" s="19">
        <v>208704</v>
      </c>
      <c r="F1409" s="19">
        <v>178089</v>
      </c>
      <c r="G1409" s="20">
        <f t="shared" si="21"/>
        <v>0.46042456817987915</v>
      </c>
      <c r="H1409" s="24" t="s">
        <v>589</v>
      </c>
      <c r="I1409" s="24" t="s">
        <v>560</v>
      </c>
      <c r="J1409" s="24" t="s">
        <v>590</v>
      </c>
      <c r="K1409" s="24" t="s">
        <v>595</v>
      </c>
    </row>
    <row r="1410" spans="1:11">
      <c r="A1410" s="12">
        <v>2016</v>
      </c>
      <c r="B1410" s="15" t="s">
        <v>152</v>
      </c>
      <c r="C1410" s="15" t="s">
        <v>22</v>
      </c>
      <c r="D1410" s="15" t="s">
        <v>152</v>
      </c>
      <c r="E1410" s="19">
        <v>1078438</v>
      </c>
      <c r="F1410" s="19">
        <v>271371</v>
      </c>
      <c r="G1410" s="20">
        <f t="shared" si="21"/>
        <v>0.20104399955845606</v>
      </c>
      <c r="H1410" s="24" t="s">
        <v>583</v>
      </c>
      <c r="I1410" s="24" t="s">
        <v>584</v>
      </c>
      <c r="J1410" s="24" t="s">
        <v>585</v>
      </c>
      <c r="K1410" s="24" t="s">
        <v>595</v>
      </c>
    </row>
    <row r="1411" spans="1:11">
      <c r="A1411" s="12">
        <v>2016</v>
      </c>
      <c r="B1411" s="15" t="s">
        <v>152</v>
      </c>
      <c r="C1411" s="15" t="s">
        <v>79</v>
      </c>
      <c r="D1411" s="15" t="s">
        <v>153</v>
      </c>
      <c r="E1411" s="19">
        <v>301381</v>
      </c>
      <c r="F1411" s="19">
        <v>169334</v>
      </c>
      <c r="G1411" s="20">
        <f t="shared" si="21"/>
        <v>0.35973784561783667</v>
      </c>
      <c r="H1411" s="24" t="s">
        <v>583</v>
      </c>
      <c r="I1411" s="24" t="s">
        <v>584</v>
      </c>
      <c r="J1411" s="24" t="s">
        <v>585</v>
      </c>
      <c r="K1411" s="24" t="s">
        <v>595</v>
      </c>
    </row>
    <row r="1412" spans="1:11">
      <c r="A1412" s="12">
        <v>2016</v>
      </c>
      <c r="B1412" s="15" t="s">
        <v>152</v>
      </c>
      <c r="C1412" s="15" t="s">
        <v>81</v>
      </c>
      <c r="D1412" s="15" t="s">
        <v>154</v>
      </c>
      <c r="E1412" s="19">
        <v>156959</v>
      </c>
      <c r="F1412" s="19">
        <v>84944</v>
      </c>
      <c r="G1412" s="20">
        <f t="shared" si="21"/>
        <v>0.35114901427431655</v>
      </c>
      <c r="H1412" s="24" t="s">
        <v>583</v>
      </c>
      <c r="I1412" s="24" t="s">
        <v>584</v>
      </c>
      <c r="J1412" s="24" t="s">
        <v>585</v>
      </c>
      <c r="K1412" s="24" t="s">
        <v>595</v>
      </c>
    </row>
    <row r="1413" spans="1:11">
      <c r="A1413" s="12">
        <v>2016</v>
      </c>
      <c r="B1413" s="15" t="s">
        <v>152</v>
      </c>
      <c r="C1413" s="15" t="s">
        <v>87</v>
      </c>
      <c r="D1413" s="15" t="s">
        <v>155</v>
      </c>
      <c r="E1413" s="19">
        <v>157602</v>
      </c>
      <c r="F1413" s="19">
        <v>136699</v>
      </c>
      <c r="G1413" s="20">
        <f t="shared" si="21"/>
        <v>0.46448703878002451</v>
      </c>
      <c r="H1413" s="24" t="s">
        <v>583</v>
      </c>
      <c r="I1413" s="24" t="s">
        <v>584</v>
      </c>
      <c r="J1413" s="24" t="s">
        <v>585</v>
      </c>
      <c r="K1413" s="24" t="s">
        <v>595</v>
      </c>
    </row>
    <row r="1414" spans="1:11">
      <c r="A1414" s="12">
        <v>2016</v>
      </c>
      <c r="B1414" s="15" t="s">
        <v>152</v>
      </c>
      <c r="C1414" s="15" t="s">
        <v>156</v>
      </c>
      <c r="D1414" s="15" t="s">
        <v>157</v>
      </c>
      <c r="E1414" s="19">
        <v>162983</v>
      </c>
      <c r="F1414" s="19">
        <v>170342</v>
      </c>
      <c r="G1414" s="20">
        <f t="shared" ref="G1414:G1477" si="22">IFERROR(F1414/(E1414+F1414),"")</f>
        <v>0.51103877596939928</v>
      </c>
      <c r="H1414" s="24" t="s">
        <v>583</v>
      </c>
      <c r="I1414" s="24" t="s">
        <v>584</v>
      </c>
      <c r="J1414" s="24" t="s">
        <v>585</v>
      </c>
      <c r="K1414" s="24" t="s">
        <v>595</v>
      </c>
    </row>
    <row r="1415" spans="1:11">
      <c r="A1415" s="12">
        <v>2016</v>
      </c>
      <c r="B1415" s="15" t="s">
        <v>152</v>
      </c>
      <c r="C1415" s="15" t="s">
        <v>69</v>
      </c>
      <c r="D1415" s="15" t="s">
        <v>158</v>
      </c>
      <c r="E1415" s="19">
        <v>194983</v>
      </c>
      <c r="F1415" s="19">
        <v>175081</v>
      </c>
      <c r="G1415" s="20">
        <f t="shared" si="22"/>
        <v>0.47311005663885164</v>
      </c>
      <c r="H1415" s="24" t="s">
        <v>583</v>
      </c>
      <c r="I1415" s="24" t="s">
        <v>584</v>
      </c>
      <c r="J1415" s="24" t="s">
        <v>585</v>
      </c>
      <c r="K1415" s="24" t="s">
        <v>595</v>
      </c>
    </row>
    <row r="1416" spans="1:11">
      <c r="A1416" s="12">
        <v>2016</v>
      </c>
      <c r="B1416" s="15" t="s">
        <v>159</v>
      </c>
      <c r="C1416" s="15" t="s">
        <v>22</v>
      </c>
      <c r="D1416" s="15" t="s">
        <v>159</v>
      </c>
      <c r="E1416" s="19">
        <v>190408</v>
      </c>
      <c r="F1416" s="19">
        <v>175509</v>
      </c>
      <c r="G1416" s="20">
        <f t="shared" si="22"/>
        <v>0.47964155805824821</v>
      </c>
      <c r="H1416" s="24" t="s">
        <v>589</v>
      </c>
      <c r="I1416" s="24" t="s">
        <v>560</v>
      </c>
      <c r="J1416" s="24" t="s">
        <v>590</v>
      </c>
      <c r="K1416" s="24" t="s">
        <v>595</v>
      </c>
    </row>
    <row r="1417" spans="1:11">
      <c r="A1417" s="12">
        <v>2016</v>
      </c>
      <c r="B1417" s="15" t="s">
        <v>160</v>
      </c>
      <c r="C1417" s="15" t="s">
        <v>22</v>
      </c>
      <c r="D1417" s="15" t="s">
        <v>160</v>
      </c>
      <c r="E1417" s="19">
        <v>11412867</v>
      </c>
      <c r="F1417" s="19">
        <v>4426926</v>
      </c>
      <c r="G1417" s="20">
        <f t="shared" si="22"/>
        <v>0.27948130382764474</v>
      </c>
      <c r="H1417" s="24" t="s">
        <v>579</v>
      </c>
      <c r="I1417" s="24" t="s">
        <v>580</v>
      </c>
      <c r="J1417" s="24" t="s">
        <v>581</v>
      </c>
      <c r="K1417" s="24" t="s">
        <v>595</v>
      </c>
    </row>
    <row r="1418" spans="1:11">
      <c r="A1418" s="12">
        <v>2016</v>
      </c>
      <c r="B1418" s="15" t="s">
        <v>160</v>
      </c>
      <c r="C1418" s="15" t="s">
        <v>161</v>
      </c>
      <c r="D1418" s="15" t="s">
        <v>162</v>
      </c>
      <c r="E1418" s="19">
        <v>47547</v>
      </c>
      <c r="F1418" s="19">
        <v>46767</v>
      </c>
      <c r="G1418" s="20">
        <f t="shared" si="22"/>
        <v>0.49586487690056619</v>
      </c>
      <c r="H1418" s="24" t="s">
        <v>579</v>
      </c>
      <c r="I1418" s="24" t="s">
        <v>591</v>
      </c>
      <c r="J1418" s="24" t="s">
        <v>592</v>
      </c>
      <c r="K1418" s="24" t="s">
        <v>595</v>
      </c>
    </row>
    <row r="1419" spans="1:11">
      <c r="A1419" s="12">
        <v>2016</v>
      </c>
      <c r="B1419" s="15" t="s">
        <v>160</v>
      </c>
      <c r="C1419" s="15" t="s">
        <v>163</v>
      </c>
      <c r="D1419" s="15" t="s">
        <v>164</v>
      </c>
      <c r="E1419" s="19">
        <v>352502</v>
      </c>
      <c r="F1419" s="19">
        <v>287748</v>
      </c>
      <c r="G1419" s="20">
        <f t="shared" si="22"/>
        <v>0.44943069113627487</v>
      </c>
      <c r="H1419" s="24" t="s">
        <v>579</v>
      </c>
      <c r="I1419" s="24" t="s">
        <v>591</v>
      </c>
      <c r="J1419" s="24" t="s">
        <v>592</v>
      </c>
      <c r="K1419" s="24" t="s">
        <v>595</v>
      </c>
    </row>
    <row r="1420" spans="1:11">
      <c r="A1420" s="12">
        <v>2016</v>
      </c>
      <c r="B1420" s="15" t="s">
        <v>160</v>
      </c>
      <c r="C1420" s="15" t="s">
        <v>167</v>
      </c>
      <c r="D1420" s="15" t="s">
        <v>168</v>
      </c>
      <c r="E1420" s="19">
        <v>229473</v>
      </c>
      <c r="F1420" s="19">
        <v>197026</v>
      </c>
      <c r="G1420" s="20">
        <f t="shared" si="22"/>
        <v>0.46196122382467486</v>
      </c>
      <c r="H1420" s="24" t="s">
        <v>579</v>
      </c>
      <c r="I1420" s="24" t="s">
        <v>591</v>
      </c>
      <c r="J1420" s="24" t="s">
        <v>592</v>
      </c>
      <c r="K1420" s="24" t="s">
        <v>595</v>
      </c>
    </row>
    <row r="1421" spans="1:11">
      <c r="A1421" s="12">
        <v>2016</v>
      </c>
      <c r="B1421" s="15" t="s">
        <v>160</v>
      </c>
      <c r="C1421" s="15" t="s">
        <v>169</v>
      </c>
      <c r="D1421" s="15" t="s">
        <v>170</v>
      </c>
      <c r="E1421" s="19">
        <v>241111</v>
      </c>
      <c r="F1421" s="19">
        <v>208691</v>
      </c>
      <c r="G1421" s="20">
        <f t="shared" si="22"/>
        <v>0.46396192102302791</v>
      </c>
      <c r="H1421" s="24" t="s">
        <v>579</v>
      </c>
      <c r="I1421" s="24" t="s">
        <v>591</v>
      </c>
      <c r="J1421" s="24" t="s">
        <v>592</v>
      </c>
      <c r="K1421" s="24" t="s">
        <v>595</v>
      </c>
    </row>
    <row r="1422" spans="1:11">
      <c r="A1422" s="12">
        <v>2016</v>
      </c>
      <c r="B1422" s="15" t="s">
        <v>160</v>
      </c>
      <c r="C1422" s="15" t="s">
        <v>171</v>
      </c>
      <c r="D1422" s="15" t="s">
        <v>172</v>
      </c>
      <c r="E1422" s="19">
        <v>46025</v>
      </c>
      <c r="F1422" s="19">
        <v>47822</v>
      </c>
      <c r="G1422" s="20">
        <f t="shared" si="22"/>
        <v>0.5095740940040705</v>
      </c>
      <c r="H1422" s="24" t="s">
        <v>579</v>
      </c>
      <c r="I1422" s="24" t="s">
        <v>591</v>
      </c>
      <c r="J1422" s="24" t="s">
        <v>592</v>
      </c>
      <c r="K1422" s="24" t="s">
        <v>595</v>
      </c>
    </row>
    <row r="1423" spans="1:11">
      <c r="A1423" s="12">
        <v>2016</v>
      </c>
      <c r="B1423" s="15" t="s">
        <v>160</v>
      </c>
      <c r="C1423" s="15" t="s">
        <v>173</v>
      </c>
      <c r="D1423" s="15" t="s">
        <v>174</v>
      </c>
      <c r="E1423" s="19">
        <v>284151</v>
      </c>
      <c r="F1423" s="19">
        <v>201958</v>
      </c>
      <c r="G1423" s="20">
        <f t="shared" si="22"/>
        <v>0.41545826141873532</v>
      </c>
      <c r="H1423" s="24" t="s">
        <v>579</v>
      </c>
      <c r="I1423" s="24" t="s">
        <v>591</v>
      </c>
      <c r="J1423" s="24" t="s">
        <v>592</v>
      </c>
      <c r="K1423" s="24" t="s">
        <v>595</v>
      </c>
    </row>
    <row r="1424" spans="1:11">
      <c r="A1424" s="12">
        <v>2016</v>
      </c>
      <c r="B1424" s="15" t="s">
        <v>160</v>
      </c>
      <c r="C1424" s="15" t="s">
        <v>175</v>
      </c>
      <c r="D1424" s="15" t="s">
        <v>176</v>
      </c>
      <c r="E1424" s="19">
        <v>240853</v>
      </c>
      <c r="F1424" s="19">
        <v>225251</v>
      </c>
      <c r="G1424" s="20">
        <f t="shared" si="22"/>
        <v>0.48326339186104389</v>
      </c>
      <c r="H1424" s="24" t="s">
        <v>579</v>
      </c>
      <c r="I1424" s="24" t="s">
        <v>591</v>
      </c>
      <c r="J1424" s="24" t="s">
        <v>592</v>
      </c>
      <c r="K1424" s="24" t="s">
        <v>595</v>
      </c>
    </row>
    <row r="1425" spans="1:11">
      <c r="A1425" s="12">
        <v>2016</v>
      </c>
      <c r="B1425" s="15" t="s">
        <v>160</v>
      </c>
      <c r="C1425" s="15" t="s">
        <v>177</v>
      </c>
      <c r="D1425" s="15" t="s">
        <v>178</v>
      </c>
      <c r="E1425" s="19">
        <v>155610</v>
      </c>
      <c r="F1425" s="19">
        <v>113515</v>
      </c>
      <c r="G1425" s="20">
        <f t="shared" si="22"/>
        <v>0.42179284718996751</v>
      </c>
      <c r="H1425" s="24" t="s">
        <v>579</v>
      </c>
      <c r="I1425" s="24" t="s">
        <v>591</v>
      </c>
      <c r="J1425" s="24" t="s">
        <v>592</v>
      </c>
      <c r="K1425" s="24" t="s">
        <v>595</v>
      </c>
    </row>
    <row r="1426" spans="1:11">
      <c r="A1426" s="12">
        <v>2016</v>
      </c>
      <c r="B1426" s="15" t="s">
        <v>160</v>
      </c>
      <c r="C1426" s="15" t="s">
        <v>179</v>
      </c>
      <c r="D1426" s="15" t="s">
        <v>180</v>
      </c>
      <c r="E1426" s="19">
        <v>238368</v>
      </c>
      <c r="F1426" s="19">
        <v>175816</v>
      </c>
      <c r="G1426" s="20">
        <f t="shared" si="22"/>
        <v>0.42448766731694126</v>
      </c>
      <c r="H1426" s="24" t="s">
        <v>579</v>
      </c>
      <c r="I1426" s="24" t="s">
        <v>591</v>
      </c>
      <c r="J1426" s="24" t="s">
        <v>592</v>
      </c>
      <c r="K1426" s="24" t="s">
        <v>595</v>
      </c>
    </row>
    <row r="1427" spans="1:11">
      <c r="A1427" s="12">
        <v>2016</v>
      </c>
      <c r="B1427" s="15" t="s">
        <v>160</v>
      </c>
      <c r="C1427" s="15" t="s">
        <v>181</v>
      </c>
      <c r="D1427" s="15" t="s">
        <v>182</v>
      </c>
      <c r="E1427" s="19">
        <v>308207</v>
      </c>
      <c r="F1427" s="19">
        <v>215571</v>
      </c>
      <c r="G1427" s="20">
        <f t="shared" si="22"/>
        <v>0.41156940535875886</v>
      </c>
      <c r="H1427" s="24" t="s">
        <v>579</v>
      </c>
      <c r="I1427" s="24" t="s">
        <v>591</v>
      </c>
      <c r="J1427" s="24" t="s">
        <v>592</v>
      </c>
      <c r="K1427" s="24" t="s">
        <v>595</v>
      </c>
    </row>
    <row r="1428" spans="1:11">
      <c r="A1428" s="12">
        <v>2016</v>
      </c>
      <c r="B1428" s="15" t="s">
        <v>160</v>
      </c>
      <c r="C1428" s="15" t="s">
        <v>183</v>
      </c>
      <c r="D1428" s="15" t="s">
        <v>184</v>
      </c>
      <c r="E1428" s="19">
        <v>537846</v>
      </c>
      <c r="F1428" s="19">
        <v>417187</v>
      </c>
      <c r="G1428" s="20">
        <f t="shared" si="22"/>
        <v>0.43682993153116173</v>
      </c>
      <c r="H1428" s="24" t="s">
        <v>579</v>
      </c>
      <c r="I1428" s="24" t="s">
        <v>591</v>
      </c>
      <c r="J1428" s="24" t="s">
        <v>592</v>
      </c>
      <c r="K1428" s="24" t="s">
        <v>595</v>
      </c>
    </row>
    <row r="1429" spans="1:11">
      <c r="A1429" s="12">
        <v>2016</v>
      </c>
      <c r="B1429" s="15" t="s">
        <v>160</v>
      </c>
      <c r="C1429" s="15" t="s">
        <v>185</v>
      </c>
      <c r="D1429" s="15" t="s">
        <v>186</v>
      </c>
      <c r="E1429" s="19">
        <v>80829</v>
      </c>
      <c r="F1429" s="19">
        <v>57470</v>
      </c>
      <c r="G1429" s="20">
        <f t="shared" si="22"/>
        <v>0.41554891937034977</v>
      </c>
      <c r="H1429" s="24" t="s">
        <v>579</v>
      </c>
      <c r="I1429" s="24" t="s">
        <v>591</v>
      </c>
      <c r="J1429" s="24" t="s">
        <v>592</v>
      </c>
      <c r="K1429" s="24" t="s">
        <v>595</v>
      </c>
    </row>
    <row r="1430" spans="1:11">
      <c r="A1430" s="12">
        <v>2016</v>
      </c>
      <c r="B1430" s="15" t="s">
        <v>160</v>
      </c>
      <c r="C1430" s="15" t="s">
        <v>187</v>
      </c>
      <c r="D1430" s="15" t="s">
        <v>188</v>
      </c>
      <c r="E1430" s="19">
        <v>728927</v>
      </c>
      <c r="F1430" s="19">
        <v>399991</v>
      </c>
      <c r="G1430" s="20">
        <f t="shared" si="22"/>
        <v>0.35431359939340146</v>
      </c>
      <c r="H1430" s="24" t="s">
        <v>579</v>
      </c>
      <c r="I1430" s="24" t="s">
        <v>580</v>
      </c>
      <c r="J1430" s="24" t="s">
        <v>581</v>
      </c>
      <c r="K1430" s="24" t="s">
        <v>595</v>
      </c>
    </row>
    <row r="1431" spans="1:11">
      <c r="A1431" s="12">
        <v>2016</v>
      </c>
      <c r="B1431" s="15" t="s">
        <v>160</v>
      </c>
      <c r="C1431" s="15" t="s">
        <v>195</v>
      </c>
      <c r="D1431" s="15" t="s">
        <v>196</v>
      </c>
      <c r="E1431" s="19">
        <v>425599</v>
      </c>
      <c r="F1431" s="19">
        <v>279600</v>
      </c>
      <c r="G1431" s="20">
        <f t="shared" si="22"/>
        <v>0.39648382938716586</v>
      </c>
      <c r="H1431" s="24" t="s">
        <v>579</v>
      </c>
      <c r="I1431" s="24" t="s">
        <v>580</v>
      </c>
      <c r="J1431" s="24" t="s">
        <v>581</v>
      </c>
      <c r="K1431" s="24" t="s">
        <v>595</v>
      </c>
    </row>
    <row r="1432" spans="1:11">
      <c r="A1432" s="12">
        <v>2016</v>
      </c>
      <c r="B1432" s="15" t="s">
        <v>160</v>
      </c>
      <c r="C1432" s="15" t="s">
        <v>197</v>
      </c>
      <c r="D1432" s="15" t="s">
        <v>198</v>
      </c>
      <c r="E1432" s="19">
        <v>161076</v>
      </c>
      <c r="F1432" s="19">
        <v>179192</v>
      </c>
      <c r="G1432" s="20">
        <f t="shared" si="22"/>
        <v>0.52662019349453959</v>
      </c>
      <c r="H1432" s="24" t="s">
        <v>579</v>
      </c>
      <c r="I1432" s="24" t="s">
        <v>580</v>
      </c>
      <c r="J1432" s="24" t="s">
        <v>581</v>
      </c>
      <c r="K1432" s="24" t="s">
        <v>595</v>
      </c>
    </row>
    <row r="1433" spans="1:11">
      <c r="A1433" s="12">
        <v>2016</v>
      </c>
      <c r="B1433" s="15" t="s">
        <v>160</v>
      </c>
      <c r="C1433" s="15" t="s">
        <v>199</v>
      </c>
      <c r="D1433" s="15" t="s">
        <v>200</v>
      </c>
      <c r="E1433" s="19">
        <v>179202</v>
      </c>
      <c r="F1433" s="19">
        <v>177586</v>
      </c>
      <c r="G1433" s="20">
        <f t="shared" si="22"/>
        <v>0.49773534984360462</v>
      </c>
      <c r="H1433" s="24" t="s">
        <v>579</v>
      </c>
      <c r="I1433" s="24" t="s">
        <v>580</v>
      </c>
      <c r="J1433" s="24" t="s">
        <v>581</v>
      </c>
      <c r="K1433" s="24" t="s">
        <v>595</v>
      </c>
    </row>
    <row r="1434" spans="1:11">
      <c r="A1434" s="12">
        <v>2016</v>
      </c>
      <c r="B1434" s="15" t="s">
        <v>160</v>
      </c>
      <c r="C1434" s="15" t="s">
        <v>201</v>
      </c>
      <c r="D1434" s="15" t="s">
        <v>202</v>
      </c>
      <c r="E1434" s="19">
        <v>269406</v>
      </c>
      <c r="F1434" s="19">
        <v>273452</v>
      </c>
      <c r="G1434" s="20">
        <f t="shared" si="22"/>
        <v>0.5037265730633057</v>
      </c>
      <c r="H1434" s="24" t="s">
        <v>579</v>
      </c>
      <c r="I1434" s="24" t="s">
        <v>580</v>
      </c>
      <c r="J1434" s="24" t="s">
        <v>581</v>
      </c>
      <c r="K1434" s="24" t="s">
        <v>595</v>
      </c>
    </row>
    <row r="1435" spans="1:11">
      <c r="A1435" s="12">
        <v>2016</v>
      </c>
      <c r="B1435" s="15" t="s">
        <v>160</v>
      </c>
      <c r="C1435" s="15" t="s">
        <v>203</v>
      </c>
      <c r="D1435" s="15" t="s">
        <v>204</v>
      </c>
      <c r="E1435" s="19">
        <v>273643</v>
      </c>
      <c r="F1435" s="19">
        <v>242983</v>
      </c>
      <c r="G1435" s="20">
        <f t="shared" si="22"/>
        <v>0.47032669668193239</v>
      </c>
      <c r="H1435" s="24" t="s">
        <v>579</v>
      </c>
      <c r="I1435" s="24" t="s">
        <v>580</v>
      </c>
      <c r="J1435" s="24" t="s">
        <v>581</v>
      </c>
      <c r="K1435" s="24" t="s">
        <v>595</v>
      </c>
    </row>
    <row r="1436" spans="1:11">
      <c r="A1436" s="12">
        <v>2016</v>
      </c>
      <c r="B1436" s="15" t="s">
        <v>160</v>
      </c>
      <c r="C1436" s="15" t="s">
        <v>205</v>
      </c>
      <c r="D1436" s="15" t="s">
        <v>206</v>
      </c>
      <c r="E1436" s="19">
        <v>239099</v>
      </c>
      <c r="F1436" s="19">
        <v>201811</v>
      </c>
      <c r="G1436" s="20">
        <f t="shared" si="22"/>
        <v>0.45771472636138893</v>
      </c>
      <c r="H1436" s="24" t="s">
        <v>579</v>
      </c>
      <c r="I1436" s="24" t="s">
        <v>580</v>
      </c>
      <c r="J1436" s="24" t="s">
        <v>581</v>
      </c>
      <c r="K1436" s="24" t="s">
        <v>595</v>
      </c>
    </row>
    <row r="1437" spans="1:11">
      <c r="A1437" s="12">
        <v>2016</v>
      </c>
      <c r="B1437" s="15" t="s">
        <v>160</v>
      </c>
      <c r="C1437" s="15" t="s">
        <v>207</v>
      </c>
      <c r="D1437" s="15" t="s">
        <v>208</v>
      </c>
      <c r="E1437" s="19">
        <v>154614</v>
      </c>
      <c r="F1437" s="19">
        <v>146187</v>
      </c>
      <c r="G1437" s="20">
        <f t="shared" si="22"/>
        <v>0.48599240029122243</v>
      </c>
      <c r="H1437" s="24" t="s">
        <v>579</v>
      </c>
      <c r="I1437" s="24" t="s">
        <v>580</v>
      </c>
      <c r="J1437" s="24" t="s">
        <v>581</v>
      </c>
      <c r="K1437" s="24" t="s">
        <v>595</v>
      </c>
    </row>
    <row r="1438" spans="1:11">
      <c r="A1438" s="12">
        <v>2016</v>
      </c>
      <c r="B1438" s="15" t="s">
        <v>160</v>
      </c>
      <c r="C1438" s="15" t="s">
        <v>209</v>
      </c>
      <c r="D1438" s="15" t="s">
        <v>210</v>
      </c>
      <c r="E1438" s="19">
        <v>341335</v>
      </c>
      <c r="F1438" s="19">
        <v>240914</v>
      </c>
      <c r="G1438" s="20">
        <f t="shared" si="22"/>
        <v>0.41376455777510995</v>
      </c>
      <c r="H1438" s="24" t="s">
        <v>579</v>
      </c>
      <c r="I1438" s="24" t="s">
        <v>591</v>
      </c>
      <c r="J1438" s="24" t="s">
        <v>592</v>
      </c>
      <c r="K1438" s="24" t="s">
        <v>595</v>
      </c>
    </row>
    <row r="1439" spans="1:11">
      <c r="A1439" s="12">
        <v>2016</v>
      </c>
      <c r="B1439" s="15" t="s">
        <v>160</v>
      </c>
      <c r="C1439" s="15" t="s">
        <v>211</v>
      </c>
      <c r="D1439" s="15" t="s">
        <v>212</v>
      </c>
      <c r="E1439" s="19">
        <v>284509</v>
      </c>
      <c r="F1439" s="19">
        <v>167743</v>
      </c>
      <c r="G1439" s="20">
        <f t="shared" si="22"/>
        <v>0.37090604353325135</v>
      </c>
      <c r="H1439" s="24" t="s">
        <v>579</v>
      </c>
      <c r="I1439" s="24" t="s">
        <v>591</v>
      </c>
      <c r="J1439" s="24" t="s">
        <v>592</v>
      </c>
      <c r="K1439" s="24" t="s">
        <v>595</v>
      </c>
    </row>
    <row r="1440" spans="1:11">
      <c r="A1440" s="12">
        <v>2016</v>
      </c>
      <c r="B1440" s="15" t="s">
        <v>160</v>
      </c>
      <c r="C1440" s="15" t="s">
        <v>213</v>
      </c>
      <c r="D1440" s="15" t="s">
        <v>214</v>
      </c>
      <c r="E1440" s="19">
        <v>292845</v>
      </c>
      <c r="F1440" s="19">
        <v>261592</v>
      </c>
      <c r="G1440" s="20">
        <f t="shared" si="22"/>
        <v>0.47181555343528658</v>
      </c>
      <c r="H1440" s="24" t="s">
        <v>579</v>
      </c>
      <c r="I1440" s="24" t="s">
        <v>591</v>
      </c>
      <c r="J1440" s="24" t="s">
        <v>592</v>
      </c>
      <c r="K1440" s="24" t="s">
        <v>595</v>
      </c>
    </row>
    <row r="1441" spans="1:11">
      <c r="A1441" s="12">
        <v>2016</v>
      </c>
      <c r="B1441" s="15" t="s">
        <v>160</v>
      </c>
      <c r="C1441" s="15" t="s">
        <v>215</v>
      </c>
      <c r="D1441" s="15" t="s">
        <v>216</v>
      </c>
      <c r="E1441" s="19">
        <v>154807</v>
      </c>
      <c r="F1441" s="19">
        <v>113024</v>
      </c>
      <c r="G1441" s="20">
        <f t="shared" si="22"/>
        <v>0.42199745361813978</v>
      </c>
      <c r="H1441" s="24" t="s">
        <v>579</v>
      </c>
      <c r="I1441" s="24" t="s">
        <v>591</v>
      </c>
      <c r="J1441" s="24" t="s">
        <v>592</v>
      </c>
      <c r="K1441" s="24" t="s">
        <v>595</v>
      </c>
    </row>
    <row r="1442" spans="1:11">
      <c r="A1442" s="12">
        <v>2016</v>
      </c>
      <c r="B1442" s="15" t="s">
        <v>160</v>
      </c>
      <c r="C1442" s="15" t="s">
        <v>217</v>
      </c>
      <c r="D1442" s="15" t="s">
        <v>218</v>
      </c>
      <c r="E1442" s="19">
        <v>286937</v>
      </c>
      <c r="F1442" s="19">
        <v>209550</v>
      </c>
      <c r="G1442" s="20">
        <f t="shared" si="22"/>
        <v>0.42206543172328781</v>
      </c>
      <c r="H1442" s="24" t="s">
        <v>579</v>
      </c>
      <c r="I1442" s="24" t="s">
        <v>580</v>
      </c>
      <c r="J1442" s="24" t="s">
        <v>581</v>
      </c>
      <c r="K1442" s="24" t="s">
        <v>595</v>
      </c>
    </row>
    <row r="1443" spans="1:11">
      <c r="A1443" s="12">
        <v>2016</v>
      </c>
      <c r="B1443" s="15" t="s">
        <v>160</v>
      </c>
      <c r="C1443" s="15" t="s">
        <v>219</v>
      </c>
      <c r="D1443" s="15" t="s">
        <v>220</v>
      </c>
      <c r="E1443" s="19">
        <v>192756</v>
      </c>
      <c r="F1443" s="19">
        <v>174311</v>
      </c>
      <c r="G1443" s="20">
        <f t="shared" si="22"/>
        <v>0.4748751590309126</v>
      </c>
      <c r="H1443" s="24" t="s">
        <v>579</v>
      </c>
      <c r="I1443" s="24" t="s">
        <v>580</v>
      </c>
      <c r="J1443" s="24" t="s">
        <v>581</v>
      </c>
      <c r="K1443" s="24" t="s">
        <v>595</v>
      </c>
    </row>
    <row r="1444" spans="1:11">
      <c r="A1444" s="12">
        <v>2016</v>
      </c>
      <c r="B1444" s="15" t="s">
        <v>160</v>
      </c>
      <c r="C1444" s="15" t="s">
        <v>221</v>
      </c>
      <c r="D1444" s="15" t="s">
        <v>222</v>
      </c>
      <c r="E1444" s="19">
        <v>157453</v>
      </c>
      <c r="F1444" s="19">
        <v>146244</v>
      </c>
      <c r="G1444" s="20">
        <f t="shared" si="22"/>
        <v>0.48154575119280074</v>
      </c>
      <c r="H1444" s="24" t="s">
        <v>579</v>
      </c>
      <c r="I1444" s="24" t="s">
        <v>591</v>
      </c>
      <c r="J1444" s="24" t="s">
        <v>592</v>
      </c>
      <c r="K1444" s="24" t="s">
        <v>595</v>
      </c>
    </row>
    <row r="1445" spans="1:11">
      <c r="A1445" s="12">
        <v>2016</v>
      </c>
      <c r="B1445" s="15" t="s">
        <v>160</v>
      </c>
      <c r="C1445" s="15" t="s">
        <v>223</v>
      </c>
      <c r="D1445" s="15" t="s">
        <v>224</v>
      </c>
      <c r="E1445" s="19">
        <v>82675</v>
      </c>
      <c r="F1445" s="19">
        <v>74093</v>
      </c>
      <c r="G1445" s="20">
        <f t="shared" si="22"/>
        <v>0.47262834251888142</v>
      </c>
      <c r="H1445" s="24" t="s">
        <v>579</v>
      </c>
      <c r="I1445" s="24" t="s">
        <v>591</v>
      </c>
      <c r="J1445" s="24" t="s">
        <v>592</v>
      </c>
      <c r="K1445" s="24" t="s">
        <v>595</v>
      </c>
    </row>
    <row r="1446" spans="1:11">
      <c r="A1446" s="12">
        <v>2016</v>
      </c>
      <c r="B1446" s="15" t="s">
        <v>160</v>
      </c>
      <c r="C1446" s="15" t="s">
        <v>227</v>
      </c>
      <c r="D1446" s="15" t="s">
        <v>228</v>
      </c>
      <c r="E1446" s="19">
        <v>86845</v>
      </c>
      <c r="F1446" s="19">
        <v>69616</v>
      </c>
      <c r="G1446" s="20">
        <f t="shared" si="22"/>
        <v>0.44494155092962462</v>
      </c>
      <c r="H1446" s="24" t="s">
        <v>579</v>
      </c>
      <c r="I1446" s="24" t="s">
        <v>591</v>
      </c>
      <c r="J1446" s="24" t="s">
        <v>592</v>
      </c>
      <c r="K1446" s="24" t="s">
        <v>595</v>
      </c>
    </row>
    <row r="1447" spans="1:11">
      <c r="A1447" s="12">
        <v>2016</v>
      </c>
      <c r="B1447" s="15" t="s">
        <v>160</v>
      </c>
      <c r="C1447" s="15" t="s">
        <v>229</v>
      </c>
      <c r="D1447" s="15" t="s">
        <v>230</v>
      </c>
      <c r="E1447" s="19">
        <v>33055</v>
      </c>
      <c r="F1447" s="19">
        <v>33636</v>
      </c>
      <c r="G1447" s="20">
        <f t="shared" si="22"/>
        <v>0.50435591009281611</v>
      </c>
      <c r="H1447" s="24" t="s">
        <v>579</v>
      </c>
      <c r="I1447" s="24" t="s">
        <v>591</v>
      </c>
      <c r="J1447" s="24" t="s">
        <v>592</v>
      </c>
      <c r="K1447" s="24" t="s">
        <v>595</v>
      </c>
    </row>
    <row r="1448" spans="1:11">
      <c r="A1448" s="12">
        <v>2016</v>
      </c>
      <c r="B1448" s="15" t="s">
        <v>160</v>
      </c>
      <c r="C1448" s="15" t="s">
        <v>231</v>
      </c>
      <c r="D1448" s="15" t="s">
        <v>232</v>
      </c>
      <c r="E1448" s="19">
        <v>175212</v>
      </c>
      <c r="F1448" s="19">
        <v>123281</v>
      </c>
      <c r="G1448" s="20">
        <f t="shared" si="22"/>
        <v>0.41301136040041142</v>
      </c>
      <c r="H1448" s="24" t="s">
        <v>579</v>
      </c>
      <c r="I1448" s="24" t="s">
        <v>591</v>
      </c>
      <c r="J1448" s="24" t="s">
        <v>592</v>
      </c>
      <c r="K1448" s="24" t="s">
        <v>595</v>
      </c>
    </row>
    <row r="1449" spans="1:11">
      <c r="A1449" s="12">
        <v>2016</v>
      </c>
      <c r="B1449" s="15" t="s">
        <v>160</v>
      </c>
      <c r="C1449" s="15" t="s">
        <v>235</v>
      </c>
      <c r="D1449" s="15" t="s">
        <v>236</v>
      </c>
      <c r="E1449" s="19">
        <v>317427</v>
      </c>
      <c r="F1449" s="19">
        <v>303413</v>
      </c>
      <c r="G1449" s="20">
        <f t="shared" si="22"/>
        <v>0.48871367824238127</v>
      </c>
      <c r="H1449" s="24" t="s">
        <v>579</v>
      </c>
      <c r="I1449" s="24" t="s">
        <v>591</v>
      </c>
      <c r="J1449" s="24" t="s">
        <v>592</v>
      </c>
      <c r="K1449" s="24" t="s">
        <v>595</v>
      </c>
    </row>
    <row r="1450" spans="1:11">
      <c r="A1450" s="12">
        <v>2016</v>
      </c>
      <c r="B1450" s="15" t="s">
        <v>160</v>
      </c>
      <c r="C1450" s="15" t="s">
        <v>237</v>
      </c>
      <c r="D1450" s="15" t="s">
        <v>238</v>
      </c>
      <c r="E1450" s="19">
        <v>264386</v>
      </c>
      <c r="F1450" s="19">
        <v>261088</v>
      </c>
      <c r="G1450" s="20">
        <f t="shared" si="22"/>
        <v>0.49686188089229916</v>
      </c>
      <c r="H1450" s="24" t="s">
        <v>579</v>
      </c>
      <c r="I1450" s="24" t="s">
        <v>591</v>
      </c>
      <c r="J1450" s="24" t="s">
        <v>592</v>
      </c>
      <c r="K1450" s="24" t="s">
        <v>595</v>
      </c>
    </row>
    <row r="1451" spans="1:11">
      <c r="A1451" s="12">
        <v>2016</v>
      </c>
      <c r="B1451" s="15" t="s">
        <v>160</v>
      </c>
      <c r="C1451" s="15" t="s">
        <v>239</v>
      </c>
      <c r="D1451" s="15" t="s">
        <v>240</v>
      </c>
      <c r="E1451" s="19">
        <v>178648</v>
      </c>
      <c r="F1451" s="19">
        <v>134332</v>
      </c>
      <c r="G1451" s="20">
        <f t="shared" si="22"/>
        <v>0.42920314397086073</v>
      </c>
      <c r="H1451" s="24" t="s">
        <v>579</v>
      </c>
      <c r="I1451" s="24" t="s">
        <v>591</v>
      </c>
      <c r="J1451" s="24" t="s">
        <v>592</v>
      </c>
      <c r="K1451" s="24" t="s">
        <v>595</v>
      </c>
    </row>
    <row r="1452" spans="1:11">
      <c r="A1452" s="12">
        <v>2016</v>
      </c>
      <c r="B1452" s="15" t="s">
        <v>160</v>
      </c>
      <c r="C1452" s="15" t="s">
        <v>241</v>
      </c>
      <c r="D1452" s="15" t="s">
        <v>242</v>
      </c>
      <c r="E1452" s="19">
        <v>108044</v>
      </c>
      <c r="F1452" s="19">
        <v>128500</v>
      </c>
      <c r="G1452" s="20">
        <f t="shared" si="22"/>
        <v>0.54323931277056281</v>
      </c>
      <c r="H1452" s="24" t="s">
        <v>579</v>
      </c>
      <c r="I1452" s="24" t="s">
        <v>591</v>
      </c>
      <c r="J1452" s="24" t="s">
        <v>592</v>
      </c>
      <c r="K1452" s="24" t="s">
        <v>595</v>
      </c>
    </row>
    <row r="1453" spans="1:11">
      <c r="A1453" s="12">
        <v>2016</v>
      </c>
      <c r="B1453" s="15" t="s">
        <v>160</v>
      </c>
      <c r="C1453" s="15" t="s">
        <v>243</v>
      </c>
      <c r="D1453" s="15" t="s">
        <v>244</v>
      </c>
      <c r="E1453" s="19">
        <v>367032</v>
      </c>
      <c r="F1453" s="19">
        <v>217261</v>
      </c>
      <c r="G1453" s="20">
        <f t="shared" si="22"/>
        <v>0.371835705716139</v>
      </c>
      <c r="H1453" s="24" t="s">
        <v>579</v>
      </c>
      <c r="I1453" s="24" t="s">
        <v>580</v>
      </c>
      <c r="J1453" s="24" t="s">
        <v>581</v>
      </c>
      <c r="K1453" s="24" t="s">
        <v>595</v>
      </c>
    </row>
    <row r="1454" spans="1:11">
      <c r="A1454" s="12">
        <v>2016</v>
      </c>
      <c r="B1454" s="15" t="s">
        <v>160</v>
      </c>
      <c r="C1454" s="15" t="s">
        <v>245</v>
      </c>
      <c r="D1454" s="15" t="s">
        <v>246</v>
      </c>
      <c r="E1454" s="19">
        <v>180730</v>
      </c>
      <c r="F1454" s="19">
        <v>108585</v>
      </c>
      <c r="G1454" s="20">
        <f t="shared" si="22"/>
        <v>0.37531756044449821</v>
      </c>
      <c r="H1454" s="24" t="s">
        <v>579</v>
      </c>
      <c r="I1454" s="24" t="s">
        <v>591</v>
      </c>
      <c r="J1454" s="24" t="s">
        <v>592</v>
      </c>
      <c r="K1454" s="24" t="s">
        <v>595</v>
      </c>
    </row>
    <row r="1455" spans="1:11">
      <c r="A1455" s="12">
        <v>2016</v>
      </c>
      <c r="B1455" s="15" t="s">
        <v>160</v>
      </c>
      <c r="C1455" s="15" t="s">
        <v>247</v>
      </c>
      <c r="D1455" s="15" t="s">
        <v>248</v>
      </c>
      <c r="E1455" s="19">
        <v>355024</v>
      </c>
      <c r="F1455" s="19">
        <v>261710</v>
      </c>
      <c r="G1455" s="20">
        <f t="shared" si="22"/>
        <v>0.42434826035211293</v>
      </c>
      <c r="H1455" s="24" t="s">
        <v>579</v>
      </c>
      <c r="I1455" s="24" t="s">
        <v>591</v>
      </c>
      <c r="J1455" s="24" t="s">
        <v>592</v>
      </c>
      <c r="K1455" s="24" t="s">
        <v>595</v>
      </c>
    </row>
    <row r="1456" spans="1:11">
      <c r="A1456" s="12">
        <v>2016</v>
      </c>
      <c r="B1456" s="15" t="s">
        <v>160</v>
      </c>
      <c r="C1456" s="15" t="s">
        <v>249</v>
      </c>
      <c r="D1456" s="15" t="s">
        <v>250</v>
      </c>
      <c r="E1456" s="19">
        <v>407428</v>
      </c>
      <c r="F1456" s="19">
        <v>225136</v>
      </c>
      <c r="G1456" s="20">
        <f t="shared" si="22"/>
        <v>0.35591023200814464</v>
      </c>
      <c r="H1456" s="24" t="s">
        <v>579</v>
      </c>
      <c r="I1456" s="24" t="s">
        <v>591</v>
      </c>
      <c r="J1456" s="24" t="s">
        <v>592</v>
      </c>
      <c r="K1456" s="24" t="s">
        <v>595</v>
      </c>
    </row>
    <row r="1457" spans="1:11">
      <c r="A1457" s="12">
        <v>2016</v>
      </c>
      <c r="B1457" s="15" t="s">
        <v>160</v>
      </c>
      <c r="C1457" s="15" t="s">
        <v>251</v>
      </c>
      <c r="D1457" s="15" t="s">
        <v>252</v>
      </c>
      <c r="E1457" s="19">
        <v>127328</v>
      </c>
      <c r="F1457" s="19">
        <v>93777</v>
      </c>
      <c r="G1457" s="20">
        <f t="shared" si="22"/>
        <v>0.42412880758010901</v>
      </c>
      <c r="H1457" s="24" t="s">
        <v>579</v>
      </c>
      <c r="I1457" s="24" t="s">
        <v>591</v>
      </c>
      <c r="J1457" s="24" t="s">
        <v>592</v>
      </c>
      <c r="K1457" s="24" t="s">
        <v>595</v>
      </c>
    </row>
    <row r="1458" spans="1:11">
      <c r="A1458" s="12">
        <v>2016</v>
      </c>
      <c r="B1458" s="15" t="s">
        <v>160</v>
      </c>
      <c r="C1458" s="15" t="s">
        <v>253</v>
      </c>
      <c r="D1458" s="15" t="s">
        <v>254</v>
      </c>
      <c r="E1458" s="19">
        <v>138774</v>
      </c>
      <c r="F1458" s="19">
        <v>159599</v>
      </c>
      <c r="G1458" s="20">
        <f t="shared" si="22"/>
        <v>0.53489759462149722</v>
      </c>
      <c r="H1458" s="24" t="s">
        <v>579</v>
      </c>
      <c r="I1458" s="24" t="s">
        <v>591</v>
      </c>
      <c r="J1458" s="24" t="s">
        <v>592</v>
      </c>
      <c r="K1458" s="24" t="s">
        <v>595</v>
      </c>
    </row>
    <row r="1459" spans="1:11">
      <c r="A1459" s="12">
        <v>2016</v>
      </c>
      <c r="B1459" s="15" t="s">
        <v>160</v>
      </c>
      <c r="C1459" s="15" t="s">
        <v>255</v>
      </c>
      <c r="D1459" s="15" t="s">
        <v>256</v>
      </c>
      <c r="E1459" s="19">
        <v>540731</v>
      </c>
      <c r="F1459" s="19">
        <v>416487</v>
      </c>
      <c r="G1459" s="20">
        <f t="shared" si="22"/>
        <v>0.43510151292600013</v>
      </c>
      <c r="H1459" s="24" t="s">
        <v>579</v>
      </c>
      <c r="I1459" s="24" t="s">
        <v>591</v>
      </c>
      <c r="J1459" s="24" t="s">
        <v>592</v>
      </c>
      <c r="K1459" s="24" t="s">
        <v>595</v>
      </c>
    </row>
    <row r="1460" spans="1:11">
      <c r="A1460" s="12">
        <v>2016</v>
      </c>
      <c r="B1460" s="15" t="s">
        <v>257</v>
      </c>
      <c r="C1460" s="15" t="s">
        <v>22</v>
      </c>
      <c r="D1460" s="15" t="s">
        <v>257</v>
      </c>
      <c r="E1460" s="19">
        <v>1360889</v>
      </c>
      <c r="F1460" s="19">
        <v>436645</v>
      </c>
      <c r="G1460" s="20">
        <f t="shared" si="22"/>
        <v>0.24291334684072735</v>
      </c>
      <c r="H1460" s="24" t="s">
        <v>579</v>
      </c>
      <c r="I1460" s="24" t="s">
        <v>591</v>
      </c>
      <c r="J1460" s="24" t="s">
        <v>592</v>
      </c>
      <c r="K1460" s="24" t="s">
        <v>595</v>
      </c>
    </row>
    <row r="1461" spans="1:11">
      <c r="A1461" s="12">
        <v>2016</v>
      </c>
      <c r="B1461" s="15" t="s">
        <v>257</v>
      </c>
      <c r="C1461" s="15" t="s">
        <v>258</v>
      </c>
      <c r="D1461" s="15" t="s">
        <v>259</v>
      </c>
      <c r="E1461" s="19">
        <v>187341</v>
      </c>
      <c r="F1461" s="19">
        <v>57344</v>
      </c>
      <c r="G1461" s="20">
        <f t="shared" si="22"/>
        <v>0.23435846087827206</v>
      </c>
      <c r="H1461" s="24" t="s">
        <v>579</v>
      </c>
      <c r="I1461" s="24" t="s">
        <v>591</v>
      </c>
      <c r="J1461" s="24" t="s">
        <v>592</v>
      </c>
      <c r="K1461" s="24" t="s">
        <v>595</v>
      </c>
    </row>
    <row r="1462" spans="1:11">
      <c r="A1462" s="12">
        <v>2016</v>
      </c>
      <c r="B1462" s="15" t="s">
        <v>257</v>
      </c>
      <c r="C1462" s="15" t="s">
        <v>260</v>
      </c>
      <c r="D1462" s="15" t="s">
        <v>261</v>
      </c>
      <c r="E1462" s="19">
        <v>16565</v>
      </c>
      <c r="F1462" s="19">
        <v>25053</v>
      </c>
      <c r="G1462" s="20">
        <f t="shared" si="22"/>
        <v>0.60197510692488831</v>
      </c>
      <c r="H1462" s="24" t="s">
        <v>579</v>
      </c>
      <c r="I1462" s="24" t="s">
        <v>591</v>
      </c>
      <c r="J1462" s="24" t="s">
        <v>592</v>
      </c>
      <c r="K1462" s="24" t="s">
        <v>595</v>
      </c>
    </row>
    <row r="1463" spans="1:11">
      <c r="A1463" s="12">
        <v>2016</v>
      </c>
      <c r="B1463" s="15" t="s">
        <v>257</v>
      </c>
      <c r="C1463" s="15" t="s">
        <v>262</v>
      </c>
      <c r="D1463" s="15" t="s">
        <v>263</v>
      </c>
      <c r="E1463" s="19">
        <v>81519</v>
      </c>
      <c r="F1463" s="19">
        <v>43606</v>
      </c>
      <c r="G1463" s="20">
        <f t="shared" si="22"/>
        <v>0.34849950049950051</v>
      </c>
      <c r="H1463" s="24" t="s">
        <v>579</v>
      </c>
      <c r="I1463" s="24" t="s">
        <v>591</v>
      </c>
      <c r="J1463" s="24" t="s">
        <v>592</v>
      </c>
      <c r="K1463" s="24" t="s">
        <v>595</v>
      </c>
    </row>
    <row r="1464" spans="1:11">
      <c r="A1464" s="12">
        <v>2016</v>
      </c>
      <c r="B1464" s="15" t="s">
        <v>257</v>
      </c>
      <c r="C1464" s="15" t="s">
        <v>264</v>
      </c>
      <c r="D1464" s="15" t="s">
        <v>265</v>
      </c>
      <c r="E1464" s="19">
        <v>57082</v>
      </c>
      <c r="F1464" s="19">
        <v>41936</v>
      </c>
      <c r="G1464" s="20">
        <f t="shared" si="22"/>
        <v>0.423518956149387</v>
      </c>
      <c r="H1464" s="24" t="s">
        <v>579</v>
      </c>
      <c r="I1464" s="24" t="s">
        <v>591</v>
      </c>
      <c r="J1464" s="24" t="s">
        <v>592</v>
      </c>
      <c r="K1464" s="24" t="s">
        <v>595</v>
      </c>
    </row>
    <row r="1465" spans="1:11">
      <c r="A1465" s="12">
        <v>2016</v>
      </c>
      <c r="B1465" s="15" t="s">
        <v>257</v>
      </c>
      <c r="C1465" s="15" t="s">
        <v>266</v>
      </c>
      <c r="D1465" s="15" t="s">
        <v>267</v>
      </c>
      <c r="E1465" s="19">
        <v>70277</v>
      </c>
      <c r="F1465" s="19">
        <v>36302</v>
      </c>
      <c r="G1465" s="20">
        <f t="shared" si="22"/>
        <v>0.34061118982163463</v>
      </c>
      <c r="H1465" s="24" t="s">
        <v>579</v>
      </c>
      <c r="I1465" s="24" t="s">
        <v>591</v>
      </c>
      <c r="J1465" s="24" t="s">
        <v>592</v>
      </c>
      <c r="K1465" s="24" t="s">
        <v>595</v>
      </c>
    </row>
    <row r="1466" spans="1:11">
      <c r="A1466" s="12">
        <v>2016</v>
      </c>
      <c r="B1466" s="15" t="s">
        <v>257</v>
      </c>
      <c r="C1466" s="15" t="s">
        <v>268</v>
      </c>
      <c r="D1466" s="15" t="s">
        <v>269</v>
      </c>
      <c r="E1466" s="19">
        <v>17883</v>
      </c>
      <c r="F1466" s="19">
        <v>18189</v>
      </c>
      <c r="G1466" s="20">
        <f t="shared" si="22"/>
        <v>0.50424151696606789</v>
      </c>
      <c r="H1466" s="24" t="s">
        <v>579</v>
      </c>
      <c r="I1466" s="24" t="s">
        <v>591</v>
      </c>
      <c r="J1466" s="24" t="s">
        <v>592</v>
      </c>
      <c r="K1466" s="24" t="s">
        <v>595</v>
      </c>
    </row>
    <row r="1467" spans="1:11">
      <c r="A1467" s="12">
        <v>2016</v>
      </c>
      <c r="B1467" s="15" t="s">
        <v>257</v>
      </c>
      <c r="C1467" s="15" t="s">
        <v>270</v>
      </c>
      <c r="D1467" s="15" t="s">
        <v>271</v>
      </c>
      <c r="E1467" s="19">
        <v>17769</v>
      </c>
      <c r="F1467" s="19">
        <v>22509</v>
      </c>
      <c r="G1467" s="20">
        <f t="shared" si="22"/>
        <v>0.55884105467004319</v>
      </c>
      <c r="H1467" s="24" t="s">
        <v>579</v>
      </c>
      <c r="I1467" s="24" t="s">
        <v>591</v>
      </c>
      <c r="J1467" s="24" t="s">
        <v>592</v>
      </c>
      <c r="K1467" s="24" t="s">
        <v>595</v>
      </c>
    </row>
    <row r="1468" spans="1:11">
      <c r="A1468" s="12">
        <v>2016</v>
      </c>
      <c r="B1468" s="15" t="s">
        <v>257</v>
      </c>
      <c r="C1468" s="15" t="s">
        <v>272</v>
      </c>
      <c r="D1468" s="15" t="s">
        <v>273</v>
      </c>
      <c r="E1468" s="19">
        <v>29756</v>
      </c>
      <c r="F1468" s="19">
        <v>28232</v>
      </c>
      <c r="G1468" s="20">
        <f t="shared" si="22"/>
        <v>0.48685935021038834</v>
      </c>
      <c r="H1468" s="24" t="s">
        <v>579</v>
      </c>
      <c r="I1468" s="24" t="s">
        <v>591</v>
      </c>
      <c r="J1468" s="24" t="s">
        <v>592</v>
      </c>
      <c r="K1468" s="24" t="s">
        <v>595</v>
      </c>
    </row>
    <row r="1469" spans="1:11">
      <c r="A1469" s="12">
        <v>2016</v>
      </c>
      <c r="B1469" s="15" t="s">
        <v>257</v>
      </c>
      <c r="C1469" s="15" t="s">
        <v>274</v>
      </c>
      <c r="D1469" s="15" t="s">
        <v>275</v>
      </c>
      <c r="E1469" s="19">
        <v>299192</v>
      </c>
      <c r="F1469" s="19">
        <v>101456</v>
      </c>
      <c r="G1469" s="20">
        <f t="shared" si="22"/>
        <v>0.25322976777620254</v>
      </c>
      <c r="H1469" s="24" t="s">
        <v>579</v>
      </c>
      <c r="I1469" s="24" t="s">
        <v>591</v>
      </c>
      <c r="J1469" s="24" t="s">
        <v>592</v>
      </c>
      <c r="K1469" s="24" t="s">
        <v>595</v>
      </c>
    </row>
    <row r="1470" spans="1:11">
      <c r="A1470" s="12">
        <v>2016</v>
      </c>
      <c r="B1470" s="15" t="s">
        <v>257</v>
      </c>
      <c r="C1470" s="15" t="s">
        <v>276</v>
      </c>
      <c r="D1470" s="15" t="s">
        <v>277</v>
      </c>
      <c r="E1470" s="19">
        <v>24731</v>
      </c>
      <c r="F1470" s="19">
        <v>24175</v>
      </c>
      <c r="G1470" s="20">
        <f t="shared" si="22"/>
        <v>0.49431562589457329</v>
      </c>
      <c r="H1470" s="24" t="s">
        <v>579</v>
      </c>
      <c r="I1470" s="24" t="s">
        <v>591</v>
      </c>
      <c r="J1470" s="24" t="s">
        <v>592</v>
      </c>
      <c r="K1470" s="24" t="s">
        <v>595</v>
      </c>
    </row>
    <row r="1471" spans="1:11">
      <c r="A1471" s="12">
        <v>2016</v>
      </c>
      <c r="B1471" s="15" t="s">
        <v>257</v>
      </c>
      <c r="C1471" s="15" t="s">
        <v>278</v>
      </c>
      <c r="D1471" s="15" t="s">
        <v>279</v>
      </c>
      <c r="E1471" s="19">
        <v>27106</v>
      </c>
      <c r="F1471" s="19">
        <v>29280</v>
      </c>
      <c r="G1471" s="20">
        <f t="shared" si="22"/>
        <v>0.51927783492356261</v>
      </c>
      <c r="H1471" s="24" t="s">
        <v>579</v>
      </c>
      <c r="I1471" s="24" t="s">
        <v>591</v>
      </c>
      <c r="J1471" s="24" t="s">
        <v>592</v>
      </c>
      <c r="K1471" s="24" t="s">
        <v>595</v>
      </c>
    </row>
    <row r="1472" spans="1:11">
      <c r="A1472" s="12">
        <v>2016</v>
      </c>
      <c r="B1472" s="15" t="s">
        <v>257</v>
      </c>
      <c r="C1472" s="15" t="s">
        <v>280</v>
      </c>
      <c r="D1472" s="15" t="s">
        <v>281</v>
      </c>
      <c r="E1472" s="19">
        <v>37468</v>
      </c>
      <c r="F1472" s="19">
        <v>34069</v>
      </c>
      <c r="G1472" s="20">
        <f t="shared" si="22"/>
        <v>0.47624306303031999</v>
      </c>
      <c r="H1472" s="24" t="s">
        <v>579</v>
      </c>
      <c r="I1472" s="24" t="s">
        <v>591</v>
      </c>
      <c r="J1472" s="24" t="s">
        <v>592</v>
      </c>
      <c r="K1472" s="24" t="s">
        <v>595</v>
      </c>
    </row>
    <row r="1473" spans="1:11">
      <c r="A1473" s="12">
        <v>2016</v>
      </c>
      <c r="B1473" s="15" t="s">
        <v>257</v>
      </c>
      <c r="C1473" s="15" t="s">
        <v>282</v>
      </c>
      <c r="D1473" s="15" t="s">
        <v>283</v>
      </c>
      <c r="E1473" s="19">
        <v>248135</v>
      </c>
      <c r="F1473" s="19">
        <v>77408</v>
      </c>
      <c r="G1473" s="20">
        <f t="shared" si="22"/>
        <v>0.23778118405249077</v>
      </c>
      <c r="H1473" s="24" t="s">
        <v>579</v>
      </c>
      <c r="I1473" s="24" t="s">
        <v>591</v>
      </c>
      <c r="J1473" s="24" t="s">
        <v>592</v>
      </c>
      <c r="K1473" s="24" t="s">
        <v>595</v>
      </c>
    </row>
    <row r="1474" spans="1:11">
      <c r="A1474" s="12">
        <v>2016</v>
      </c>
      <c r="B1474" s="15" t="s">
        <v>257</v>
      </c>
      <c r="C1474" s="15" t="s">
        <v>284</v>
      </c>
      <c r="D1474" s="15" t="s">
        <v>285</v>
      </c>
      <c r="E1474" s="19">
        <v>38864</v>
      </c>
      <c r="F1474" s="19">
        <v>26523</v>
      </c>
      <c r="G1474" s="20">
        <f t="shared" si="22"/>
        <v>0.40563108874852799</v>
      </c>
      <c r="H1474" s="24" t="s">
        <v>579</v>
      </c>
      <c r="I1474" s="24" t="s">
        <v>591</v>
      </c>
      <c r="J1474" s="24" t="s">
        <v>592</v>
      </c>
      <c r="K1474" s="24" t="s">
        <v>595</v>
      </c>
    </row>
    <row r="1475" spans="1:11">
      <c r="A1475" s="12">
        <v>2016</v>
      </c>
      <c r="B1475" s="15" t="s">
        <v>257</v>
      </c>
      <c r="C1475" s="15" t="s">
        <v>286</v>
      </c>
      <c r="D1475" s="15" t="s">
        <v>287</v>
      </c>
      <c r="E1475" s="19">
        <v>31902</v>
      </c>
      <c r="F1475" s="19">
        <v>33494</v>
      </c>
      <c r="G1475" s="20">
        <f t="shared" si="22"/>
        <v>0.51217199828735704</v>
      </c>
      <c r="H1475" s="24" t="s">
        <v>579</v>
      </c>
      <c r="I1475" s="24" t="s">
        <v>591</v>
      </c>
      <c r="J1475" s="24" t="s">
        <v>592</v>
      </c>
      <c r="K1475" s="24" t="s">
        <v>595</v>
      </c>
    </row>
    <row r="1476" spans="1:11">
      <c r="A1476" s="12">
        <v>2016</v>
      </c>
      <c r="B1476" s="15" t="s">
        <v>257</v>
      </c>
      <c r="C1476" s="15" t="s">
        <v>288</v>
      </c>
      <c r="D1476" s="15" t="s">
        <v>289</v>
      </c>
      <c r="E1476" s="19">
        <v>56206</v>
      </c>
      <c r="F1476" s="19">
        <v>42030</v>
      </c>
      <c r="G1476" s="20">
        <f t="shared" si="22"/>
        <v>0.42784722504987988</v>
      </c>
      <c r="H1476" s="24" t="s">
        <v>579</v>
      </c>
      <c r="I1476" s="24" t="s">
        <v>591</v>
      </c>
      <c r="J1476" s="24" t="s">
        <v>592</v>
      </c>
      <c r="K1476" s="24" t="s">
        <v>595</v>
      </c>
    </row>
    <row r="1477" spans="1:11">
      <c r="A1477" s="12">
        <v>2016</v>
      </c>
      <c r="B1477" s="15" t="s">
        <v>257</v>
      </c>
      <c r="C1477" s="15" t="s">
        <v>290</v>
      </c>
      <c r="D1477" s="15" t="s">
        <v>291</v>
      </c>
      <c r="E1477" s="19">
        <v>18031</v>
      </c>
      <c r="F1477" s="19">
        <v>21178</v>
      </c>
      <c r="G1477" s="20">
        <f t="shared" si="22"/>
        <v>0.5401310923512459</v>
      </c>
      <c r="H1477" s="24" t="s">
        <v>579</v>
      </c>
      <c r="I1477" s="24" t="s">
        <v>591</v>
      </c>
      <c r="J1477" s="24" t="s">
        <v>592</v>
      </c>
      <c r="K1477" s="24" t="s">
        <v>595</v>
      </c>
    </row>
    <row r="1478" spans="1:11">
      <c r="A1478" s="12">
        <v>2016</v>
      </c>
      <c r="B1478" s="15" t="s">
        <v>257</v>
      </c>
      <c r="C1478" s="15" t="s">
        <v>292</v>
      </c>
      <c r="D1478" s="15" t="s">
        <v>293</v>
      </c>
      <c r="E1478" s="19">
        <v>34213</v>
      </c>
      <c r="F1478" s="19">
        <v>34420</v>
      </c>
      <c r="G1478" s="20">
        <f t="shared" ref="G1478:G1541" si="23">IFERROR(F1478/(E1478+F1478),"")</f>
        <v>0.50150802092287972</v>
      </c>
      <c r="H1478" s="24" t="s">
        <v>579</v>
      </c>
      <c r="I1478" s="24" t="s">
        <v>591</v>
      </c>
      <c r="J1478" s="24" t="s">
        <v>592</v>
      </c>
      <c r="K1478" s="24" t="s">
        <v>595</v>
      </c>
    </row>
    <row r="1479" spans="1:11">
      <c r="A1479" s="12">
        <v>2016</v>
      </c>
      <c r="B1479" s="15" t="s">
        <v>294</v>
      </c>
      <c r="C1479" s="15" t="s">
        <v>22</v>
      </c>
      <c r="D1479" s="15" t="s">
        <v>294</v>
      </c>
      <c r="E1479" s="19">
        <v>1439478</v>
      </c>
      <c r="F1479" s="19">
        <v>487746</v>
      </c>
      <c r="G1479" s="20">
        <f t="shared" si="23"/>
        <v>0.25308215339784063</v>
      </c>
      <c r="H1479" s="24" t="s">
        <v>589</v>
      </c>
      <c r="I1479" s="24" t="s">
        <v>560</v>
      </c>
      <c r="J1479" s="24" t="s">
        <v>590</v>
      </c>
      <c r="K1479" s="24" t="s">
        <v>595</v>
      </c>
    </row>
    <row r="1480" spans="1:11">
      <c r="A1480" s="12">
        <v>2016</v>
      </c>
      <c r="B1480" s="15" t="s">
        <v>294</v>
      </c>
      <c r="C1480" s="15" t="s">
        <v>295</v>
      </c>
      <c r="D1480" s="15" t="s">
        <v>296</v>
      </c>
      <c r="E1480" s="19">
        <v>26170</v>
      </c>
      <c r="F1480" s="19">
        <v>32193</v>
      </c>
      <c r="G1480" s="20">
        <f t="shared" si="23"/>
        <v>0.55159947226838923</v>
      </c>
      <c r="H1480" s="24" t="s">
        <v>589</v>
      </c>
      <c r="I1480" s="24" t="s">
        <v>560</v>
      </c>
      <c r="J1480" s="24" t="s">
        <v>590</v>
      </c>
      <c r="K1480" s="24" t="s">
        <v>595</v>
      </c>
    </row>
    <row r="1481" spans="1:11">
      <c r="A1481" s="12">
        <v>2016</v>
      </c>
      <c r="B1481" s="15" t="s">
        <v>294</v>
      </c>
      <c r="C1481" s="15" t="s">
        <v>297</v>
      </c>
      <c r="D1481" s="15" t="s">
        <v>298</v>
      </c>
      <c r="E1481" s="19">
        <v>22080</v>
      </c>
      <c r="F1481" s="19">
        <v>25060</v>
      </c>
      <c r="G1481" s="20">
        <f t="shared" si="23"/>
        <v>0.53160797624098433</v>
      </c>
      <c r="H1481" s="24" t="s">
        <v>589</v>
      </c>
      <c r="I1481" s="24" t="s">
        <v>560</v>
      </c>
      <c r="J1481" s="24" t="s">
        <v>590</v>
      </c>
      <c r="K1481" s="24" t="s">
        <v>595</v>
      </c>
    </row>
    <row r="1482" spans="1:11">
      <c r="A1482" s="12">
        <v>2016</v>
      </c>
      <c r="B1482" s="15" t="s">
        <v>294</v>
      </c>
      <c r="C1482" s="15" t="s">
        <v>299</v>
      </c>
      <c r="D1482" s="15" t="s">
        <v>300</v>
      </c>
      <c r="E1482" s="19">
        <v>27180</v>
      </c>
      <c r="F1482" s="19">
        <v>24187</v>
      </c>
      <c r="G1482" s="20">
        <f t="shared" si="23"/>
        <v>0.47086650962680321</v>
      </c>
      <c r="H1482" s="24" t="s">
        <v>589</v>
      </c>
      <c r="I1482" s="24" t="s">
        <v>560</v>
      </c>
      <c r="J1482" s="24" t="s">
        <v>590</v>
      </c>
      <c r="K1482" s="24" t="s">
        <v>595</v>
      </c>
    </row>
    <row r="1483" spans="1:11">
      <c r="A1483" s="12">
        <v>2016</v>
      </c>
      <c r="B1483" s="15" t="s">
        <v>294</v>
      </c>
      <c r="C1483" s="15" t="s">
        <v>301</v>
      </c>
      <c r="D1483" s="15" t="s">
        <v>302</v>
      </c>
      <c r="E1483" s="19">
        <v>40471</v>
      </c>
      <c r="F1483" s="19">
        <v>34262</v>
      </c>
      <c r="G1483" s="20">
        <f t="shared" si="23"/>
        <v>0.45845877992319323</v>
      </c>
      <c r="H1483" s="24" t="s">
        <v>589</v>
      </c>
      <c r="I1483" s="24" t="s">
        <v>560</v>
      </c>
      <c r="J1483" s="24" t="s">
        <v>590</v>
      </c>
      <c r="K1483" s="24" t="s">
        <v>595</v>
      </c>
    </row>
    <row r="1484" spans="1:11">
      <c r="A1484" s="12">
        <v>2016</v>
      </c>
      <c r="B1484" s="15" t="s">
        <v>294</v>
      </c>
      <c r="C1484" s="15" t="s">
        <v>303</v>
      </c>
      <c r="D1484" s="15" t="s">
        <v>304</v>
      </c>
      <c r="E1484" s="19">
        <v>43201</v>
      </c>
      <c r="F1484" s="19">
        <v>35364</v>
      </c>
      <c r="G1484" s="20">
        <f t="shared" si="23"/>
        <v>0.45012410106281425</v>
      </c>
      <c r="H1484" s="24" t="s">
        <v>589</v>
      </c>
      <c r="I1484" s="24" t="s">
        <v>560</v>
      </c>
      <c r="J1484" s="24" t="s">
        <v>590</v>
      </c>
      <c r="K1484" s="24" t="s">
        <v>595</v>
      </c>
    </row>
    <row r="1485" spans="1:11">
      <c r="A1485" s="12">
        <v>2016</v>
      </c>
      <c r="B1485" s="15" t="s">
        <v>294</v>
      </c>
      <c r="C1485" s="15" t="s">
        <v>305</v>
      </c>
      <c r="D1485" s="15" t="s">
        <v>306</v>
      </c>
      <c r="E1485" s="19">
        <v>82528</v>
      </c>
      <c r="F1485" s="19">
        <v>73042</v>
      </c>
      <c r="G1485" s="20">
        <f t="shared" si="23"/>
        <v>0.46951211673201776</v>
      </c>
      <c r="H1485" s="24" t="s">
        <v>589</v>
      </c>
      <c r="I1485" s="24" t="s">
        <v>560</v>
      </c>
      <c r="J1485" s="24" t="s">
        <v>590</v>
      </c>
      <c r="K1485" s="24" t="s">
        <v>595</v>
      </c>
    </row>
    <row r="1486" spans="1:11">
      <c r="A1486" s="12">
        <v>2016</v>
      </c>
      <c r="B1486" s="15" t="s">
        <v>294</v>
      </c>
      <c r="C1486" s="15" t="s">
        <v>307</v>
      </c>
      <c r="D1486" s="15" t="s">
        <v>308</v>
      </c>
      <c r="E1486" s="19">
        <v>119699</v>
      </c>
      <c r="F1486" s="19">
        <v>58449</v>
      </c>
      <c r="G1486" s="20">
        <f t="shared" si="23"/>
        <v>0.32809237263398972</v>
      </c>
      <c r="H1486" s="24" t="s">
        <v>589</v>
      </c>
      <c r="I1486" s="24" t="s">
        <v>560</v>
      </c>
      <c r="J1486" s="24" t="s">
        <v>590</v>
      </c>
      <c r="K1486" s="24" t="s">
        <v>595</v>
      </c>
    </row>
    <row r="1487" spans="1:11">
      <c r="A1487" s="12">
        <v>2016</v>
      </c>
      <c r="B1487" s="15" t="s">
        <v>294</v>
      </c>
      <c r="C1487" s="15" t="s">
        <v>309</v>
      </c>
      <c r="D1487" s="15" t="s">
        <v>310</v>
      </c>
      <c r="E1487" s="19">
        <v>30119</v>
      </c>
      <c r="F1487" s="19">
        <v>27328</v>
      </c>
      <c r="G1487" s="20">
        <f t="shared" si="23"/>
        <v>0.47570804393614985</v>
      </c>
      <c r="H1487" s="24" t="s">
        <v>589</v>
      </c>
      <c r="I1487" s="24" t="s">
        <v>560</v>
      </c>
      <c r="J1487" s="24" t="s">
        <v>590</v>
      </c>
      <c r="K1487" s="24" t="s">
        <v>595</v>
      </c>
    </row>
    <row r="1488" spans="1:11">
      <c r="A1488" s="12">
        <v>2016</v>
      </c>
      <c r="B1488" s="15" t="s">
        <v>294</v>
      </c>
      <c r="C1488" s="15" t="s">
        <v>311</v>
      </c>
      <c r="D1488" s="15" t="s">
        <v>312</v>
      </c>
      <c r="E1488" s="19">
        <v>57998</v>
      </c>
      <c r="F1488" s="19">
        <v>47259</v>
      </c>
      <c r="G1488" s="20">
        <f t="shared" si="23"/>
        <v>0.44898676572579493</v>
      </c>
      <c r="H1488" s="24" t="s">
        <v>589</v>
      </c>
      <c r="I1488" s="24" t="s">
        <v>560</v>
      </c>
      <c r="J1488" s="24" t="s">
        <v>590</v>
      </c>
      <c r="K1488" s="24" t="s">
        <v>595</v>
      </c>
    </row>
    <row r="1489" spans="1:11">
      <c r="A1489" s="12">
        <v>2016</v>
      </c>
      <c r="B1489" s="15" t="s">
        <v>294</v>
      </c>
      <c r="C1489" s="15" t="s">
        <v>315</v>
      </c>
      <c r="D1489" s="15" t="s">
        <v>316</v>
      </c>
      <c r="E1489" s="19">
        <v>145716</v>
      </c>
      <c r="F1489" s="19">
        <v>113787</v>
      </c>
      <c r="G1489" s="20">
        <f t="shared" si="23"/>
        <v>0.43848047999445094</v>
      </c>
      <c r="H1489" s="24" t="s">
        <v>589</v>
      </c>
      <c r="I1489" s="24" t="s">
        <v>560</v>
      </c>
      <c r="J1489" s="24" t="s">
        <v>590</v>
      </c>
      <c r="K1489" s="24" t="s">
        <v>595</v>
      </c>
    </row>
    <row r="1490" spans="1:11">
      <c r="A1490" s="12">
        <v>2016</v>
      </c>
      <c r="B1490" s="15" t="s">
        <v>294</v>
      </c>
      <c r="C1490" s="15" t="s">
        <v>317</v>
      </c>
      <c r="D1490" s="15" t="s">
        <v>318</v>
      </c>
      <c r="E1490" s="19">
        <v>173531</v>
      </c>
      <c r="F1490" s="19">
        <v>166368</v>
      </c>
      <c r="G1490" s="20">
        <f t="shared" si="23"/>
        <v>0.48946304637554094</v>
      </c>
      <c r="H1490" s="24" t="s">
        <v>589</v>
      </c>
      <c r="I1490" s="24" t="s">
        <v>560</v>
      </c>
      <c r="J1490" s="24" t="s">
        <v>590</v>
      </c>
      <c r="K1490" s="24" t="s">
        <v>595</v>
      </c>
    </row>
    <row r="1491" spans="1:11">
      <c r="A1491" s="12">
        <v>2016</v>
      </c>
      <c r="B1491" s="15" t="s">
        <v>294</v>
      </c>
      <c r="C1491" s="15" t="s">
        <v>319</v>
      </c>
      <c r="D1491" s="15" t="s">
        <v>320</v>
      </c>
      <c r="E1491" s="19">
        <v>160605</v>
      </c>
      <c r="F1491" s="19">
        <v>127271</v>
      </c>
      <c r="G1491" s="20">
        <f t="shared" si="23"/>
        <v>0.44210354458169487</v>
      </c>
      <c r="H1491" s="24" t="s">
        <v>589</v>
      </c>
      <c r="I1491" s="24" t="s">
        <v>560</v>
      </c>
      <c r="J1491" s="24" t="s">
        <v>590</v>
      </c>
      <c r="K1491" s="24" t="s">
        <v>595</v>
      </c>
    </row>
    <row r="1492" spans="1:11">
      <c r="A1492" s="12">
        <v>2016</v>
      </c>
      <c r="B1492" s="15" t="s">
        <v>294</v>
      </c>
      <c r="C1492" s="15" t="s">
        <v>321</v>
      </c>
      <c r="D1492" s="15" t="s">
        <v>322</v>
      </c>
      <c r="E1492" s="19">
        <v>209792</v>
      </c>
      <c r="F1492" s="19">
        <v>176543</v>
      </c>
      <c r="G1492" s="20">
        <f t="shared" si="23"/>
        <v>0.45696869297371451</v>
      </c>
      <c r="H1492" s="24" t="s">
        <v>589</v>
      </c>
      <c r="I1492" s="24" t="s">
        <v>560</v>
      </c>
      <c r="J1492" s="24" t="s">
        <v>590</v>
      </c>
      <c r="K1492" s="24" t="s">
        <v>595</v>
      </c>
    </row>
    <row r="1493" spans="1:11">
      <c r="A1493" s="12">
        <v>2016</v>
      </c>
      <c r="B1493" s="15" t="s">
        <v>294</v>
      </c>
      <c r="C1493" s="15" t="s">
        <v>323</v>
      </c>
      <c r="D1493" s="15" t="s">
        <v>324</v>
      </c>
      <c r="E1493" s="19">
        <v>184992</v>
      </c>
      <c r="F1493" s="19">
        <v>77137</v>
      </c>
      <c r="G1493" s="20">
        <f t="shared" si="23"/>
        <v>0.29427114130828713</v>
      </c>
      <c r="H1493" s="24" t="s">
        <v>589</v>
      </c>
      <c r="I1493" s="24" t="s">
        <v>560</v>
      </c>
      <c r="J1493" s="24" t="s">
        <v>590</v>
      </c>
      <c r="K1493" s="24" t="s">
        <v>595</v>
      </c>
    </row>
    <row r="1494" spans="1:11">
      <c r="A1494" s="12">
        <v>2016</v>
      </c>
      <c r="B1494" s="15" t="s">
        <v>325</v>
      </c>
      <c r="C1494" s="15" t="s">
        <v>22</v>
      </c>
      <c r="D1494" s="15" t="s">
        <v>325</v>
      </c>
      <c r="E1494" s="19">
        <v>1879547</v>
      </c>
      <c r="F1494" s="19">
        <v>807722</v>
      </c>
      <c r="G1494" s="20">
        <f t="shared" si="23"/>
        <v>0.30057355627590687</v>
      </c>
      <c r="H1494" s="24" t="s">
        <v>589</v>
      </c>
      <c r="I1494" s="24" t="s">
        <v>560</v>
      </c>
      <c r="J1494" s="24" t="s">
        <v>590</v>
      </c>
      <c r="K1494" s="24" t="s">
        <v>595</v>
      </c>
    </row>
    <row r="1495" spans="1:11">
      <c r="A1495" s="12">
        <v>2016</v>
      </c>
      <c r="B1495" s="15" t="s">
        <v>325</v>
      </c>
      <c r="C1495" s="15" t="s">
        <v>326</v>
      </c>
      <c r="D1495" s="15" t="s">
        <v>327</v>
      </c>
      <c r="E1495" s="19">
        <v>33606</v>
      </c>
      <c r="F1495" s="19">
        <v>33507</v>
      </c>
      <c r="G1495" s="20">
        <f t="shared" si="23"/>
        <v>0.49926243797773906</v>
      </c>
      <c r="H1495" s="24" t="s">
        <v>589</v>
      </c>
      <c r="I1495" s="24" t="s">
        <v>560</v>
      </c>
      <c r="J1495" s="24" t="s">
        <v>590</v>
      </c>
      <c r="K1495" s="24" t="s">
        <v>595</v>
      </c>
    </row>
    <row r="1496" spans="1:11">
      <c r="A1496" s="12">
        <v>2016</v>
      </c>
      <c r="B1496" s="15" t="s">
        <v>325</v>
      </c>
      <c r="C1496" s="15" t="s">
        <v>328</v>
      </c>
      <c r="D1496" s="15" t="s">
        <v>329</v>
      </c>
      <c r="E1496" s="19">
        <v>90785</v>
      </c>
      <c r="F1496" s="19">
        <v>64372</v>
      </c>
      <c r="G1496" s="20">
        <f t="shared" si="23"/>
        <v>0.4148829894880669</v>
      </c>
      <c r="H1496" s="24" t="s">
        <v>589</v>
      </c>
      <c r="I1496" s="24" t="s">
        <v>560</v>
      </c>
      <c r="J1496" s="24" t="s">
        <v>590</v>
      </c>
      <c r="K1496" s="24" t="s">
        <v>595</v>
      </c>
    </row>
    <row r="1497" spans="1:11">
      <c r="A1497" s="12">
        <v>2016</v>
      </c>
      <c r="B1497" s="15" t="s">
        <v>325</v>
      </c>
      <c r="C1497" s="15" t="s">
        <v>330</v>
      </c>
      <c r="D1497" s="15" t="s">
        <v>331</v>
      </c>
      <c r="E1497" s="19">
        <v>43807</v>
      </c>
      <c r="F1497" s="19">
        <v>39330</v>
      </c>
      <c r="G1497" s="20">
        <f t="shared" si="23"/>
        <v>0.47307456367201128</v>
      </c>
      <c r="H1497" s="24" t="s">
        <v>589</v>
      </c>
      <c r="I1497" s="24" t="s">
        <v>560</v>
      </c>
      <c r="J1497" s="24" t="s">
        <v>590</v>
      </c>
      <c r="K1497" s="24" t="s">
        <v>595</v>
      </c>
    </row>
    <row r="1498" spans="1:11">
      <c r="A1498" s="12">
        <v>2016</v>
      </c>
      <c r="B1498" s="15" t="s">
        <v>325</v>
      </c>
      <c r="C1498" s="15" t="s">
        <v>332</v>
      </c>
      <c r="D1498" s="15" t="s">
        <v>333</v>
      </c>
      <c r="E1498" s="19">
        <v>104476</v>
      </c>
      <c r="F1498" s="19">
        <v>69766</v>
      </c>
      <c r="G1498" s="20">
        <f t="shared" si="23"/>
        <v>0.40039714879305793</v>
      </c>
      <c r="H1498" s="24" t="s">
        <v>589</v>
      </c>
      <c r="I1498" s="24" t="s">
        <v>560</v>
      </c>
      <c r="J1498" s="24" t="s">
        <v>590</v>
      </c>
      <c r="K1498" s="24" t="s">
        <v>595</v>
      </c>
    </row>
    <row r="1499" spans="1:11">
      <c r="A1499" s="12">
        <v>2016</v>
      </c>
      <c r="B1499" s="15" t="s">
        <v>325</v>
      </c>
      <c r="C1499" s="15" t="s">
        <v>336</v>
      </c>
      <c r="D1499" s="15" t="s">
        <v>337</v>
      </c>
      <c r="E1499" s="19">
        <v>146226</v>
      </c>
      <c r="F1499" s="19">
        <v>87596</v>
      </c>
      <c r="G1499" s="20">
        <f t="shared" si="23"/>
        <v>0.37462685290520137</v>
      </c>
      <c r="H1499" s="24" t="s">
        <v>589</v>
      </c>
      <c r="I1499" s="24" t="s">
        <v>560</v>
      </c>
      <c r="J1499" s="24" t="s">
        <v>590</v>
      </c>
      <c r="K1499" s="24" t="s">
        <v>595</v>
      </c>
    </row>
    <row r="1500" spans="1:11">
      <c r="A1500" s="12">
        <v>2016</v>
      </c>
      <c r="B1500" s="15" t="s">
        <v>325</v>
      </c>
      <c r="C1500" s="15" t="s">
        <v>338</v>
      </c>
      <c r="D1500" s="15" t="s">
        <v>339</v>
      </c>
      <c r="E1500" s="19">
        <v>89541</v>
      </c>
      <c r="F1500" s="19">
        <v>57478</v>
      </c>
      <c r="G1500" s="20">
        <f t="shared" si="23"/>
        <v>0.39095627095817548</v>
      </c>
      <c r="H1500" s="24" t="s">
        <v>589</v>
      </c>
      <c r="I1500" s="24" t="s">
        <v>560</v>
      </c>
      <c r="J1500" s="24" t="s">
        <v>590</v>
      </c>
      <c r="K1500" s="24" t="s">
        <v>595</v>
      </c>
    </row>
    <row r="1501" spans="1:11">
      <c r="A1501" s="12">
        <v>2016</v>
      </c>
      <c r="B1501" s="15" t="s">
        <v>325</v>
      </c>
      <c r="C1501" s="15" t="s">
        <v>340</v>
      </c>
      <c r="D1501" s="15" t="s">
        <v>341</v>
      </c>
      <c r="E1501" s="19">
        <v>56668</v>
      </c>
      <c r="F1501" s="19">
        <v>49823</v>
      </c>
      <c r="G1501" s="20">
        <f t="shared" si="23"/>
        <v>0.46786113380473465</v>
      </c>
      <c r="H1501" s="24" t="s">
        <v>589</v>
      </c>
      <c r="I1501" s="24" t="s">
        <v>560</v>
      </c>
      <c r="J1501" s="24" t="s">
        <v>590</v>
      </c>
      <c r="K1501" s="24" t="s">
        <v>595</v>
      </c>
    </row>
    <row r="1502" spans="1:11">
      <c r="A1502" s="12">
        <v>2016</v>
      </c>
      <c r="B1502" s="15" t="s">
        <v>325</v>
      </c>
      <c r="C1502" s="15" t="s">
        <v>342</v>
      </c>
      <c r="D1502" s="15" t="s">
        <v>343</v>
      </c>
      <c r="E1502" s="19">
        <v>150753</v>
      </c>
      <c r="F1502" s="19">
        <v>81993</v>
      </c>
      <c r="G1502" s="20">
        <f t="shared" si="23"/>
        <v>0.35228532391534118</v>
      </c>
      <c r="H1502" s="24" t="s">
        <v>589</v>
      </c>
      <c r="I1502" s="24" t="s">
        <v>560</v>
      </c>
      <c r="J1502" s="24" t="s">
        <v>590</v>
      </c>
      <c r="K1502" s="24" t="s">
        <v>595</v>
      </c>
    </row>
    <row r="1503" spans="1:11">
      <c r="A1503" s="12">
        <v>2016</v>
      </c>
      <c r="B1503" s="15" t="s">
        <v>325</v>
      </c>
      <c r="C1503" s="15" t="s">
        <v>344</v>
      </c>
      <c r="D1503" s="15" t="s">
        <v>345</v>
      </c>
      <c r="E1503" s="19">
        <v>47387</v>
      </c>
      <c r="F1503" s="19">
        <v>38792</v>
      </c>
      <c r="G1503" s="20">
        <f t="shared" si="23"/>
        <v>0.45013286299446503</v>
      </c>
      <c r="H1503" s="24" t="s">
        <v>589</v>
      </c>
      <c r="I1503" s="24" t="s">
        <v>560</v>
      </c>
      <c r="J1503" s="24" t="s">
        <v>590</v>
      </c>
      <c r="K1503" s="24" t="s">
        <v>595</v>
      </c>
    </row>
    <row r="1504" spans="1:11">
      <c r="A1504" s="12">
        <v>2016</v>
      </c>
      <c r="B1504" s="15" t="s">
        <v>325</v>
      </c>
      <c r="C1504" s="15" t="s">
        <v>346</v>
      </c>
      <c r="D1504" s="15" t="s">
        <v>347</v>
      </c>
      <c r="E1504" s="19">
        <v>257385</v>
      </c>
      <c r="F1504" s="19">
        <v>187616</v>
      </c>
      <c r="G1504" s="20">
        <f t="shared" si="23"/>
        <v>0.42160804133024421</v>
      </c>
      <c r="H1504" s="24" t="s">
        <v>589</v>
      </c>
      <c r="I1504" s="24" t="s">
        <v>560</v>
      </c>
      <c r="J1504" s="24" t="s">
        <v>590</v>
      </c>
      <c r="K1504" s="24" t="s">
        <v>595</v>
      </c>
    </row>
    <row r="1505" spans="1:11">
      <c r="A1505" s="12">
        <v>2016</v>
      </c>
      <c r="B1505" s="15" t="s">
        <v>325</v>
      </c>
      <c r="C1505" s="15" t="s">
        <v>350</v>
      </c>
      <c r="D1505" s="15" t="s">
        <v>351</v>
      </c>
      <c r="E1505" s="19">
        <v>66958</v>
      </c>
      <c r="F1505" s="19">
        <v>54219</v>
      </c>
      <c r="G1505" s="20">
        <f t="shared" si="23"/>
        <v>0.447436394695363</v>
      </c>
      <c r="H1505" s="24" t="s">
        <v>589</v>
      </c>
      <c r="I1505" s="24" t="s">
        <v>560</v>
      </c>
      <c r="J1505" s="24" t="s">
        <v>590</v>
      </c>
      <c r="K1505" s="24" t="s">
        <v>595</v>
      </c>
    </row>
    <row r="1506" spans="1:11">
      <c r="A1506" s="12">
        <v>2016</v>
      </c>
      <c r="B1506" s="15" t="s">
        <v>325</v>
      </c>
      <c r="C1506" s="15" t="s">
        <v>354</v>
      </c>
      <c r="D1506" s="15" t="s">
        <v>355</v>
      </c>
      <c r="E1506" s="19">
        <v>206702</v>
      </c>
      <c r="F1506" s="19">
        <v>192938</v>
      </c>
      <c r="G1506" s="20">
        <f t="shared" si="23"/>
        <v>0.48277950155139626</v>
      </c>
      <c r="H1506" s="24" t="s">
        <v>589</v>
      </c>
      <c r="I1506" s="24" t="s">
        <v>560</v>
      </c>
      <c r="J1506" s="24" t="s">
        <v>590</v>
      </c>
      <c r="K1506" s="24" t="s">
        <v>595</v>
      </c>
    </row>
    <row r="1507" spans="1:11">
      <c r="A1507" s="12">
        <v>2016</v>
      </c>
      <c r="B1507" s="15" t="s">
        <v>325</v>
      </c>
      <c r="C1507" s="15" t="s">
        <v>356</v>
      </c>
      <c r="D1507" s="15" t="s">
        <v>357</v>
      </c>
      <c r="E1507" s="19">
        <v>306383</v>
      </c>
      <c r="F1507" s="19">
        <v>237934</v>
      </c>
      <c r="G1507" s="20">
        <f t="shared" si="23"/>
        <v>0.4371239553421995</v>
      </c>
      <c r="H1507" s="24" t="s">
        <v>589</v>
      </c>
      <c r="I1507" s="24" t="s">
        <v>560</v>
      </c>
      <c r="J1507" s="24" t="s">
        <v>590</v>
      </c>
      <c r="K1507" s="24" t="s">
        <v>595</v>
      </c>
    </row>
    <row r="1508" spans="1:11">
      <c r="A1508" s="12">
        <v>2016</v>
      </c>
      <c r="B1508" s="15" t="s">
        <v>325</v>
      </c>
      <c r="C1508" s="15" t="s">
        <v>358</v>
      </c>
      <c r="D1508" s="15" t="s">
        <v>359</v>
      </c>
      <c r="E1508" s="19">
        <v>24198</v>
      </c>
      <c r="F1508" s="19">
        <v>27028</v>
      </c>
      <c r="G1508" s="20">
        <f t="shared" si="23"/>
        <v>0.52762269160192088</v>
      </c>
      <c r="H1508" s="24" t="s">
        <v>589</v>
      </c>
      <c r="I1508" s="24" t="s">
        <v>560</v>
      </c>
      <c r="J1508" s="24" t="s">
        <v>590</v>
      </c>
      <c r="K1508" s="24" t="s">
        <v>595</v>
      </c>
    </row>
    <row r="1509" spans="1:11">
      <c r="A1509" s="12">
        <v>2016</v>
      </c>
      <c r="B1509" s="15" t="s">
        <v>325</v>
      </c>
      <c r="C1509" s="15" t="s">
        <v>360</v>
      </c>
      <c r="D1509" s="15" t="s">
        <v>361</v>
      </c>
      <c r="E1509" s="19">
        <v>52292</v>
      </c>
      <c r="F1509" s="19">
        <v>45093</v>
      </c>
      <c r="G1509" s="20">
        <f t="shared" si="23"/>
        <v>0.46303845561431434</v>
      </c>
      <c r="H1509" s="24" t="s">
        <v>589</v>
      </c>
      <c r="I1509" s="24" t="s">
        <v>560</v>
      </c>
      <c r="J1509" s="24" t="s">
        <v>590</v>
      </c>
      <c r="K1509" s="24" t="s">
        <v>595</v>
      </c>
    </row>
    <row r="1510" spans="1:11">
      <c r="A1510" s="12">
        <v>2016</v>
      </c>
      <c r="B1510" s="15" t="s">
        <v>325</v>
      </c>
      <c r="C1510" s="15" t="s">
        <v>362</v>
      </c>
      <c r="D1510" s="15" t="s">
        <v>363</v>
      </c>
      <c r="E1510" s="19">
        <v>85923</v>
      </c>
      <c r="F1510" s="19">
        <v>54623</v>
      </c>
      <c r="G1510" s="20">
        <f t="shared" si="23"/>
        <v>0.38864855634454198</v>
      </c>
      <c r="H1510" s="24" t="s">
        <v>589</v>
      </c>
      <c r="I1510" s="24" t="s">
        <v>560</v>
      </c>
      <c r="J1510" s="24" t="s">
        <v>590</v>
      </c>
      <c r="K1510" s="24" t="s">
        <v>595</v>
      </c>
    </row>
    <row r="1511" spans="1:11">
      <c r="A1511" s="12">
        <v>2016</v>
      </c>
      <c r="B1511" s="15" t="s">
        <v>364</v>
      </c>
      <c r="C1511" s="15" t="s">
        <v>22</v>
      </c>
      <c r="D1511" s="15" t="s">
        <v>364</v>
      </c>
      <c r="E1511" s="19">
        <v>1708128</v>
      </c>
      <c r="F1511" s="19">
        <v>409618</v>
      </c>
      <c r="G1511" s="20">
        <f t="shared" si="23"/>
        <v>0.19342168513126692</v>
      </c>
      <c r="H1511" s="24" t="s">
        <v>586</v>
      </c>
      <c r="I1511" s="24" t="s">
        <v>587</v>
      </c>
      <c r="J1511" s="24" t="s">
        <v>588</v>
      </c>
      <c r="K1511" s="24" t="s">
        <v>595</v>
      </c>
    </row>
    <row r="1512" spans="1:11">
      <c r="A1512" s="12">
        <v>2016</v>
      </c>
      <c r="B1512" s="15" t="s">
        <v>364</v>
      </c>
      <c r="C1512" s="15" t="s">
        <v>365</v>
      </c>
      <c r="D1512" s="15" t="s">
        <v>366</v>
      </c>
      <c r="E1512" s="19">
        <v>47243</v>
      </c>
      <c r="F1512" s="19">
        <v>42562</v>
      </c>
      <c r="G1512" s="20">
        <f t="shared" si="23"/>
        <v>0.47393797672735372</v>
      </c>
      <c r="H1512" s="24" t="s">
        <v>586</v>
      </c>
      <c r="I1512" s="24" t="s">
        <v>587</v>
      </c>
      <c r="J1512" s="24" t="s">
        <v>588</v>
      </c>
      <c r="K1512" s="24" t="s">
        <v>595</v>
      </c>
    </row>
    <row r="1513" spans="1:11">
      <c r="A1513" s="12">
        <v>2016</v>
      </c>
      <c r="B1513" s="15" t="s">
        <v>364</v>
      </c>
      <c r="C1513" s="15" t="s">
        <v>367</v>
      </c>
      <c r="D1513" s="15" t="s">
        <v>368</v>
      </c>
      <c r="E1513" s="19">
        <v>250163</v>
      </c>
      <c r="F1513" s="19">
        <v>104681</v>
      </c>
      <c r="G1513" s="20">
        <f t="shared" si="23"/>
        <v>0.29500569264240062</v>
      </c>
      <c r="H1513" s="24" t="s">
        <v>586</v>
      </c>
      <c r="I1513" s="24" t="s">
        <v>587</v>
      </c>
      <c r="J1513" s="24" t="s">
        <v>588</v>
      </c>
      <c r="K1513" s="24" t="s">
        <v>595</v>
      </c>
    </row>
    <row r="1514" spans="1:11">
      <c r="A1514" s="12">
        <v>2016</v>
      </c>
      <c r="B1514" s="15" t="s">
        <v>364</v>
      </c>
      <c r="C1514" s="15" t="s">
        <v>369</v>
      </c>
      <c r="D1514" s="15" t="s">
        <v>370</v>
      </c>
      <c r="E1514" s="19">
        <v>68126</v>
      </c>
      <c r="F1514" s="19">
        <v>59832</v>
      </c>
      <c r="G1514" s="20">
        <f t="shared" si="23"/>
        <v>0.4675909282733397</v>
      </c>
      <c r="H1514" s="24" t="s">
        <v>586</v>
      </c>
      <c r="I1514" s="24" t="s">
        <v>587</v>
      </c>
      <c r="J1514" s="24" t="s">
        <v>588</v>
      </c>
      <c r="K1514" s="24" t="s">
        <v>595</v>
      </c>
    </row>
    <row r="1515" spans="1:11">
      <c r="A1515" s="12">
        <v>2016</v>
      </c>
      <c r="B1515" s="15" t="s">
        <v>364</v>
      </c>
      <c r="C1515" s="15" t="s">
        <v>371</v>
      </c>
      <c r="D1515" s="15" t="s">
        <v>372</v>
      </c>
      <c r="E1515" s="19">
        <v>73846</v>
      </c>
      <c r="F1515" s="19">
        <v>42196</v>
      </c>
      <c r="G1515" s="20">
        <f t="shared" si="23"/>
        <v>0.36362696265145378</v>
      </c>
      <c r="H1515" s="24" t="s">
        <v>586</v>
      </c>
      <c r="I1515" s="24" t="s">
        <v>587</v>
      </c>
      <c r="J1515" s="24" t="s">
        <v>588</v>
      </c>
      <c r="K1515" s="24" t="s">
        <v>595</v>
      </c>
    </row>
    <row r="1516" spans="1:11">
      <c r="A1516" s="12">
        <v>2016</v>
      </c>
      <c r="B1516" s="15" t="s">
        <v>364</v>
      </c>
      <c r="C1516" s="15" t="s">
        <v>373</v>
      </c>
      <c r="D1516" s="15" t="s">
        <v>374</v>
      </c>
      <c r="E1516" s="19">
        <v>19921</v>
      </c>
      <c r="F1516" s="19">
        <v>19607</v>
      </c>
      <c r="G1516" s="20">
        <f t="shared" si="23"/>
        <v>0.49602813195709372</v>
      </c>
      <c r="H1516" s="24" t="s">
        <v>586</v>
      </c>
      <c r="I1516" s="24" t="s">
        <v>587</v>
      </c>
      <c r="J1516" s="24" t="s">
        <v>588</v>
      </c>
      <c r="K1516" s="24" t="s">
        <v>595</v>
      </c>
    </row>
    <row r="1517" spans="1:11">
      <c r="A1517" s="12">
        <v>2016</v>
      </c>
      <c r="B1517" s="15" t="s">
        <v>364</v>
      </c>
      <c r="C1517" s="15" t="s">
        <v>375</v>
      </c>
      <c r="D1517" s="15" t="s">
        <v>376</v>
      </c>
      <c r="E1517" s="19">
        <v>46811</v>
      </c>
      <c r="F1517" s="19">
        <v>35066</v>
      </c>
      <c r="G1517" s="20">
        <f t="shared" si="23"/>
        <v>0.42827656118323826</v>
      </c>
      <c r="H1517" s="24" t="s">
        <v>586</v>
      </c>
      <c r="I1517" s="24" t="s">
        <v>587</v>
      </c>
      <c r="J1517" s="24" t="s">
        <v>588</v>
      </c>
      <c r="K1517" s="24" t="s">
        <v>595</v>
      </c>
    </row>
    <row r="1518" spans="1:11">
      <c r="A1518" s="12">
        <v>2016</v>
      </c>
      <c r="B1518" s="15" t="s">
        <v>364</v>
      </c>
      <c r="C1518" s="15" t="s">
        <v>377</v>
      </c>
      <c r="D1518" s="15" t="s">
        <v>378</v>
      </c>
      <c r="E1518" s="19">
        <v>22351</v>
      </c>
      <c r="F1518" s="19">
        <v>24179</v>
      </c>
      <c r="G1518" s="20">
        <f t="shared" si="23"/>
        <v>0.51964324091983671</v>
      </c>
      <c r="H1518" s="24" t="s">
        <v>586</v>
      </c>
      <c r="I1518" s="24" t="s">
        <v>587</v>
      </c>
      <c r="J1518" s="24" t="s">
        <v>588</v>
      </c>
      <c r="K1518" s="24" t="s">
        <v>595</v>
      </c>
    </row>
    <row r="1519" spans="1:11">
      <c r="A1519" s="12">
        <v>2016</v>
      </c>
      <c r="B1519" s="15" t="s">
        <v>364</v>
      </c>
      <c r="C1519" s="15" t="s">
        <v>379</v>
      </c>
      <c r="D1519" s="15" t="s">
        <v>380</v>
      </c>
      <c r="E1519" s="19">
        <v>63687</v>
      </c>
      <c r="F1519" s="19">
        <v>82330</v>
      </c>
      <c r="G1519" s="20">
        <f t="shared" si="23"/>
        <v>0.56383845716594638</v>
      </c>
      <c r="H1519" s="24" t="s">
        <v>586</v>
      </c>
      <c r="I1519" s="24" t="s">
        <v>587</v>
      </c>
      <c r="J1519" s="24" t="s">
        <v>588</v>
      </c>
      <c r="K1519" s="24" t="s">
        <v>595</v>
      </c>
    </row>
    <row r="1520" spans="1:11">
      <c r="A1520" s="12">
        <v>2016</v>
      </c>
      <c r="B1520" s="15" t="s">
        <v>364</v>
      </c>
      <c r="C1520" s="15" t="s">
        <v>381</v>
      </c>
      <c r="D1520" s="15" t="s">
        <v>382</v>
      </c>
      <c r="E1520" s="19">
        <v>266533</v>
      </c>
      <c r="F1520" s="19">
        <v>102639</v>
      </c>
      <c r="G1520" s="20">
        <f t="shared" si="23"/>
        <v>0.27802487729296915</v>
      </c>
      <c r="H1520" s="24" t="s">
        <v>586</v>
      </c>
      <c r="I1520" s="24" t="s">
        <v>587</v>
      </c>
      <c r="J1520" s="24" t="s">
        <v>588</v>
      </c>
      <c r="K1520" s="24" t="s">
        <v>595</v>
      </c>
    </row>
    <row r="1521" spans="1:11">
      <c r="A1521" s="12">
        <v>2016</v>
      </c>
      <c r="B1521" s="15" t="s">
        <v>364</v>
      </c>
      <c r="C1521" s="15" t="s">
        <v>383</v>
      </c>
      <c r="D1521" s="15" t="s">
        <v>384</v>
      </c>
      <c r="E1521" s="19">
        <v>20572</v>
      </c>
      <c r="F1521" s="19">
        <v>25614</v>
      </c>
      <c r="G1521" s="20">
        <f t="shared" si="23"/>
        <v>0.55458364006408867</v>
      </c>
      <c r="H1521" s="24" t="s">
        <v>586</v>
      </c>
      <c r="I1521" s="24" t="s">
        <v>587</v>
      </c>
      <c r="J1521" s="24" t="s">
        <v>588</v>
      </c>
      <c r="K1521" s="24" t="s">
        <v>595</v>
      </c>
    </row>
    <row r="1522" spans="1:11">
      <c r="A1522" s="12">
        <v>2016</v>
      </c>
      <c r="B1522" s="15" t="s">
        <v>364</v>
      </c>
      <c r="C1522" s="15" t="s">
        <v>385</v>
      </c>
      <c r="D1522" s="15" t="s">
        <v>386</v>
      </c>
      <c r="E1522" s="19">
        <v>17329</v>
      </c>
      <c r="F1522" s="19">
        <v>20101</v>
      </c>
      <c r="G1522" s="20">
        <f t="shared" si="23"/>
        <v>0.53702912102591505</v>
      </c>
      <c r="H1522" s="24" t="s">
        <v>586</v>
      </c>
      <c r="I1522" s="24" t="s">
        <v>587</v>
      </c>
      <c r="J1522" s="24" t="s">
        <v>588</v>
      </c>
      <c r="K1522" s="24" t="s">
        <v>595</v>
      </c>
    </row>
    <row r="1523" spans="1:11">
      <c r="A1523" s="12">
        <v>2016</v>
      </c>
      <c r="B1523" s="15" t="s">
        <v>364</v>
      </c>
      <c r="C1523" s="15" t="s">
        <v>387</v>
      </c>
      <c r="D1523" s="15" t="s">
        <v>388</v>
      </c>
      <c r="E1523" s="19">
        <v>245667</v>
      </c>
      <c r="F1523" s="19">
        <v>183325</v>
      </c>
      <c r="G1523" s="20">
        <f t="shared" si="23"/>
        <v>0.42733897135610921</v>
      </c>
      <c r="H1523" s="24" t="s">
        <v>586</v>
      </c>
      <c r="I1523" s="24" t="s">
        <v>587</v>
      </c>
      <c r="J1523" s="24" t="s">
        <v>588</v>
      </c>
      <c r="K1523" s="24" t="s">
        <v>595</v>
      </c>
    </row>
    <row r="1524" spans="1:11">
      <c r="A1524" s="12">
        <v>2016</v>
      </c>
      <c r="B1524" s="15" t="s">
        <v>364</v>
      </c>
      <c r="C1524" s="15" t="s">
        <v>389</v>
      </c>
      <c r="D1524" s="15" t="s">
        <v>390</v>
      </c>
      <c r="E1524" s="19">
        <v>316954</v>
      </c>
      <c r="F1524" s="19">
        <v>194029</v>
      </c>
      <c r="G1524" s="20">
        <f t="shared" si="23"/>
        <v>0.3797171334467096</v>
      </c>
      <c r="H1524" s="24" t="s">
        <v>586</v>
      </c>
      <c r="I1524" s="24" t="s">
        <v>587</v>
      </c>
      <c r="J1524" s="24" t="s">
        <v>588</v>
      </c>
      <c r="K1524" s="24" t="s">
        <v>595</v>
      </c>
    </row>
    <row r="1525" spans="1:11">
      <c r="A1525" s="12">
        <v>2016</v>
      </c>
      <c r="B1525" s="15" t="s">
        <v>364</v>
      </c>
      <c r="C1525" s="15" t="s">
        <v>391</v>
      </c>
      <c r="D1525" s="15" t="s">
        <v>392</v>
      </c>
      <c r="E1525" s="19">
        <v>99302</v>
      </c>
      <c r="F1525" s="19">
        <v>60826</v>
      </c>
      <c r="G1525" s="20">
        <f t="shared" si="23"/>
        <v>0.37985861310951241</v>
      </c>
      <c r="H1525" s="24" t="s">
        <v>586</v>
      </c>
      <c r="I1525" s="24" t="s">
        <v>587</v>
      </c>
      <c r="J1525" s="24" t="s">
        <v>588</v>
      </c>
      <c r="K1525" s="24" t="s">
        <v>595</v>
      </c>
    </row>
    <row r="1526" spans="1:11">
      <c r="A1526" s="12">
        <v>2016</v>
      </c>
      <c r="B1526" s="15" t="s">
        <v>364</v>
      </c>
      <c r="C1526" s="15" t="s">
        <v>393</v>
      </c>
      <c r="D1526" s="15" t="s">
        <v>394</v>
      </c>
      <c r="E1526" s="19">
        <v>18740</v>
      </c>
      <c r="F1526" s="19">
        <v>21531</v>
      </c>
      <c r="G1526" s="20">
        <f t="shared" si="23"/>
        <v>0.53465272776936257</v>
      </c>
      <c r="H1526" s="24" t="s">
        <v>586</v>
      </c>
      <c r="I1526" s="24" t="s">
        <v>587</v>
      </c>
      <c r="J1526" s="24" t="s">
        <v>588</v>
      </c>
      <c r="K1526" s="24" t="s">
        <v>595</v>
      </c>
    </row>
    <row r="1527" spans="1:11">
      <c r="A1527" s="12">
        <v>2016</v>
      </c>
      <c r="B1527" s="15" t="s">
        <v>395</v>
      </c>
      <c r="C1527" s="15" t="s">
        <v>22</v>
      </c>
      <c r="D1527" s="15" t="s">
        <v>395</v>
      </c>
      <c r="E1527" s="19">
        <v>1670818</v>
      </c>
      <c r="F1527" s="19">
        <v>771070</v>
      </c>
      <c r="G1527" s="20">
        <f t="shared" si="23"/>
        <v>0.31576796314982503</v>
      </c>
      <c r="H1527" s="24" t="s">
        <v>586</v>
      </c>
      <c r="I1527" s="24" t="s">
        <v>587</v>
      </c>
      <c r="J1527" s="24" t="s">
        <v>588</v>
      </c>
      <c r="K1527" s="24" t="s">
        <v>595</v>
      </c>
    </row>
    <row r="1528" spans="1:11">
      <c r="A1528" s="12">
        <v>2016</v>
      </c>
      <c r="B1528" s="15" t="s">
        <v>395</v>
      </c>
      <c r="C1528" s="15" t="s">
        <v>396</v>
      </c>
      <c r="D1528" s="15" t="s">
        <v>397</v>
      </c>
      <c r="E1528" s="19">
        <v>29975</v>
      </c>
      <c r="F1528" s="19">
        <v>26729</v>
      </c>
      <c r="G1528" s="20">
        <f t="shared" si="23"/>
        <v>0.47137768058690743</v>
      </c>
      <c r="H1528" s="24" t="s">
        <v>586</v>
      </c>
      <c r="I1528" s="24" t="s">
        <v>587</v>
      </c>
      <c r="J1528" s="24" t="s">
        <v>588</v>
      </c>
      <c r="K1528" s="24" t="s">
        <v>595</v>
      </c>
    </row>
    <row r="1529" spans="1:11">
      <c r="A1529" s="12">
        <v>2016</v>
      </c>
      <c r="B1529" s="15" t="s">
        <v>395</v>
      </c>
      <c r="C1529" s="15" t="s">
        <v>398</v>
      </c>
      <c r="D1529" s="15" t="s">
        <v>399</v>
      </c>
      <c r="E1529" s="19">
        <v>56120</v>
      </c>
      <c r="F1529" s="19">
        <v>44696</v>
      </c>
      <c r="G1529" s="20">
        <f t="shared" si="23"/>
        <v>0.44334232661482303</v>
      </c>
      <c r="H1529" s="24" t="s">
        <v>586</v>
      </c>
      <c r="I1529" s="24" t="s">
        <v>587</v>
      </c>
      <c r="J1529" s="24" t="s">
        <v>588</v>
      </c>
      <c r="K1529" s="24" t="s">
        <v>595</v>
      </c>
    </row>
    <row r="1530" spans="1:11">
      <c r="A1530" s="12">
        <v>2016</v>
      </c>
      <c r="B1530" s="15" t="s">
        <v>395</v>
      </c>
      <c r="C1530" s="15" t="s">
        <v>400</v>
      </c>
      <c r="D1530" s="15" t="s">
        <v>401</v>
      </c>
      <c r="E1530" s="19">
        <v>22596</v>
      </c>
      <c r="F1530" s="19">
        <v>24948</v>
      </c>
      <c r="G1530" s="20">
        <f t="shared" si="23"/>
        <v>0.52473498233215543</v>
      </c>
      <c r="H1530" s="24" t="s">
        <v>586</v>
      </c>
      <c r="I1530" s="24" t="s">
        <v>587</v>
      </c>
      <c r="J1530" s="24" t="s">
        <v>588</v>
      </c>
      <c r="K1530" s="24" t="s">
        <v>595</v>
      </c>
    </row>
    <row r="1531" spans="1:11">
      <c r="A1531" s="12">
        <v>2016</v>
      </c>
      <c r="B1531" s="15" t="s">
        <v>395</v>
      </c>
      <c r="C1531" s="15" t="s">
        <v>402</v>
      </c>
      <c r="D1531" s="15" t="s">
        <v>403</v>
      </c>
      <c r="E1531" s="19">
        <v>128385</v>
      </c>
      <c r="F1531" s="19">
        <v>96311</v>
      </c>
      <c r="G1531" s="20">
        <f t="shared" si="23"/>
        <v>0.42862801295973224</v>
      </c>
      <c r="H1531" s="24" t="s">
        <v>586</v>
      </c>
      <c r="I1531" s="24" t="s">
        <v>587</v>
      </c>
      <c r="J1531" s="24" t="s">
        <v>588</v>
      </c>
      <c r="K1531" s="24" t="s">
        <v>595</v>
      </c>
    </row>
    <row r="1532" spans="1:11">
      <c r="A1532" s="12">
        <v>2016</v>
      </c>
      <c r="B1532" s="15" t="s">
        <v>395</v>
      </c>
      <c r="C1532" s="15" t="s">
        <v>404</v>
      </c>
      <c r="D1532" s="15" t="s">
        <v>405</v>
      </c>
      <c r="E1532" s="19">
        <v>21384</v>
      </c>
      <c r="F1532" s="19">
        <v>21291</v>
      </c>
      <c r="G1532" s="20">
        <f t="shared" si="23"/>
        <v>0.4989103690685413</v>
      </c>
      <c r="H1532" s="24" t="s">
        <v>586</v>
      </c>
      <c r="I1532" s="24" t="s">
        <v>587</v>
      </c>
      <c r="J1532" s="24" t="s">
        <v>588</v>
      </c>
      <c r="K1532" s="24" t="s">
        <v>595</v>
      </c>
    </row>
    <row r="1533" spans="1:11">
      <c r="A1533" s="12">
        <v>2016</v>
      </c>
      <c r="B1533" s="15" t="s">
        <v>395</v>
      </c>
      <c r="C1533" s="15" t="s">
        <v>406</v>
      </c>
      <c r="D1533" s="15" t="s">
        <v>407</v>
      </c>
      <c r="E1533" s="19">
        <v>78803</v>
      </c>
      <c r="F1533" s="19">
        <v>75704</v>
      </c>
      <c r="G1533" s="20">
        <f t="shared" si="23"/>
        <v>0.4899713281598892</v>
      </c>
      <c r="H1533" s="24" t="s">
        <v>586</v>
      </c>
      <c r="I1533" s="24" t="s">
        <v>587</v>
      </c>
      <c r="J1533" s="24" t="s">
        <v>588</v>
      </c>
      <c r="K1533" s="24" t="s">
        <v>595</v>
      </c>
    </row>
    <row r="1534" spans="1:11">
      <c r="A1534" s="12">
        <v>2016</v>
      </c>
      <c r="B1534" s="15" t="s">
        <v>395</v>
      </c>
      <c r="C1534" s="15" t="s">
        <v>408</v>
      </c>
      <c r="D1534" s="15" t="s">
        <v>409</v>
      </c>
      <c r="E1534" s="19">
        <v>32333</v>
      </c>
      <c r="F1534" s="19">
        <v>37542</v>
      </c>
      <c r="G1534" s="20">
        <f t="shared" si="23"/>
        <v>0.53727370304114486</v>
      </c>
      <c r="H1534" s="24" t="s">
        <v>586</v>
      </c>
      <c r="I1534" s="24" t="s">
        <v>587</v>
      </c>
      <c r="J1534" s="24" t="s">
        <v>588</v>
      </c>
      <c r="K1534" s="24" t="s">
        <v>595</v>
      </c>
    </row>
    <row r="1535" spans="1:11">
      <c r="A1535" s="12">
        <v>2016</v>
      </c>
      <c r="B1535" s="15" t="s">
        <v>395</v>
      </c>
      <c r="C1535" s="15" t="s">
        <v>410</v>
      </c>
      <c r="D1535" s="15" t="s">
        <v>411</v>
      </c>
      <c r="E1535" s="19">
        <v>212503</v>
      </c>
      <c r="F1535" s="19">
        <v>100815</v>
      </c>
      <c r="G1535" s="20">
        <f t="shared" si="23"/>
        <v>0.32176574598331409</v>
      </c>
      <c r="H1535" s="24" t="s">
        <v>586</v>
      </c>
      <c r="I1535" s="24" t="s">
        <v>587</v>
      </c>
      <c r="J1535" s="24" t="s">
        <v>588</v>
      </c>
      <c r="K1535" s="24" t="s">
        <v>595</v>
      </c>
    </row>
    <row r="1536" spans="1:11">
      <c r="A1536" s="12">
        <v>2016</v>
      </c>
      <c r="B1536" s="15" t="s">
        <v>395</v>
      </c>
      <c r="C1536" s="15" t="s">
        <v>412</v>
      </c>
      <c r="D1536" s="15" t="s">
        <v>413</v>
      </c>
      <c r="E1536" s="19">
        <v>62431</v>
      </c>
      <c r="F1536" s="19">
        <v>66591</v>
      </c>
      <c r="G1536" s="20">
        <f t="shared" si="23"/>
        <v>0.51612128164189053</v>
      </c>
      <c r="H1536" s="24" t="s">
        <v>586</v>
      </c>
      <c r="I1536" s="24" t="s">
        <v>587</v>
      </c>
      <c r="J1536" s="24" t="s">
        <v>588</v>
      </c>
      <c r="K1536" s="24" t="s">
        <v>595</v>
      </c>
    </row>
    <row r="1537" spans="1:11">
      <c r="A1537" s="12">
        <v>2016</v>
      </c>
      <c r="B1537" s="15" t="s">
        <v>395</v>
      </c>
      <c r="C1537" s="15" t="s">
        <v>414</v>
      </c>
      <c r="D1537" s="15" t="s">
        <v>415</v>
      </c>
      <c r="E1537" s="19">
        <v>33736</v>
      </c>
      <c r="F1537" s="19">
        <v>33613</v>
      </c>
      <c r="G1537" s="20">
        <f t="shared" si="23"/>
        <v>0.49908684612986087</v>
      </c>
      <c r="H1537" s="24" t="s">
        <v>586</v>
      </c>
      <c r="I1537" s="24" t="s">
        <v>587</v>
      </c>
      <c r="J1537" s="24" t="s">
        <v>588</v>
      </c>
      <c r="K1537" s="24" t="s">
        <v>595</v>
      </c>
    </row>
    <row r="1538" spans="1:11">
      <c r="A1538" s="12">
        <v>2016</v>
      </c>
      <c r="B1538" s="15" t="s">
        <v>395</v>
      </c>
      <c r="C1538" s="15" t="s">
        <v>416</v>
      </c>
      <c r="D1538" s="15" t="s">
        <v>417</v>
      </c>
      <c r="E1538" s="19">
        <v>248078</v>
      </c>
      <c r="F1538" s="19">
        <v>107729</v>
      </c>
      <c r="G1538" s="20">
        <f t="shared" si="23"/>
        <v>0.30277369472775972</v>
      </c>
      <c r="H1538" s="24" t="s">
        <v>586</v>
      </c>
      <c r="I1538" s="24" t="s">
        <v>587</v>
      </c>
      <c r="J1538" s="24" t="s">
        <v>588</v>
      </c>
      <c r="K1538" s="24" t="s">
        <v>595</v>
      </c>
    </row>
    <row r="1539" spans="1:11">
      <c r="A1539" s="12">
        <v>2016</v>
      </c>
      <c r="B1539" s="15" t="s">
        <v>395</v>
      </c>
      <c r="C1539" s="15" t="s">
        <v>418</v>
      </c>
      <c r="D1539" s="15" t="s">
        <v>419</v>
      </c>
      <c r="E1539" s="19">
        <v>27192</v>
      </c>
      <c r="F1539" s="19">
        <v>37628</v>
      </c>
      <c r="G1539" s="20">
        <f t="shared" si="23"/>
        <v>0.58049984572662761</v>
      </c>
      <c r="H1539" s="24" t="s">
        <v>586</v>
      </c>
      <c r="I1539" s="24" t="s">
        <v>587</v>
      </c>
      <c r="J1539" s="24" t="s">
        <v>588</v>
      </c>
      <c r="K1539" s="24" t="s">
        <v>595</v>
      </c>
    </row>
    <row r="1540" spans="1:11">
      <c r="A1540" s="12">
        <v>2016</v>
      </c>
      <c r="B1540" s="15" t="s">
        <v>395</v>
      </c>
      <c r="C1540" s="15" t="s">
        <v>420</v>
      </c>
      <c r="D1540" s="15" t="s">
        <v>421</v>
      </c>
      <c r="E1540" s="19">
        <v>258249</v>
      </c>
      <c r="F1540" s="19">
        <v>110817</v>
      </c>
      <c r="G1540" s="20">
        <f t="shared" si="23"/>
        <v>0.30026336752775928</v>
      </c>
      <c r="H1540" s="24" t="s">
        <v>586</v>
      </c>
      <c r="I1540" s="24" t="s">
        <v>587</v>
      </c>
      <c r="J1540" s="24" t="s">
        <v>588</v>
      </c>
      <c r="K1540" s="24" t="s">
        <v>595</v>
      </c>
    </row>
    <row r="1541" spans="1:11">
      <c r="A1541" s="12">
        <v>2016</v>
      </c>
      <c r="B1541" s="15" t="s">
        <v>395</v>
      </c>
      <c r="C1541" s="15" t="s">
        <v>422</v>
      </c>
      <c r="D1541" s="15" t="s">
        <v>423</v>
      </c>
      <c r="E1541" s="19">
        <v>45826</v>
      </c>
      <c r="F1541" s="19">
        <v>33699</v>
      </c>
      <c r="G1541" s="20">
        <f t="shared" si="23"/>
        <v>0.42375353662370324</v>
      </c>
      <c r="H1541" s="24" t="s">
        <v>586</v>
      </c>
      <c r="I1541" s="24" t="s">
        <v>587</v>
      </c>
      <c r="J1541" s="24" t="s">
        <v>588</v>
      </c>
      <c r="K1541" s="24" t="s">
        <v>595</v>
      </c>
    </row>
    <row r="1542" spans="1:11">
      <c r="A1542" s="12">
        <v>2016</v>
      </c>
      <c r="B1542" s="15" t="s">
        <v>395</v>
      </c>
      <c r="C1542" s="15" t="s">
        <v>424</v>
      </c>
      <c r="D1542" s="15" t="s">
        <v>425</v>
      </c>
      <c r="E1542" s="19">
        <v>42942</v>
      </c>
      <c r="F1542" s="19">
        <v>51052</v>
      </c>
      <c r="G1542" s="20">
        <f t="shared" ref="G1542:G1605" si="24">IFERROR(F1542/(E1542+F1542),"")</f>
        <v>0.54314105155648229</v>
      </c>
      <c r="H1542" s="24" t="s">
        <v>586</v>
      </c>
      <c r="I1542" s="24" t="s">
        <v>587</v>
      </c>
      <c r="J1542" s="24" t="s">
        <v>588</v>
      </c>
      <c r="K1542" s="24" t="s">
        <v>595</v>
      </c>
    </row>
    <row r="1543" spans="1:11">
      <c r="A1543" s="12">
        <v>2016</v>
      </c>
      <c r="B1543" s="15" t="s">
        <v>395</v>
      </c>
      <c r="C1543" s="15" t="s">
        <v>426</v>
      </c>
      <c r="D1543" s="15" t="s">
        <v>427</v>
      </c>
      <c r="E1543" s="19">
        <v>43005</v>
      </c>
      <c r="F1543" s="19">
        <v>42112</v>
      </c>
      <c r="G1543" s="20">
        <f t="shared" si="24"/>
        <v>0.49475427940364441</v>
      </c>
      <c r="H1543" s="24" t="s">
        <v>586</v>
      </c>
      <c r="I1543" s="24" t="s">
        <v>587</v>
      </c>
      <c r="J1543" s="24" t="s">
        <v>588</v>
      </c>
      <c r="K1543" s="24" t="s">
        <v>595</v>
      </c>
    </row>
    <row r="1544" spans="1:11">
      <c r="A1544" s="12">
        <v>2016</v>
      </c>
      <c r="B1544" s="15" t="s">
        <v>395</v>
      </c>
      <c r="C1544" s="15" t="s">
        <v>428</v>
      </c>
      <c r="D1544" s="15" t="s">
        <v>429</v>
      </c>
      <c r="E1544" s="19">
        <v>31110</v>
      </c>
      <c r="F1544" s="19">
        <v>37987</v>
      </c>
      <c r="G1544" s="20">
        <f t="shared" si="24"/>
        <v>0.54976337612342074</v>
      </c>
      <c r="H1544" s="24" t="s">
        <v>586</v>
      </c>
      <c r="I1544" s="24" t="s">
        <v>587</v>
      </c>
      <c r="J1544" s="24" t="s">
        <v>588</v>
      </c>
      <c r="K1544" s="24" t="s">
        <v>595</v>
      </c>
    </row>
    <row r="1545" spans="1:11">
      <c r="A1545" s="12">
        <v>2016</v>
      </c>
      <c r="B1545" s="15" t="s">
        <v>395</v>
      </c>
      <c r="C1545" s="15" t="s">
        <v>430</v>
      </c>
      <c r="D1545" s="15" t="s">
        <v>431</v>
      </c>
      <c r="E1545" s="19">
        <v>32716</v>
      </c>
      <c r="F1545" s="19">
        <v>28306</v>
      </c>
      <c r="G1545" s="20">
        <f t="shared" si="24"/>
        <v>0.463865491134345</v>
      </c>
      <c r="H1545" s="24" t="s">
        <v>586</v>
      </c>
      <c r="I1545" s="24" t="s">
        <v>587</v>
      </c>
      <c r="J1545" s="24" t="s">
        <v>588</v>
      </c>
      <c r="K1545" s="24" t="s">
        <v>595</v>
      </c>
    </row>
    <row r="1546" spans="1:11">
      <c r="A1546" s="12">
        <v>2016</v>
      </c>
      <c r="B1546" s="15" t="s">
        <v>395</v>
      </c>
      <c r="C1546" s="15" t="s">
        <v>432</v>
      </c>
      <c r="D1546" s="15" t="s">
        <v>433</v>
      </c>
      <c r="E1546" s="19">
        <v>25060</v>
      </c>
      <c r="F1546" s="19">
        <v>25729</v>
      </c>
      <c r="G1546" s="20">
        <f t="shared" si="24"/>
        <v>0.50658607178719806</v>
      </c>
      <c r="H1546" s="24" t="s">
        <v>586</v>
      </c>
      <c r="I1546" s="24" t="s">
        <v>587</v>
      </c>
      <c r="J1546" s="24" t="s">
        <v>588</v>
      </c>
      <c r="K1546" s="24" t="s">
        <v>595</v>
      </c>
    </row>
    <row r="1547" spans="1:11">
      <c r="A1547" s="12">
        <v>2016</v>
      </c>
      <c r="B1547" s="15" t="s">
        <v>395</v>
      </c>
      <c r="C1547" s="15" t="s">
        <v>434</v>
      </c>
      <c r="D1547" s="15" t="s">
        <v>435</v>
      </c>
      <c r="E1547" s="19">
        <v>24699</v>
      </c>
      <c r="F1547" s="19">
        <v>29077</v>
      </c>
      <c r="G1547" s="20">
        <f t="shared" si="24"/>
        <v>0.54070589110383815</v>
      </c>
      <c r="H1547" s="24" t="s">
        <v>586</v>
      </c>
      <c r="I1547" s="24" t="s">
        <v>587</v>
      </c>
      <c r="J1547" s="24" t="s">
        <v>588</v>
      </c>
      <c r="K1547" s="24" t="s">
        <v>595</v>
      </c>
    </row>
    <row r="1548" spans="1:11">
      <c r="A1548" s="12">
        <v>2016</v>
      </c>
      <c r="B1548" s="15" t="s">
        <v>395</v>
      </c>
      <c r="C1548" s="15" t="s">
        <v>436</v>
      </c>
      <c r="D1548" s="15" t="s">
        <v>437</v>
      </c>
      <c r="E1548" s="19">
        <v>61429</v>
      </c>
      <c r="F1548" s="19">
        <v>47283</v>
      </c>
      <c r="G1548" s="20">
        <f t="shared" si="24"/>
        <v>0.43493818529693135</v>
      </c>
      <c r="H1548" s="24" t="s">
        <v>586</v>
      </c>
      <c r="I1548" s="24" t="s">
        <v>587</v>
      </c>
      <c r="J1548" s="24" t="s">
        <v>588</v>
      </c>
      <c r="K1548" s="24" t="s">
        <v>595</v>
      </c>
    </row>
    <row r="1549" spans="1:11">
      <c r="A1549" s="12">
        <v>2016</v>
      </c>
      <c r="B1549" s="15" t="s">
        <v>395</v>
      </c>
      <c r="C1549" s="15" t="s">
        <v>438</v>
      </c>
      <c r="D1549" s="15" t="s">
        <v>439</v>
      </c>
      <c r="E1549" s="19">
        <v>51668</v>
      </c>
      <c r="F1549" s="19">
        <v>43494</v>
      </c>
      <c r="G1549" s="20">
        <f t="shared" si="24"/>
        <v>0.45705218469557174</v>
      </c>
      <c r="H1549" s="24" t="s">
        <v>586</v>
      </c>
      <c r="I1549" s="24" t="s">
        <v>587</v>
      </c>
      <c r="J1549" s="24" t="s">
        <v>588</v>
      </c>
      <c r="K1549" s="24" t="s">
        <v>595</v>
      </c>
    </row>
    <row r="1550" spans="1:11">
      <c r="A1550" s="12">
        <v>2016</v>
      </c>
      <c r="B1550" s="15" t="s">
        <v>440</v>
      </c>
      <c r="C1550" s="15" t="s">
        <v>22</v>
      </c>
      <c r="D1550" s="15" t="s">
        <v>440</v>
      </c>
      <c r="E1550" s="19">
        <v>2388062</v>
      </c>
      <c r="F1550" s="19">
        <v>1024325</v>
      </c>
      <c r="G1550" s="20">
        <f t="shared" si="24"/>
        <v>0.30017843814315315</v>
      </c>
      <c r="H1550" s="24" t="s">
        <v>583</v>
      </c>
      <c r="I1550" s="24" t="s">
        <v>584</v>
      </c>
      <c r="J1550" s="24" t="s">
        <v>585</v>
      </c>
      <c r="K1550" s="24" t="s">
        <v>595</v>
      </c>
    </row>
    <row r="1551" spans="1:11">
      <c r="A1551" s="12">
        <v>2016</v>
      </c>
      <c r="B1551" s="15" t="s">
        <v>440</v>
      </c>
      <c r="C1551" s="15" t="s">
        <v>441</v>
      </c>
      <c r="D1551" s="15" t="s">
        <v>442</v>
      </c>
      <c r="E1551" s="19">
        <v>216071</v>
      </c>
      <c r="F1551" s="19">
        <v>162635</v>
      </c>
      <c r="G1551" s="20">
        <f t="shared" si="24"/>
        <v>0.42944922974550181</v>
      </c>
      <c r="H1551" s="24" t="s">
        <v>583</v>
      </c>
      <c r="I1551" s="24" t="s">
        <v>569</v>
      </c>
      <c r="J1551" s="24" t="s">
        <v>593</v>
      </c>
      <c r="K1551" s="24" t="s">
        <v>595</v>
      </c>
    </row>
    <row r="1552" spans="1:11">
      <c r="A1552" s="12">
        <v>2016</v>
      </c>
      <c r="B1552" s="15" t="s">
        <v>440</v>
      </c>
      <c r="C1552" s="15" t="s">
        <v>443</v>
      </c>
      <c r="D1552" s="15" t="s">
        <v>444</v>
      </c>
      <c r="E1552" s="19">
        <v>221003</v>
      </c>
      <c r="F1552" s="19">
        <v>119645</v>
      </c>
      <c r="G1552" s="20">
        <f t="shared" si="24"/>
        <v>0.35122766022404361</v>
      </c>
      <c r="H1552" s="24" t="s">
        <v>583</v>
      </c>
      <c r="I1552" s="24" t="s">
        <v>584</v>
      </c>
      <c r="J1552" s="24" t="s">
        <v>585</v>
      </c>
      <c r="K1552" s="24" t="s">
        <v>595</v>
      </c>
    </row>
    <row r="1553" spans="1:11">
      <c r="A1553" s="12">
        <v>2016</v>
      </c>
      <c r="B1553" s="15" t="s">
        <v>440</v>
      </c>
      <c r="C1553" s="15" t="s">
        <v>445</v>
      </c>
      <c r="D1553" s="15" t="s">
        <v>446</v>
      </c>
      <c r="E1553" s="19">
        <v>24048</v>
      </c>
      <c r="F1553" s="19">
        <v>28281</v>
      </c>
      <c r="G1553" s="20">
        <f t="shared" si="24"/>
        <v>0.54044602419308607</v>
      </c>
      <c r="H1553" s="24" t="s">
        <v>583</v>
      </c>
      <c r="I1553" s="24" t="s">
        <v>569</v>
      </c>
      <c r="J1553" s="24" t="s">
        <v>593</v>
      </c>
      <c r="K1553" s="24" t="s">
        <v>595</v>
      </c>
    </row>
    <row r="1554" spans="1:11">
      <c r="A1554" s="12">
        <v>2016</v>
      </c>
      <c r="B1554" s="15" t="s">
        <v>440</v>
      </c>
      <c r="C1554" s="15" t="s">
        <v>447</v>
      </c>
      <c r="D1554" s="15" t="s">
        <v>448</v>
      </c>
      <c r="E1554" s="19">
        <v>373071</v>
      </c>
      <c r="F1554" s="19">
        <v>155624</v>
      </c>
      <c r="G1554" s="20">
        <f t="shared" si="24"/>
        <v>0.29435496836550373</v>
      </c>
      <c r="H1554" s="24" t="s">
        <v>583</v>
      </c>
      <c r="I1554" s="24" t="s">
        <v>569</v>
      </c>
      <c r="J1554" s="24" t="s">
        <v>593</v>
      </c>
      <c r="K1554" s="24" t="s">
        <v>595</v>
      </c>
    </row>
    <row r="1555" spans="1:11">
      <c r="A1555" s="12">
        <v>2016</v>
      </c>
      <c r="B1555" s="15" t="s">
        <v>440</v>
      </c>
      <c r="C1555" s="15" t="s">
        <v>105</v>
      </c>
      <c r="D1555" s="15" t="s">
        <v>449</v>
      </c>
      <c r="E1555" s="19">
        <v>16721</v>
      </c>
      <c r="F1555" s="19">
        <v>20650</v>
      </c>
      <c r="G1555" s="20">
        <f t="shared" si="24"/>
        <v>0.55256749886275458</v>
      </c>
      <c r="H1555" s="24" t="s">
        <v>583</v>
      </c>
      <c r="I1555" s="24" t="s">
        <v>569</v>
      </c>
      <c r="J1555" s="24" t="s">
        <v>593</v>
      </c>
      <c r="K1555" s="24" t="s">
        <v>595</v>
      </c>
    </row>
    <row r="1556" spans="1:11">
      <c r="A1556" s="12">
        <v>2016</v>
      </c>
      <c r="B1556" s="15" t="s">
        <v>440</v>
      </c>
      <c r="C1556" s="15" t="s">
        <v>450</v>
      </c>
      <c r="D1556" s="15" t="s">
        <v>451</v>
      </c>
      <c r="E1556" s="19">
        <v>117407</v>
      </c>
      <c r="F1556" s="19">
        <v>75109</v>
      </c>
      <c r="G1556" s="20">
        <f t="shared" si="24"/>
        <v>0.39014419580710175</v>
      </c>
      <c r="H1556" s="24" t="s">
        <v>583</v>
      </c>
      <c r="I1556" s="24" t="s">
        <v>584</v>
      </c>
      <c r="J1556" s="24" t="s">
        <v>585</v>
      </c>
      <c r="K1556" s="24" t="s">
        <v>595</v>
      </c>
    </row>
    <row r="1557" spans="1:11">
      <c r="A1557" s="12">
        <v>2016</v>
      </c>
      <c r="B1557" s="15" t="s">
        <v>440</v>
      </c>
      <c r="C1557" s="15" t="s">
        <v>452</v>
      </c>
      <c r="D1557" s="15" t="s">
        <v>453</v>
      </c>
      <c r="E1557" s="19">
        <v>63986</v>
      </c>
      <c r="F1557" s="19">
        <v>41357</v>
      </c>
      <c r="G1557" s="20">
        <f t="shared" si="24"/>
        <v>0.392593717665151</v>
      </c>
      <c r="H1557" s="24" t="s">
        <v>583</v>
      </c>
      <c r="I1557" s="24" t="s">
        <v>569</v>
      </c>
      <c r="J1557" s="24" t="s">
        <v>593</v>
      </c>
      <c r="K1557" s="24" t="s">
        <v>595</v>
      </c>
    </row>
    <row r="1558" spans="1:11">
      <c r="A1558" s="12">
        <v>2016</v>
      </c>
      <c r="B1558" s="15" t="s">
        <v>440</v>
      </c>
      <c r="C1558" s="15" t="s">
        <v>454</v>
      </c>
      <c r="D1558" s="15" t="s">
        <v>455</v>
      </c>
      <c r="E1558" s="19">
        <v>23287</v>
      </c>
      <c r="F1558" s="19">
        <v>27707</v>
      </c>
      <c r="G1558" s="20">
        <f t="shared" si="24"/>
        <v>0.54333843197238896</v>
      </c>
      <c r="H1558" s="24" t="s">
        <v>583</v>
      </c>
      <c r="I1558" s="24" t="s">
        <v>569</v>
      </c>
      <c r="J1558" s="24" t="s">
        <v>593</v>
      </c>
      <c r="K1558" s="24" t="s">
        <v>595</v>
      </c>
    </row>
    <row r="1559" spans="1:11">
      <c r="A1559" s="12">
        <v>2016</v>
      </c>
      <c r="B1559" s="15" t="s">
        <v>440</v>
      </c>
      <c r="C1559" s="15" t="s">
        <v>456</v>
      </c>
      <c r="D1559" s="15" t="s">
        <v>457</v>
      </c>
      <c r="E1559" s="19">
        <v>85774</v>
      </c>
      <c r="F1559" s="19">
        <v>57522</v>
      </c>
      <c r="G1559" s="20">
        <f t="shared" si="24"/>
        <v>0.40142083519428318</v>
      </c>
      <c r="H1559" s="24" t="s">
        <v>583</v>
      </c>
      <c r="I1559" s="24" t="s">
        <v>569</v>
      </c>
      <c r="J1559" s="24" t="s">
        <v>593</v>
      </c>
      <c r="K1559" s="24" t="s">
        <v>595</v>
      </c>
    </row>
    <row r="1560" spans="1:11">
      <c r="A1560" s="12">
        <v>2016</v>
      </c>
      <c r="B1560" s="15" t="s">
        <v>440</v>
      </c>
      <c r="C1560" s="15" t="s">
        <v>458</v>
      </c>
      <c r="D1560" s="15" t="s">
        <v>459</v>
      </c>
      <c r="E1560" s="19">
        <v>31491</v>
      </c>
      <c r="F1560" s="19">
        <v>37001</v>
      </c>
      <c r="G1560" s="20">
        <f t="shared" si="24"/>
        <v>0.54022367575775276</v>
      </c>
      <c r="H1560" s="24" t="s">
        <v>583</v>
      </c>
      <c r="I1560" s="24" t="s">
        <v>569</v>
      </c>
      <c r="J1560" s="24" t="s">
        <v>593</v>
      </c>
      <c r="K1560" s="24" t="s">
        <v>595</v>
      </c>
    </row>
    <row r="1561" spans="1:11">
      <c r="A1561" s="12">
        <v>2016</v>
      </c>
      <c r="B1561" s="15" t="s">
        <v>440</v>
      </c>
      <c r="C1561" s="15" t="s">
        <v>460</v>
      </c>
      <c r="D1561" s="15" t="s">
        <v>461</v>
      </c>
      <c r="E1561" s="19">
        <v>148534</v>
      </c>
      <c r="F1561" s="19">
        <v>57673</v>
      </c>
      <c r="G1561" s="20">
        <f t="shared" si="24"/>
        <v>0.2796849767466672</v>
      </c>
      <c r="H1561" s="24" t="s">
        <v>583</v>
      </c>
      <c r="I1561" s="24" t="s">
        <v>584</v>
      </c>
      <c r="J1561" s="24" t="s">
        <v>585</v>
      </c>
      <c r="K1561" s="24" t="s">
        <v>595</v>
      </c>
    </row>
    <row r="1562" spans="1:11">
      <c r="A1562" s="12">
        <v>2016</v>
      </c>
      <c r="B1562" s="15" t="s">
        <v>440</v>
      </c>
      <c r="C1562" s="15" t="s">
        <v>462</v>
      </c>
      <c r="D1562" s="15" t="s">
        <v>463</v>
      </c>
      <c r="E1562" s="19">
        <v>31426</v>
      </c>
      <c r="F1562" s="19">
        <v>28781</v>
      </c>
      <c r="G1562" s="20">
        <f t="shared" si="24"/>
        <v>0.47803411563439469</v>
      </c>
      <c r="H1562" s="24" t="s">
        <v>583</v>
      </c>
      <c r="I1562" s="24" t="s">
        <v>569</v>
      </c>
      <c r="J1562" s="24" t="s">
        <v>593</v>
      </c>
      <c r="K1562" s="24" t="s">
        <v>595</v>
      </c>
    </row>
    <row r="1563" spans="1:11">
      <c r="A1563" s="12">
        <v>2016</v>
      </c>
      <c r="B1563" s="15" t="s">
        <v>440</v>
      </c>
      <c r="C1563" s="15" t="s">
        <v>464</v>
      </c>
      <c r="D1563" s="15" t="s">
        <v>465</v>
      </c>
      <c r="E1563" s="19">
        <v>12398</v>
      </c>
      <c r="F1563" s="19">
        <v>14749</v>
      </c>
      <c r="G1563" s="20">
        <f t="shared" si="24"/>
        <v>0.54330128559325153</v>
      </c>
      <c r="H1563" s="24" t="s">
        <v>583</v>
      </c>
      <c r="I1563" s="24" t="s">
        <v>569</v>
      </c>
      <c r="J1563" s="24" t="s">
        <v>593</v>
      </c>
      <c r="K1563" s="24" t="s">
        <v>595</v>
      </c>
    </row>
    <row r="1564" spans="1:11">
      <c r="A1564" s="12">
        <v>2016</v>
      </c>
      <c r="B1564" s="15" t="s">
        <v>440</v>
      </c>
      <c r="C1564" s="15" t="s">
        <v>466</v>
      </c>
      <c r="D1564" s="15" t="s">
        <v>467</v>
      </c>
      <c r="E1564" s="19">
        <v>95350</v>
      </c>
      <c r="F1564" s="19">
        <v>59332</v>
      </c>
      <c r="G1564" s="20">
        <f t="shared" si="24"/>
        <v>0.38357404222857217</v>
      </c>
      <c r="H1564" s="24" t="s">
        <v>583</v>
      </c>
      <c r="I1564" s="24" t="s">
        <v>569</v>
      </c>
      <c r="J1564" s="24" t="s">
        <v>593</v>
      </c>
      <c r="K1564" s="24" t="s">
        <v>595</v>
      </c>
    </row>
    <row r="1565" spans="1:11">
      <c r="A1565" s="12">
        <v>2016</v>
      </c>
      <c r="B1565" s="15" t="s">
        <v>440</v>
      </c>
      <c r="C1565" s="15" t="s">
        <v>468</v>
      </c>
      <c r="D1565" s="15" t="s">
        <v>469</v>
      </c>
      <c r="E1565" s="19">
        <v>83112</v>
      </c>
      <c r="F1565" s="19">
        <v>62221</v>
      </c>
      <c r="G1565" s="20">
        <f t="shared" si="24"/>
        <v>0.42812712873194664</v>
      </c>
      <c r="H1565" s="24" t="s">
        <v>583</v>
      </c>
      <c r="I1565" s="24" t="s">
        <v>569</v>
      </c>
      <c r="J1565" s="24" t="s">
        <v>593</v>
      </c>
      <c r="K1565" s="24" t="s">
        <v>595</v>
      </c>
    </row>
    <row r="1566" spans="1:11">
      <c r="A1566" s="12">
        <v>2016</v>
      </c>
      <c r="B1566" s="15" t="s">
        <v>440</v>
      </c>
      <c r="C1566" s="15" t="s">
        <v>470</v>
      </c>
      <c r="D1566" s="15" t="s">
        <v>471</v>
      </c>
      <c r="E1566" s="19">
        <v>34361</v>
      </c>
      <c r="F1566" s="19">
        <v>35360</v>
      </c>
      <c r="G1566" s="20">
        <f t="shared" si="24"/>
        <v>0.50716426901507439</v>
      </c>
      <c r="H1566" s="24" t="s">
        <v>583</v>
      </c>
      <c r="I1566" s="24" t="s">
        <v>569</v>
      </c>
      <c r="J1566" s="24" t="s">
        <v>593</v>
      </c>
      <c r="K1566" s="24" t="s">
        <v>595</v>
      </c>
    </row>
    <row r="1567" spans="1:11">
      <c r="A1567" s="12">
        <v>2016</v>
      </c>
      <c r="B1567" s="15" t="s">
        <v>440</v>
      </c>
      <c r="C1567" s="15" t="s">
        <v>472</v>
      </c>
      <c r="D1567" s="15" t="s">
        <v>473</v>
      </c>
      <c r="E1567" s="19">
        <v>6856</v>
      </c>
      <c r="F1567" s="19">
        <v>7939</v>
      </c>
      <c r="G1567" s="20">
        <f t="shared" si="24"/>
        <v>0.53660020277120646</v>
      </c>
      <c r="H1567" s="24" t="s">
        <v>583</v>
      </c>
      <c r="I1567" s="24" t="s">
        <v>569</v>
      </c>
      <c r="J1567" s="24" t="s">
        <v>593</v>
      </c>
      <c r="K1567" s="24" t="s">
        <v>595</v>
      </c>
    </row>
    <row r="1568" spans="1:11">
      <c r="A1568" s="12">
        <v>2016</v>
      </c>
      <c r="B1568" s="15" t="s">
        <v>440</v>
      </c>
      <c r="C1568" s="15" t="s">
        <v>474</v>
      </c>
      <c r="D1568" s="15" t="s">
        <v>475</v>
      </c>
      <c r="E1568" s="19">
        <v>43111</v>
      </c>
      <c r="F1568" s="19">
        <v>33520</v>
      </c>
      <c r="G1568" s="20">
        <f t="shared" si="24"/>
        <v>0.43742088710835042</v>
      </c>
      <c r="H1568" s="24" t="s">
        <v>583</v>
      </c>
      <c r="I1568" s="24" t="s">
        <v>569</v>
      </c>
      <c r="J1568" s="24" t="s">
        <v>593</v>
      </c>
      <c r="K1568" s="24" t="s">
        <v>595</v>
      </c>
    </row>
    <row r="1569" spans="1:11">
      <c r="A1569" s="12">
        <v>2016</v>
      </c>
      <c r="B1569" s="15" t="s">
        <v>440</v>
      </c>
      <c r="C1569" s="15" t="s">
        <v>476</v>
      </c>
      <c r="D1569" s="15" t="s">
        <v>477</v>
      </c>
      <c r="E1569" s="19">
        <v>42927</v>
      </c>
      <c r="F1569" s="19">
        <v>41268</v>
      </c>
      <c r="G1569" s="20">
        <f t="shared" si="24"/>
        <v>0.49014787101371815</v>
      </c>
      <c r="H1569" s="24" t="s">
        <v>583</v>
      </c>
      <c r="I1569" s="24" t="s">
        <v>569</v>
      </c>
      <c r="J1569" s="24" t="s">
        <v>593</v>
      </c>
      <c r="K1569" s="24" t="s">
        <v>595</v>
      </c>
    </row>
    <row r="1570" spans="1:11">
      <c r="A1570" s="12">
        <v>2016</v>
      </c>
      <c r="B1570" s="15" t="s">
        <v>440</v>
      </c>
      <c r="C1570" s="15" t="s">
        <v>478</v>
      </c>
      <c r="D1570" s="15" t="s">
        <v>479</v>
      </c>
      <c r="E1570" s="19">
        <v>32770</v>
      </c>
      <c r="F1570" s="19">
        <v>33623</v>
      </c>
      <c r="G1570" s="20">
        <f t="shared" si="24"/>
        <v>0.50642386998629374</v>
      </c>
      <c r="H1570" s="24" t="s">
        <v>583</v>
      </c>
      <c r="I1570" s="24" t="s">
        <v>569</v>
      </c>
      <c r="J1570" s="24" t="s">
        <v>593</v>
      </c>
      <c r="K1570" s="24" t="s">
        <v>595</v>
      </c>
    </row>
    <row r="1571" spans="1:11">
      <c r="A1571" s="12">
        <v>2016</v>
      </c>
      <c r="B1571" s="15" t="s">
        <v>440</v>
      </c>
      <c r="C1571" s="15" t="s">
        <v>480</v>
      </c>
      <c r="D1571" s="15" t="s">
        <v>481</v>
      </c>
      <c r="E1571" s="19">
        <v>19584</v>
      </c>
      <c r="F1571" s="19">
        <v>21247</v>
      </c>
      <c r="G1571" s="20">
        <f t="shared" si="24"/>
        <v>0.5203644289877789</v>
      </c>
      <c r="H1571" s="24" t="s">
        <v>583</v>
      </c>
      <c r="I1571" s="24" t="s">
        <v>569</v>
      </c>
      <c r="J1571" s="24" t="s">
        <v>593</v>
      </c>
      <c r="K1571" s="24" t="s">
        <v>595</v>
      </c>
    </row>
    <row r="1572" spans="1:11">
      <c r="A1572" s="12">
        <v>2016</v>
      </c>
      <c r="B1572" s="15" t="s">
        <v>440</v>
      </c>
      <c r="C1572" s="15" t="s">
        <v>482</v>
      </c>
      <c r="D1572" s="15" t="s">
        <v>483</v>
      </c>
      <c r="E1572" s="19">
        <v>93100</v>
      </c>
      <c r="F1572" s="19">
        <v>93488</v>
      </c>
      <c r="G1572" s="20">
        <f t="shared" si="24"/>
        <v>0.50103972388363671</v>
      </c>
      <c r="H1572" s="24" t="s">
        <v>583</v>
      </c>
      <c r="I1572" s="24" t="s">
        <v>569</v>
      </c>
      <c r="J1572" s="24" t="s">
        <v>593</v>
      </c>
      <c r="K1572" s="24" t="s">
        <v>595</v>
      </c>
    </row>
    <row r="1573" spans="1:11">
      <c r="A1573" s="12">
        <v>2016</v>
      </c>
      <c r="B1573" s="15" t="s">
        <v>440</v>
      </c>
      <c r="C1573" s="15" t="s">
        <v>484</v>
      </c>
      <c r="D1573" s="15" t="s">
        <v>485</v>
      </c>
      <c r="E1573" s="19">
        <v>204602</v>
      </c>
      <c r="F1573" s="19">
        <v>161299</v>
      </c>
      <c r="G1573" s="20">
        <f t="shared" si="24"/>
        <v>0.44082689033372413</v>
      </c>
      <c r="H1573" s="24" t="s">
        <v>583</v>
      </c>
      <c r="I1573" s="24" t="s">
        <v>584</v>
      </c>
      <c r="J1573" s="24" t="s">
        <v>585</v>
      </c>
      <c r="K1573" s="24" t="s">
        <v>595</v>
      </c>
    </row>
    <row r="1574" spans="1:11">
      <c r="A1574" s="12">
        <v>2016</v>
      </c>
      <c r="B1574" s="15" t="s">
        <v>440</v>
      </c>
      <c r="C1574" s="15" t="s">
        <v>486</v>
      </c>
      <c r="D1574" s="15" t="s">
        <v>487</v>
      </c>
      <c r="E1574" s="19">
        <v>233305</v>
      </c>
      <c r="F1574" s="19">
        <v>164066</v>
      </c>
      <c r="G1574" s="20">
        <f t="shared" si="24"/>
        <v>0.41287864489356296</v>
      </c>
      <c r="H1574" s="24" t="s">
        <v>583</v>
      </c>
      <c r="I1574" s="24" t="s">
        <v>584</v>
      </c>
      <c r="J1574" s="24" t="s">
        <v>585</v>
      </c>
      <c r="K1574" s="24" t="s">
        <v>595</v>
      </c>
    </row>
    <row r="1575" spans="1:11">
      <c r="A1575" s="12">
        <v>2016</v>
      </c>
      <c r="B1575" s="15" t="s">
        <v>488</v>
      </c>
      <c r="C1575" s="15" t="s">
        <v>22</v>
      </c>
      <c r="D1575" s="15" t="s">
        <v>488</v>
      </c>
      <c r="E1575" s="19">
        <v>3074384</v>
      </c>
      <c r="F1575" s="19">
        <v>953181</v>
      </c>
      <c r="G1575" s="20">
        <f t="shared" si="24"/>
        <v>0.2366643368884177</v>
      </c>
      <c r="H1575" s="24" t="s">
        <v>583</v>
      </c>
      <c r="I1575" s="24" t="s">
        <v>569</v>
      </c>
      <c r="J1575" s="24" t="s">
        <v>593</v>
      </c>
      <c r="K1575" s="24" t="s">
        <v>595</v>
      </c>
    </row>
    <row r="1576" spans="1:11">
      <c r="A1576" s="12">
        <v>2016</v>
      </c>
      <c r="B1576" s="15" t="s">
        <v>488</v>
      </c>
      <c r="C1576" s="15" t="s">
        <v>489</v>
      </c>
      <c r="D1576" s="15" t="s">
        <v>490</v>
      </c>
      <c r="E1576" s="19">
        <v>233731</v>
      </c>
      <c r="F1576" s="19">
        <v>116688</v>
      </c>
      <c r="G1576" s="20">
        <f t="shared" si="24"/>
        <v>0.33299564235957524</v>
      </c>
      <c r="H1576" s="24" t="s">
        <v>583</v>
      </c>
      <c r="I1576" s="24" t="s">
        <v>569</v>
      </c>
      <c r="J1576" s="24" t="s">
        <v>593</v>
      </c>
      <c r="K1576" s="24" t="s">
        <v>595</v>
      </c>
    </row>
    <row r="1577" spans="1:11">
      <c r="A1577" s="12">
        <v>2016</v>
      </c>
      <c r="B1577" s="15" t="s">
        <v>488</v>
      </c>
      <c r="C1577" s="15" t="s">
        <v>491</v>
      </c>
      <c r="D1577" s="15" t="s">
        <v>492</v>
      </c>
      <c r="E1577" s="19">
        <v>54680</v>
      </c>
      <c r="F1577" s="19">
        <v>36003</v>
      </c>
      <c r="G1577" s="20">
        <f t="shared" si="24"/>
        <v>0.39702038970920678</v>
      </c>
      <c r="H1577" s="24" t="s">
        <v>583</v>
      </c>
      <c r="I1577" s="24" t="s">
        <v>569</v>
      </c>
      <c r="J1577" s="24" t="s">
        <v>593</v>
      </c>
      <c r="K1577" s="24" t="s">
        <v>595</v>
      </c>
    </row>
    <row r="1578" spans="1:11">
      <c r="A1578" s="12">
        <v>2016</v>
      </c>
      <c r="B1578" s="15" t="s">
        <v>488</v>
      </c>
      <c r="C1578" s="15" t="s">
        <v>260</v>
      </c>
      <c r="D1578" s="15" t="s">
        <v>493</v>
      </c>
      <c r="E1578" s="19">
        <v>42071</v>
      </c>
      <c r="F1578" s="19">
        <v>41261</v>
      </c>
      <c r="G1578" s="20">
        <f t="shared" si="24"/>
        <v>0.4951399222387558</v>
      </c>
      <c r="H1578" s="24" t="s">
        <v>583</v>
      </c>
      <c r="I1578" s="24" t="s">
        <v>569</v>
      </c>
      <c r="J1578" s="24" t="s">
        <v>593</v>
      </c>
      <c r="K1578" s="24" t="s">
        <v>595</v>
      </c>
    </row>
    <row r="1579" spans="1:11">
      <c r="A1579" s="12">
        <v>2016</v>
      </c>
      <c r="B1579" s="15" t="s">
        <v>488</v>
      </c>
      <c r="C1579" s="15" t="s">
        <v>494</v>
      </c>
      <c r="D1579" s="15" t="s">
        <v>495</v>
      </c>
      <c r="E1579" s="19">
        <v>469978</v>
      </c>
      <c r="F1579" s="19">
        <v>241472</v>
      </c>
      <c r="G1579" s="20">
        <f t="shared" si="24"/>
        <v>0.33940825075549935</v>
      </c>
      <c r="H1579" s="24" t="s">
        <v>583</v>
      </c>
      <c r="I1579" s="24" t="s">
        <v>569</v>
      </c>
      <c r="J1579" s="24" t="s">
        <v>593</v>
      </c>
      <c r="K1579" s="24" t="s">
        <v>595</v>
      </c>
    </row>
    <row r="1580" spans="1:11">
      <c r="A1580" s="12">
        <v>2016</v>
      </c>
      <c r="B1580" s="15" t="s">
        <v>488</v>
      </c>
      <c r="C1580" s="15" t="s">
        <v>496</v>
      </c>
      <c r="D1580" s="15" t="s">
        <v>497</v>
      </c>
      <c r="E1580" s="19">
        <v>36103</v>
      </c>
      <c r="F1580" s="19">
        <v>33116</v>
      </c>
      <c r="G1580" s="20">
        <f t="shared" si="24"/>
        <v>0.47842355422644073</v>
      </c>
      <c r="H1580" s="24" t="s">
        <v>583</v>
      </c>
      <c r="I1580" s="24" t="s">
        <v>569</v>
      </c>
      <c r="J1580" s="24" t="s">
        <v>593</v>
      </c>
      <c r="K1580" s="24" t="s">
        <v>595</v>
      </c>
    </row>
    <row r="1581" spans="1:11">
      <c r="A1581" s="12">
        <v>2016</v>
      </c>
      <c r="B1581" s="15" t="s">
        <v>488</v>
      </c>
      <c r="C1581" s="15" t="s">
        <v>498</v>
      </c>
      <c r="D1581" s="15" t="s">
        <v>499</v>
      </c>
      <c r="E1581" s="19">
        <v>90450</v>
      </c>
      <c r="F1581" s="19">
        <v>62283</v>
      </c>
      <c r="G1581" s="20">
        <f t="shared" si="24"/>
        <v>0.40779006501541909</v>
      </c>
      <c r="H1581" s="24" t="s">
        <v>583</v>
      </c>
      <c r="I1581" s="24" t="s">
        <v>569</v>
      </c>
      <c r="J1581" s="24" t="s">
        <v>593</v>
      </c>
      <c r="K1581" s="24" t="s">
        <v>595</v>
      </c>
    </row>
    <row r="1582" spans="1:11">
      <c r="A1582" s="12">
        <v>2016</v>
      </c>
      <c r="B1582" s="15" t="s">
        <v>488</v>
      </c>
      <c r="C1582" s="15" t="s">
        <v>500</v>
      </c>
      <c r="D1582" s="15" t="s">
        <v>501</v>
      </c>
      <c r="E1582" s="19">
        <v>96877</v>
      </c>
      <c r="F1582" s="19">
        <v>70200</v>
      </c>
      <c r="G1582" s="20">
        <f t="shared" si="24"/>
        <v>0.42016555240996667</v>
      </c>
      <c r="H1582" s="24" t="s">
        <v>583</v>
      </c>
      <c r="I1582" s="24" t="s">
        <v>569</v>
      </c>
      <c r="J1582" s="24" t="s">
        <v>593</v>
      </c>
      <c r="K1582" s="24" t="s">
        <v>595</v>
      </c>
    </row>
    <row r="1583" spans="1:11">
      <c r="A1583" s="12">
        <v>2016</v>
      </c>
      <c r="B1583" s="15" t="s">
        <v>488</v>
      </c>
      <c r="C1583" s="15" t="s">
        <v>502</v>
      </c>
      <c r="D1583" s="15" t="s">
        <v>503</v>
      </c>
      <c r="E1583" s="19">
        <v>26153</v>
      </c>
      <c r="F1583" s="19">
        <v>30593</v>
      </c>
      <c r="G1583" s="20">
        <f t="shared" si="24"/>
        <v>0.53912170020794414</v>
      </c>
      <c r="H1583" s="24" t="s">
        <v>583</v>
      </c>
      <c r="I1583" s="24" t="s">
        <v>569</v>
      </c>
      <c r="J1583" s="24" t="s">
        <v>593</v>
      </c>
      <c r="K1583" s="24" t="s">
        <v>595</v>
      </c>
    </row>
    <row r="1584" spans="1:11">
      <c r="A1584" s="12">
        <v>2016</v>
      </c>
      <c r="B1584" s="15" t="s">
        <v>488</v>
      </c>
      <c r="C1584" s="15" t="s">
        <v>504</v>
      </c>
      <c r="D1584" s="15" t="s">
        <v>505</v>
      </c>
      <c r="E1584" s="19">
        <v>271708</v>
      </c>
      <c r="F1584" s="19">
        <v>160048</v>
      </c>
      <c r="G1584" s="20">
        <f t="shared" si="24"/>
        <v>0.37069085316706657</v>
      </c>
      <c r="H1584" s="24" t="s">
        <v>583</v>
      </c>
      <c r="I1584" s="24" t="s">
        <v>569</v>
      </c>
      <c r="J1584" s="24" t="s">
        <v>593</v>
      </c>
      <c r="K1584" s="24" t="s">
        <v>595</v>
      </c>
    </row>
    <row r="1585" spans="1:11">
      <c r="A1585" s="12">
        <v>2016</v>
      </c>
      <c r="B1585" s="15" t="s">
        <v>488</v>
      </c>
      <c r="C1585" s="15" t="s">
        <v>506</v>
      </c>
      <c r="D1585" s="15" t="s">
        <v>507</v>
      </c>
      <c r="E1585" s="19">
        <v>20652</v>
      </c>
      <c r="F1585" s="19">
        <v>23113</v>
      </c>
      <c r="G1585" s="20">
        <f t="shared" si="24"/>
        <v>0.52811607448874676</v>
      </c>
      <c r="H1585" s="24" t="s">
        <v>583</v>
      </c>
      <c r="I1585" s="24" t="s">
        <v>569</v>
      </c>
      <c r="J1585" s="24" t="s">
        <v>593</v>
      </c>
      <c r="K1585" s="24" t="s">
        <v>595</v>
      </c>
    </row>
    <row r="1586" spans="1:11">
      <c r="A1586" s="12">
        <v>2016</v>
      </c>
      <c r="B1586" s="15" t="s">
        <v>488</v>
      </c>
      <c r="C1586" s="15" t="s">
        <v>508</v>
      </c>
      <c r="D1586" s="15" t="s">
        <v>509</v>
      </c>
      <c r="E1586" s="19">
        <v>310902</v>
      </c>
      <c r="F1586" s="19">
        <v>97259</v>
      </c>
      <c r="G1586" s="20">
        <f t="shared" si="24"/>
        <v>0.2382858724865923</v>
      </c>
      <c r="H1586" s="24" t="s">
        <v>583</v>
      </c>
      <c r="I1586" s="24" t="s">
        <v>569</v>
      </c>
      <c r="J1586" s="24" t="s">
        <v>593</v>
      </c>
      <c r="K1586" s="24" t="s">
        <v>595</v>
      </c>
    </row>
    <row r="1587" spans="1:11">
      <c r="A1587" s="12">
        <v>2016</v>
      </c>
      <c r="B1587" s="15" t="s">
        <v>488</v>
      </c>
      <c r="C1587" s="15" t="s">
        <v>510</v>
      </c>
      <c r="D1587" s="15" t="s">
        <v>511</v>
      </c>
      <c r="E1587" s="19">
        <v>50042</v>
      </c>
      <c r="F1587" s="19">
        <v>48574</v>
      </c>
      <c r="G1587" s="20">
        <f t="shared" si="24"/>
        <v>0.49255698872393933</v>
      </c>
      <c r="H1587" s="24" t="s">
        <v>583</v>
      </c>
      <c r="I1587" s="24" t="s">
        <v>569</v>
      </c>
      <c r="J1587" s="24" t="s">
        <v>593</v>
      </c>
      <c r="K1587" s="24" t="s">
        <v>595</v>
      </c>
    </row>
    <row r="1588" spans="1:11">
      <c r="A1588" s="12">
        <v>2016</v>
      </c>
      <c r="B1588" s="15" t="s">
        <v>488</v>
      </c>
      <c r="C1588" s="15" t="s">
        <v>512</v>
      </c>
      <c r="D1588" s="15" t="s">
        <v>513</v>
      </c>
      <c r="E1588" s="19">
        <v>148843</v>
      </c>
      <c r="F1588" s="19">
        <v>120637</v>
      </c>
      <c r="G1588" s="20">
        <f t="shared" si="24"/>
        <v>0.44766587501855426</v>
      </c>
      <c r="H1588" s="24" t="s">
        <v>583</v>
      </c>
      <c r="I1588" s="24" t="s">
        <v>569</v>
      </c>
      <c r="J1588" s="24" t="s">
        <v>593</v>
      </c>
      <c r="K1588" s="24" t="s">
        <v>595</v>
      </c>
    </row>
    <row r="1589" spans="1:11">
      <c r="A1589" s="12">
        <v>2016</v>
      </c>
      <c r="B1589" s="15" t="s">
        <v>488</v>
      </c>
      <c r="C1589" s="15" t="s">
        <v>514</v>
      </c>
      <c r="D1589" s="15" t="s">
        <v>515</v>
      </c>
      <c r="E1589" s="19">
        <v>174444</v>
      </c>
      <c r="F1589" s="19">
        <v>134790</v>
      </c>
      <c r="G1589" s="20">
        <f t="shared" si="24"/>
        <v>0.43588350569471662</v>
      </c>
      <c r="H1589" s="24" t="s">
        <v>583</v>
      </c>
      <c r="I1589" s="24" t="s">
        <v>569</v>
      </c>
      <c r="J1589" s="24" t="s">
        <v>593</v>
      </c>
      <c r="K1589" s="24" t="s">
        <v>595</v>
      </c>
    </row>
    <row r="1590" spans="1:11">
      <c r="A1590" s="12">
        <v>2016</v>
      </c>
      <c r="B1590" s="15" t="s">
        <v>488</v>
      </c>
      <c r="C1590" s="15" t="s">
        <v>516</v>
      </c>
      <c r="D1590" s="15" t="s">
        <v>517</v>
      </c>
      <c r="E1590" s="19">
        <v>193866</v>
      </c>
      <c r="F1590" s="19">
        <v>145936</v>
      </c>
      <c r="G1590" s="20">
        <f t="shared" si="24"/>
        <v>0.42947363464605859</v>
      </c>
      <c r="H1590" s="24" t="s">
        <v>583</v>
      </c>
      <c r="I1590" s="24" t="s">
        <v>569</v>
      </c>
      <c r="J1590" s="24" t="s">
        <v>593</v>
      </c>
      <c r="K1590" s="24" t="s">
        <v>595</v>
      </c>
    </row>
    <row r="1591" spans="1:11">
      <c r="A1591" s="12">
        <v>2016</v>
      </c>
      <c r="B1591" s="15" t="s">
        <v>488</v>
      </c>
      <c r="C1591" s="15" t="s">
        <v>518</v>
      </c>
      <c r="D1591" s="15" t="s">
        <v>519</v>
      </c>
      <c r="E1591" s="19">
        <v>198860</v>
      </c>
      <c r="F1591" s="19">
        <v>178965</v>
      </c>
      <c r="G1591" s="20">
        <f t="shared" si="24"/>
        <v>0.47367167339376698</v>
      </c>
      <c r="H1591" s="24" t="s">
        <v>583</v>
      </c>
      <c r="I1591" s="24" t="s">
        <v>569</v>
      </c>
      <c r="J1591" s="24" t="s">
        <v>593</v>
      </c>
      <c r="K1591" s="24" t="s">
        <v>595</v>
      </c>
    </row>
    <row r="1592" spans="1:11">
      <c r="A1592" s="12">
        <v>2016</v>
      </c>
      <c r="B1592" s="15" t="s">
        <v>488</v>
      </c>
      <c r="C1592" s="15" t="s">
        <v>520</v>
      </c>
      <c r="D1592" s="15" t="s">
        <v>521</v>
      </c>
      <c r="E1592" s="19">
        <v>160105</v>
      </c>
      <c r="F1592" s="19">
        <v>113508</v>
      </c>
      <c r="G1592" s="20">
        <f t="shared" si="24"/>
        <v>0.41484870967388243</v>
      </c>
      <c r="H1592" s="24" t="s">
        <v>583</v>
      </c>
      <c r="I1592" s="24" t="s">
        <v>569</v>
      </c>
      <c r="J1592" s="24" t="s">
        <v>593</v>
      </c>
      <c r="K1592" s="24" t="s">
        <v>595</v>
      </c>
    </row>
    <row r="1593" spans="1:11">
      <c r="A1593" s="12">
        <v>2016</v>
      </c>
      <c r="B1593" s="15" t="s">
        <v>488</v>
      </c>
      <c r="C1593" s="15" t="s">
        <v>522</v>
      </c>
      <c r="D1593" s="15" t="s">
        <v>523</v>
      </c>
      <c r="E1593" s="19">
        <v>123660</v>
      </c>
      <c r="F1593" s="19">
        <v>60638</v>
      </c>
      <c r="G1593" s="20">
        <f t="shared" si="24"/>
        <v>0.32902147608764065</v>
      </c>
      <c r="H1593" s="24" t="s">
        <v>583</v>
      </c>
      <c r="I1593" s="24" t="s">
        <v>569</v>
      </c>
      <c r="J1593" s="24" t="s">
        <v>593</v>
      </c>
      <c r="K1593" s="24" t="s">
        <v>595</v>
      </c>
    </row>
    <row r="1594" spans="1:11">
      <c r="A1594" s="12">
        <v>2016</v>
      </c>
      <c r="B1594" s="15" t="s">
        <v>488</v>
      </c>
      <c r="C1594" s="15" t="s">
        <v>524</v>
      </c>
      <c r="D1594" s="15" t="s">
        <v>525</v>
      </c>
      <c r="E1594" s="19">
        <v>36028</v>
      </c>
      <c r="F1594" s="19">
        <v>38588</v>
      </c>
      <c r="G1594" s="20">
        <f t="shared" si="24"/>
        <v>0.51715449769486432</v>
      </c>
      <c r="H1594" s="24" t="s">
        <v>583</v>
      </c>
      <c r="I1594" s="24" t="s">
        <v>569</v>
      </c>
      <c r="J1594" s="24" t="s">
        <v>593</v>
      </c>
      <c r="K1594" s="24" t="s">
        <v>595</v>
      </c>
    </row>
    <row r="1595" spans="1:11">
      <c r="A1595" s="12">
        <v>2016</v>
      </c>
      <c r="B1595" s="15" t="s">
        <v>488</v>
      </c>
      <c r="C1595" s="15" t="s">
        <v>526</v>
      </c>
      <c r="D1595" s="15" t="s">
        <v>527</v>
      </c>
      <c r="E1595" s="19">
        <v>49429</v>
      </c>
      <c r="F1595" s="19">
        <v>57868</v>
      </c>
      <c r="G1595" s="20">
        <f t="shared" si="24"/>
        <v>0.5393254238235925</v>
      </c>
      <c r="H1595" s="24" t="s">
        <v>583</v>
      </c>
      <c r="I1595" s="24" t="s">
        <v>569</v>
      </c>
      <c r="J1595" s="24" t="s">
        <v>593</v>
      </c>
      <c r="K1595" s="24" t="s">
        <v>595</v>
      </c>
    </row>
    <row r="1596" spans="1:11">
      <c r="A1596" s="12">
        <v>2016</v>
      </c>
      <c r="B1596" s="15" t="s">
        <v>488</v>
      </c>
      <c r="C1596" s="15" t="s">
        <v>528</v>
      </c>
      <c r="D1596" s="15" t="s">
        <v>529</v>
      </c>
      <c r="E1596" s="19">
        <v>32835</v>
      </c>
      <c r="F1596" s="19">
        <v>30095</v>
      </c>
      <c r="G1596" s="20">
        <f t="shared" si="24"/>
        <v>0.47822977911965675</v>
      </c>
      <c r="H1596" s="24" t="s">
        <v>583</v>
      </c>
      <c r="I1596" s="24" t="s">
        <v>569</v>
      </c>
      <c r="J1596" s="24" t="s">
        <v>593</v>
      </c>
      <c r="K1596" s="24" t="s">
        <v>595</v>
      </c>
    </row>
    <row r="1597" spans="1:11">
      <c r="A1597" s="12">
        <v>2016</v>
      </c>
      <c r="B1597" s="15" t="s">
        <v>488</v>
      </c>
      <c r="C1597" s="15" t="s">
        <v>530</v>
      </c>
      <c r="D1597" s="15" t="s">
        <v>531</v>
      </c>
      <c r="E1597" s="19">
        <v>36385</v>
      </c>
      <c r="F1597" s="19">
        <v>35729</v>
      </c>
      <c r="G1597" s="20">
        <f t="shared" si="24"/>
        <v>0.49545164600493663</v>
      </c>
      <c r="H1597" s="24" t="s">
        <v>583</v>
      </c>
      <c r="I1597" s="24" t="s">
        <v>569</v>
      </c>
      <c r="J1597" s="24" t="s">
        <v>593</v>
      </c>
      <c r="K1597" s="24" t="s">
        <v>595</v>
      </c>
    </row>
    <row r="1598" spans="1:11">
      <c r="A1598" s="12">
        <v>2016</v>
      </c>
      <c r="B1598" s="15" t="s">
        <v>532</v>
      </c>
      <c r="C1598" s="15" t="s">
        <v>22</v>
      </c>
      <c r="D1598" s="15" t="s">
        <v>532</v>
      </c>
      <c r="E1598" s="19">
        <v>582038</v>
      </c>
      <c r="F1598" s="19">
        <v>120515</v>
      </c>
      <c r="G1598" s="20">
        <f t="shared" si="24"/>
        <v>0.17153865971677582</v>
      </c>
      <c r="H1598" s="24" t="s">
        <v>586</v>
      </c>
      <c r="I1598" s="24" t="s">
        <v>587</v>
      </c>
      <c r="J1598" s="24" t="s">
        <v>588</v>
      </c>
      <c r="K1598" s="24" t="s">
        <v>595</v>
      </c>
    </row>
    <row r="1599" spans="1:11">
      <c r="A1599" s="12">
        <v>2016</v>
      </c>
      <c r="B1599" s="15" t="s">
        <v>532</v>
      </c>
      <c r="C1599" s="15" t="s">
        <v>533</v>
      </c>
      <c r="D1599" s="15" t="s">
        <v>534</v>
      </c>
      <c r="E1599" s="19">
        <v>139523</v>
      </c>
      <c r="F1599" s="19">
        <v>104136</v>
      </c>
      <c r="G1599" s="20">
        <f t="shared" si="24"/>
        <v>0.42738417214221514</v>
      </c>
      <c r="H1599" s="24" t="s">
        <v>586</v>
      </c>
      <c r="I1599" s="24" t="s">
        <v>587</v>
      </c>
      <c r="J1599" s="24" t="s">
        <v>588</v>
      </c>
      <c r="K1599" s="24" t="s">
        <v>595</v>
      </c>
    </row>
    <row r="1600" spans="1:11">
      <c r="A1600" s="12">
        <v>2016</v>
      </c>
      <c r="B1600" s="15" t="s">
        <v>532</v>
      </c>
      <c r="C1600" s="15" t="s">
        <v>535</v>
      </c>
      <c r="D1600" s="15" t="s">
        <v>536</v>
      </c>
      <c r="E1600" s="19">
        <v>426329</v>
      </c>
      <c r="F1600" s="19">
        <v>100291</v>
      </c>
      <c r="G1600" s="20">
        <f t="shared" si="24"/>
        <v>0.19044282404770044</v>
      </c>
      <c r="H1600" s="24" t="s">
        <v>586</v>
      </c>
      <c r="I1600" s="24" t="s">
        <v>587</v>
      </c>
      <c r="J1600" s="24" t="s">
        <v>588</v>
      </c>
      <c r="K1600" s="24" t="s">
        <v>595</v>
      </c>
    </row>
    <row r="1601" spans="1:11">
      <c r="A1601" s="12">
        <v>2017</v>
      </c>
      <c r="B1601" s="15" t="s">
        <v>21</v>
      </c>
      <c r="C1601" s="15" t="s">
        <v>22</v>
      </c>
      <c r="D1601" s="15" t="s">
        <v>21</v>
      </c>
      <c r="E1601" s="19">
        <v>8914179</v>
      </c>
      <c r="F1601" s="19">
        <v>2217724</v>
      </c>
      <c r="G1601" s="20">
        <f t="shared" si="24"/>
        <v>0.19922236117220929</v>
      </c>
      <c r="H1601" s="24" t="s">
        <v>579</v>
      </c>
      <c r="I1601" s="24" t="s">
        <v>596</v>
      </c>
      <c r="J1601" s="24" t="s">
        <v>597</v>
      </c>
      <c r="K1601" s="24" t="s">
        <v>598</v>
      </c>
    </row>
    <row r="1602" spans="1:11">
      <c r="A1602" s="12">
        <v>2017</v>
      </c>
      <c r="B1602" s="15" t="s">
        <v>21</v>
      </c>
      <c r="C1602" s="15" t="s">
        <v>23</v>
      </c>
      <c r="D1602" s="15" t="s">
        <v>24</v>
      </c>
      <c r="E1602" s="19">
        <v>444382</v>
      </c>
      <c r="F1602" s="19">
        <v>372459</v>
      </c>
      <c r="G1602" s="20">
        <f t="shared" si="24"/>
        <v>0.45597490821347114</v>
      </c>
      <c r="H1602" s="24" t="s">
        <v>579</v>
      </c>
      <c r="I1602" s="24" t="s">
        <v>596</v>
      </c>
      <c r="J1602" s="24" t="s">
        <v>597</v>
      </c>
      <c r="K1602" s="24" t="s">
        <v>598</v>
      </c>
    </row>
    <row r="1603" spans="1:11">
      <c r="A1603" s="12">
        <v>2017</v>
      </c>
      <c r="B1603" s="15" t="s">
        <v>21</v>
      </c>
      <c r="C1603" s="15" t="s">
        <v>25</v>
      </c>
      <c r="D1603" s="15" t="s">
        <v>26</v>
      </c>
      <c r="E1603" s="19">
        <v>361798</v>
      </c>
      <c r="F1603" s="19">
        <v>243928</v>
      </c>
      <c r="G1603" s="20">
        <f t="shared" si="24"/>
        <v>0.40270353262035968</v>
      </c>
      <c r="H1603" s="24" t="s">
        <v>579</v>
      </c>
      <c r="I1603" s="24" t="s">
        <v>596</v>
      </c>
      <c r="J1603" s="24" t="s">
        <v>597</v>
      </c>
      <c r="K1603" s="24" t="s">
        <v>598</v>
      </c>
    </row>
    <row r="1604" spans="1:11">
      <c r="A1604" s="12">
        <v>2017</v>
      </c>
      <c r="B1604" s="15" t="s">
        <v>21</v>
      </c>
      <c r="C1604" s="15" t="s">
        <v>27</v>
      </c>
      <c r="D1604" s="15" t="s">
        <v>28</v>
      </c>
      <c r="E1604" s="19">
        <v>253001</v>
      </c>
      <c r="F1604" s="19">
        <v>221842</v>
      </c>
      <c r="G1604" s="20">
        <f t="shared" si="24"/>
        <v>0.467190208131951</v>
      </c>
      <c r="H1604" s="24" t="s">
        <v>579</v>
      </c>
      <c r="I1604" s="24" t="s">
        <v>596</v>
      </c>
      <c r="J1604" s="24" t="s">
        <v>597</v>
      </c>
      <c r="K1604" s="24" t="s">
        <v>598</v>
      </c>
    </row>
    <row r="1605" spans="1:11">
      <c r="A1605" s="12">
        <v>2017</v>
      </c>
      <c r="B1605" s="15" t="s">
        <v>21</v>
      </c>
      <c r="C1605" s="15" t="s">
        <v>29</v>
      </c>
      <c r="D1605" s="15" t="s">
        <v>30</v>
      </c>
      <c r="E1605" s="19">
        <v>478859</v>
      </c>
      <c r="F1605" s="19">
        <v>405262</v>
      </c>
      <c r="G1605" s="20">
        <f t="shared" si="24"/>
        <v>0.45837843462602967</v>
      </c>
      <c r="H1605" s="24" t="s">
        <v>579</v>
      </c>
      <c r="I1605" s="24" t="s">
        <v>596</v>
      </c>
      <c r="J1605" s="24" t="s">
        <v>597</v>
      </c>
      <c r="K1605" s="24" t="s">
        <v>598</v>
      </c>
    </row>
    <row r="1606" spans="1:11">
      <c r="A1606" s="12">
        <v>2017</v>
      </c>
      <c r="B1606" s="15" t="s">
        <v>21</v>
      </c>
      <c r="C1606" s="15" t="s">
        <v>31</v>
      </c>
      <c r="D1606" s="15" t="s">
        <v>32</v>
      </c>
      <c r="E1606" s="19">
        <v>380472</v>
      </c>
      <c r="F1606" s="19">
        <v>355469</v>
      </c>
      <c r="G1606" s="20">
        <f t="shared" ref="G1606:G1669" si="25">IFERROR(F1606/(E1606+F1606),"")</f>
        <v>0.48301290456707807</v>
      </c>
      <c r="H1606" s="24" t="s">
        <v>579</v>
      </c>
      <c r="I1606" s="24" t="s">
        <v>596</v>
      </c>
      <c r="J1606" s="24" t="s">
        <v>597</v>
      </c>
      <c r="K1606" s="24" t="s">
        <v>598</v>
      </c>
    </row>
    <row r="1607" spans="1:11">
      <c r="A1607" s="12">
        <v>2017</v>
      </c>
      <c r="B1607" s="15" t="s">
        <v>21</v>
      </c>
      <c r="C1607" s="15" t="s">
        <v>33</v>
      </c>
      <c r="D1607" s="15" t="s">
        <v>34</v>
      </c>
      <c r="E1607" s="19">
        <v>285154</v>
      </c>
      <c r="F1607" s="19">
        <v>231853</v>
      </c>
      <c r="G1607" s="20">
        <f t="shared" si="25"/>
        <v>0.44845234203792211</v>
      </c>
      <c r="H1607" s="24" t="s">
        <v>579</v>
      </c>
      <c r="I1607" s="24" t="s">
        <v>596</v>
      </c>
      <c r="J1607" s="24" t="s">
        <v>597</v>
      </c>
      <c r="K1607" s="24" t="s">
        <v>598</v>
      </c>
    </row>
    <row r="1608" spans="1:11">
      <c r="A1608" s="12">
        <v>2017</v>
      </c>
      <c r="B1608" s="15" t="s">
        <v>21</v>
      </c>
      <c r="C1608" s="15" t="s">
        <v>35</v>
      </c>
      <c r="D1608" s="15" t="s">
        <v>36</v>
      </c>
      <c r="E1608" s="19">
        <v>337777</v>
      </c>
      <c r="F1608" s="19">
        <v>287544</v>
      </c>
      <c r="G1608" s="20">
        <f t="shared" si="25"/>
        <v>0.45983422913991373</v>
      </c>
      <c r="H1608" s="24" t="s">
        <v>579</v>
      </c>
      <c r="I1608" s="24" t="s">
        <v>596</v>
      </c>
      <c r="J1608" s="24" t="s">
        <v>597</v>
      </c>
      <c r="K1608" s="24" t="s">
        <v>598</v>
      </c>
    </row>
    <row r="1609" spans="1:11">
      <c r="A1609" s="12">
        <v>2017</v>
      </c>
      <c r="B1609" s="15" t="s">
        <v>21</v>
      </c>
      <c r="C1609" s="15" t="s">
        <v>37</v>
      </c>
      <c r="D1609" s="15" t="s">
        <v>38</v>
      </c>
      <c r="E1609" s="19">
        <v>187041</v>
      </c>
      <c r="F1609" s="19">
        <v>172747</v>
      </c>
      <c r="G1609" s="20">
        <f t="shared" si="25"/>
        <v>0.4801355242531713</v>
      </c>
      <c r="H1609" s="24" t="s">
        <v>579</v>
      </c>
      <c r="I1609" s="24" t="s">
        <v>596</v>
      </c>
      <c r="J1609" s="24" t="s">
        <v>597</v>
      </c>
      <c r="K1609" s="24" t="s">
        <v>598</v>
      </c>
    </row>
    <row r="1610" spans="1:11">
      <c r="A1610" s="12">
        <v>2017</v>
      </c>
      <c r="B1610" s="15" t="s">
        <v>21</v>
      </c>
      <c r="C1610" s="15" t="s">
        <v>39</v>
      </c>
      <c r="D1610" s="15" t="s">
        <v>40</v>
      </c>
      <c r="E1610" s="19">
        <v>449699</v>
      </c>
      <c r="F1610" s="19">
        <v>329039</v>
      </c>
      <c r="G1610" s="20">
        <f t="shared" si="25"/>
        <v>0.42252850124175267</v>
      </c>
      <c r="H1610" s="24" t="s">
        <v>579</v>
      </c>
      <c r="I1610" s="24" t="s">
        <v>596</v>
      </c>
      <c r="J1610" s="24" t="s">
        <v>597</v>
      </c>
      <c r="K1610" s="24" t="s">
        <v>598</v>
      </c>
    </row>
    <row r="1611" spans="1:11">
      <c r="A1611" s="12">
        <v>2017</v>
      </c>
      <c r="B1611" s="15" t="s">
        <v>21</v>
      </c>
      <c r="C1611" s="15" t="s">
        <v>41</v>
      </c>
      <c r="D1611" s="15" t="s">
        <v>42</v>
      </c>
      <c r="E1611" s="19">
        <v>266127</v>
      </c>
      <c r="F1611" s="19">
        <v>242409</v>
      </c>
      <c r="G1611" s="20">
        <f t="shared" si="25"/>
        <v>0.47668011704186136</v>
      </c>
      <c r="H1611" s="24" t="s">
        <v>579</v>
      </c>
      <c r="I1611" s="24" t="s">
        <v>596</v>
      </c>
      <c r="J1611" s="24" t="s">
        <v>597</v>
      </c>
      <c r="K1611" s="24" t="s">
        <v>598</v>
      </c>
    </row>
    <row r="1612" spans="1:11">
      <c r="A1612" s="12">
        <v>2017</v>
      </c>
      <c r="B1612" s="15" t="s">
        <v>21</v>
      </c>
      <c r="C1612" s="15" t="s">
        <v>43</v>
      </c>
      <c r="D1612" s="15" t="s">
        <v>44</v>
      </c>
      <c r="E1612" s="19">
        <v>273443</v>
      </c>
      <c r="F1612" s="19">
        <v>222765</v>
      </c>
      <c r="G1612" s="20">
        <f t="shared" si="25"/>
        <v>0.44893472092348369</v>
      </c>
      <c r="H1612" s="24" t="s">
        <v>579</v>
      </c>
      <c r="I1612" s="24" t="s">
        <v>596</v>
      </c>
      <c r="J1612" s="24" t="s">
        <v>597</v>
      </c>
      <c r="K1612" s="24" t="s">
        <v>598</v>
      </c>
    </row>
    <row r="1613" spans="1:11">
      <c r="A1613" s="12">
        <v>2017</v>
      </c>
      <c r="B1613" s="15" t="s">
        <v>21</v>
      </c>
      <c r="C1613" s="15" t="s">
        <v>45</v>
      </c>
      <c r="D1613" s="15" t="s">
        <v>46</v>
      </c>
      <c r="E1613" s="19">
        <v>295985</v>
      </c>
      <c r="F1613" s="19">
        <v>287877</v>
      </c>
      <c r="G1613" s="20">
        <f t="shared" si="25"/>
        <v>0.49305657843805556</v>
      </c>
      <c r="H1613" s="24" t="s">
        <v>579</v>
      </c>
      <c r="I1613" s="24" t="s">
        <v>596</v>
      </c>
      <c r="J1613" s="24" t="s">
        <v>597</v>
      </c>
      <c r="K1613" s="24" t="s">
        <v>598</v>
      </c>
    </row>
    <row r="1614" spans="1:11">
      <c r="A1614" s="12">
        <v>2017</v>
      </c>
      <c r="B1614" s="15" t="s">
        <v>21</v>
      </c>
      <c r="C1614" s="15" t="s">
        <v>47</v>
      </c>
      <c r="D1614" s="15" t="s">
        <v>48</v>
      </c>
      <c r="E1614" s="19">
        <v>290980</v>
      </c>
      <c r="F1614" s="19">
        <v>267569</v>
      </c>
      <c r="G1614" s="20">
        <f t="shared" si="25"/>
        <v>0.47904302039749425</v>
      </c>
      <c r="H1614" s="24" t="s">
        <v>579</v>
      </c>
      <c r="I1614" s="24" t="s">
        <v>596</v>
      </c>
      <c r="J1614" s="24" t="s">
        <v>597</v>
      </c>
      <c r="K1614" s="24" t="s">
        <v>598</v>
      </c>
    </row>
    <row r="1615" spans="1:11">
      <c r="A1615" s="12">
        <v>2017</v>
      </c>
      <c r="B1615" s="15" t="s">
        <v>21</v>
      </c>
      <c r="C1615" s="15" t="s">
        <v>49</v>
      </c>
      <c r="D1615" s="15" t="s">
        <v>50</v>
      </c>
      <c r="E1615" s="19">
        <v>228745</v>
      </c>
      <c r="F1615" s="19">
        <v>229125</v>
      </c>
      <c r="G1615" s="20">
        <f t="shared" si="25"/>
        <v>0.50041496494638216</v>
      </c>
      <c r="H1615" s="24" t="s">
        <v>579</v>
      </c>
      <c r="I1615" s="24" t="s">
        <v>596</v>
      </c>
      <c r="J1615" s="24" t="s">
        <v>597</v>
      </c>
      <c r="K1615" s="24" t="s">
        <v>598</v>
      </c>
    </row>
    <row r="1616" spans="1:11">
      <c r="A1616" s="12">
        <v>2017</v>
      </c>
      <c r="B1616" s="15" t="s">
        <v>21</v>
      </c>
      <c r="C1616" s="15" t="s">
        <v>51</v>
      </c>
      <c r="D1616" s="15" t="s">
        <v>52</v>
      </c>
      <c r="E1616" s="19">
        <v>329761</v>
      </c>
      <c r="F1616" s="19">
        <v>331255</v>
      </c>
      <c r="G1616" s="20">
        <f t="shared" si="25"/>
        <v>0.50113007854575375</v>
      </c>
      <c r="H1616" s="24" t="s">
        <v>579</v>
      </c>
      <c r="I1616" s="24" t="s">
        <v>596</v>
      </c>
      <c r="J1616" s="24" t="s">
        <v>597</v>
      </c>
      <c r="K1616" s="24" t="s">
        <v>598</v>
      </c>
    </row>
    <row r="1617" spans="1:11">
      <c r="A1617" s="12">
        <v>2017</v>
      </c>
      <c r="B1617" s="15" t="s">
        <v>21</v>
      </c>
      <c r="C1617" s="15" t="s">
        <v>53</v>
      </c>
      <c r="D1617" s="15" t="s">
        <v>54</v>
      </c>
      <c r="E1617" s="19">
        <v>223049</v>
      </c>
      <c r="F1617" s="19">
        <v>223997</v>
      </c>
      <c r="G1617" s="20">
        <f t="shared" si="25"/>
        <v>0.50106029357157877</v>
      </c>
      <c r="H1617" s="24" t="s">
        <v>579</v>
      </c>
      <c r="I1617" s="24" t="s">
        <v>596</v>
      </c>
      <c r="J1617" s="24" t="s">
        <v>597</v>
      </c>
      <c r="K1617" s="24" t="s">
        <v>598</v>
      </c>
    </row>
    <row r="1618" spans="1:11">
      <c r="A1618" s="12">
        <v>2017</v>
      </c>
      <c r="B1618" s="15" t="s">
        <v>21</v>
      </c>
      <c r="C1618" s="15" t="s">
        <v>55</v>
      </c>
      <c r="D1618" s="15" t="s">
        <v>56</v>
      </c>
      <c r="E1618" s="19">
        <v>337023</v>
      </c>
      <c r="F1618" s="19">
        <v>312844</v>
      </c>
      <c r="G1618" s="20">
        <f t="shared" si="25"/>
        <v>0.48139696276314997</v>
      </c>
      <c r="H1618" s="24" t="s">
        <v>579</v>
      </c>
      <c r="I1618" s="24" t="s">
        <v>596</v>
      </c>
      <c r="J1618" s="24" t="s">
        <v>597</v>
      </c>
      <c r="K1618" s="24" t="s">
        <v>598</v>
      </c>
    </row>
    <row r="1619" spans="1:11">
      <c r="A1619" s="12">
        <v>2017</v>
      </c>
      <c r="B1619" s="15" t="s">
        <v>21</v>
      </c>
      <c r="C1619" s="15" t="s">
        <v>57</v>
      </c>
      <c r="D1619" s="15" t="s">
        <v>58</v>
      </c>
      <c r="E1619" s="19">
        <v>526151</v>
      </c>
      <c r="F1619" s="19">
        <v>414864</v>
      </c>
      <c r="G1619" s="20">
        <f t="shared" si="25"/>
        <v>0.44086863652545388</v>
      </c>
      <c r="H1619" s="24" t="s">
        <v>579</v>
      </c>
      <c r="I1619" s="24" t="s">
        <v>596</v>
      </c>
      <c r="J1619" s="24" t="s">
        <v>597</v>
      </c>
      <c r="K1619" s="24" t="s">
        <v>598</v>
      </c>
    </row>
    <row r="1620" spans="1:11">
      <c r="A1620" s="12">
        <v>2017</v>
      </c>
      <c r="B1620" s="15" t="s">
        <v>21</v>
      </c>
      <c r="C1620" s="15" t="s">
        <v>59</v>
      </c>
      <c r="D1620" s="15" t="s">
        <v>60</v>
      </c>
      <c r="E1620" s="19">
        <v>370432</v>
      </c>
      <c r="F1620" s="19">
        <v>323293</v>
      </c>
      <c r="G1620" s="20">
        <f t="shared" si="25"/>
        <v>0.46602472161158959</v>
      </c>
      <c r="H1620" s="24" t="s">
        <v>579</v>
      </c>
      <c r="I1620" s="24" t="s">
        <v>596</v>
      </c>
      <c r="J1620" s="24" t="s">
        <v>597</v>
      </c>
      <c r="K1620" s="24" t="s">
        <v>598</v>
      </c>
    </row>
    <row r="1621" spans="1:11">
      <c r="A1621" s="12">
        <v>2017</v>
      </c>
      <c r="B1621" s="15" t="s">
        <v>21</v>
      </c>
      <c r="C1621" s="15" t="s">
        <v>61</v>
      </c>
      <c r="D1621" s="15" t="s">
        <v>62</v>
      </c>
      <c r="E1621" s="19">
        <v>300356</v>
      </c>
      <c r="F1621" s="19">
        <v>267251</v>
      </c>
      <c r="G1621" s="20">
        <f t="shared" si="25"/>
        <v>0.4708380974864651</v>
      </c>
      <c r="H1621" s="24" t="s">
        <v>579</v>
      </c>
      <c r="I1621" s="24" t="s">
        <v>596</v>
      </c>
      <c r="J1621" s="24" t="s">
        <v>597</v>
      </c>
      <c r="K1621" s="24" t="s">
        <v>598</v>
      </c>
    </row>
    <row r="1622" spans="1:11">
      <c r="A1622" s="12">
        <v>2017</v>
      </c>
      <c r="B1622" s="15" t="s">
        <v>21</v>
      </c>
      <c r="C1622" s="15" t="s">
        <v>63</v>
      </c>
      <c r="D1622" s="15" t="s">
        <v>64</v>
      </c>
      <c r="E1622" s="19">
        <v>151573</v>
      </c>
      <c r="F1622" s="19">
        <v>174034</v>
      </c>
      <c r="G1622" s="20">
        <f t="shared" si="25"/>
        <v>0.5344909661033086</v>
      </c>
      <c r="H1622" s="24" t="s">
        <v>579</v>
      </c>
      <c r="I1622" s="24" t="s">
        <v>596</v>
      </c>
      <c r="J1622" s="24" t="s">
        <v>597</v>
      </c>
      <c r="K1622" s="24" t="s">
        <v>598</v>
      </c>
    </row>
    <row r="1623" spans="1:11">
      <c r="A1623" s="12">
        <v>2017</v>
      </c>
      <c r="B1623" s="15" t="s">
        <v>21</v>
      </c>
      <c r="C1623" s="15" t="s">
        <v>65</v>
      </c>
      <c r="D1623" s="15" t="s">
        <v>66</v>
      </c>
      <c r="E1623" s="19">
        <v>387756</v>
      </c>
      <c r="F1623" s="19">
        <v>308112</v>
      </c>
      <c r="G1623" s="20">
        <f t="shared" si="25"/>
        <v>0.44277362948145338</v>
      </c>
      <c r="H1623" s="24" t="s">
        <v>579</v>
      </c>
      <c r="I1623" s="24" t="s">
        <v>596</v>
      </c>
      <c r="J1623" s="24" t="s">
        <v>597</v>
      </c>
      <c r="K1623" s="24" t="s">
        <v>598</v>
      </c>
    </row>
    <row r="1624" spans="1:11">
      <c r="A1624" s="12">
        <v>2017</v>
      </c>
      <c r="B1624" s="15" t="s">
        <v>21</v>
      </c>
      <c r="C1624" s="15" t="s">
        <v>67</v>
      </c>
      <c r="D1624" s="15" t="s">
        <v>68</v>
      </c>
      <c r="E1624" s="19">
        <v>111259</v>
      </c>
      <c r="F1624" s="19">
        <v>116637</v>
      </c>
      <c r="G1624" s="20">
        <f t="shared" si="25"/>
        <v>0.51179924175939906</v>
      </c>
      <c r="H1624" s="24" t="s">
        <v>579</v>
      </c>
      <c r="I1624" s="24" t="s">
        <v>596</v>
      </c>
      <c r="J1624" s="24" t="s">
        <v>597</v>
      </c>
      <c r="K1624" s="24" t="s">
        <v>598</v>
      </c>
    </row>
    <row r="1625" spans="1:11">
      <c r="A1625" s="12">
        <v>2017</v>
      </c>
      <c r="B1625" s="15" t="s">
        <v>21</v>
      </c>
      <c r="C1625" s="15" t="s">
        <v>69</v>
      </c>
      <c r="D1625" s="15" t="s">
        <v>70</v>
      </c>
      <c r="E1625" s="19">
        <v>94155</v>
      </c>
      <c r="F1625" s="19">
        <v>95849</v>
      </c>
      <c r="G1625" s="20">
        <f t="shared" si="25"/>
        <v>0.50445780088840231</v>
      </c>
      <c r="H1625" s="24" t="s">
        <v>579</v>
      </c>
      <c r="I1625" s="24" t="s">
        <v>596</v>
      </c>
      <c r="J1625" s="24" t="s">
        <v>597</v>
      </c>
      <c r="K1625" s="24" t="s">
        <v>598</v>
      </c>
    </row>
    <row r="1626" spans="1:11">
      <c r="A1626" s="12">
        <v>2017</v>
      </c>
      <c r="B1626" s="15" t="s">
        <v>21</v>
      </c>
      <c r="C1626" s="15" t="s">
        <v>71</v>
      </c>
      <c r="D1626" s="15" t="s">
        <v>72</v>
      </c>
      <c r="E1626" s="19">
        <v>321712</v>
      </c>
      <c r="F1626" s="19">
        <v>267891</v>
      </c>
      <c r="G1626" s="20">
        <f t="shared" si="25"/>
        <v>0.45435827158274295</v>
      </c>
      <c r="H1626" s="24" t="s">
        <v>579</v>
      </c>
      <c r="I1626" s="24" t="s">
        <v>596</v>
      </c>
      <c r="J1626" s="24" t="s">
        <v>597</v>
      </c>
      <c r="K1626" s="24" t="s">
        <v>598</v>
      </c>
    </row>
    <row r="1627" spans="1:11">
      <c r="A1627" s="12">
        <v>2017</v>
      </c>
      <c r="B1627" s="15" t="s">
        <v>73</v>
      </c>
      <c r="C1627" s="15" t="s">
        <v>22</v>
      </c>
      <c r="D1627" s="15" t="s">
        <v>73</v>
      </c>
      <c r="E1627" s="19">
        <v>3163809</v>
      </c>
      <c r="F1627" s="19">
        <v>667667</v>
      </c>
      <c r="G1627" s="20">
        <f t="shared" si="25"/>
        <v>0.17425843199853008</v>
      </c>
      <c r="H1627" s="24" t="s">
        <v>583</v>
      </c>
      <c r="I1627" s="24" t="s">
        <v>584</v>
      </c>
      <c r="J1627" s="24" t="s">
        <v>585</v>
      </c>
      <c r="K1627" s="24" t="s">
        <v>598</v>
      </c>
    </row>
    <row r="1628" spans="1:11">
      <c r="A1628" s="12">
        <v>2017</v>
      </c>
      <c r="B1628" s="15" t="s">
        <v>73</v>
      </c>
      <c r="C1628" s="15" t="s">
        <v>29</v>
      </c>
      <c r="D1628" s="15" t="s">
        <v>74</v>
      </c>
      <c r="E1628" s="19">
        <v>82177</v>
      </c>
      <c r="F1628" s="19">
        <v>100144</v>
      </c>
      <c r="G1628" s="20">
        <f t="shared" si="25"/>
        <v>0.54927298555843818</v>
      </c>
      <c r="H1628" s="24" t="s">
        <v>583</v>
      </c>
      <c r="I1628" s="24" t="s">
        <v>584</v>
      </c>
      <c r="J1628" s="24" t="s">
        <v>585</v>
      </c>
      <c r="K1628" s="24" t="s">
        <v>598</v>
      </c>
    </row>
    <row r="1629" spans="1:11">
      <c r="A1629" s="12">
        <v>2017</v>
      </c>
      <c r="B1629" s="15" t="s">
        <v>73</v>
      </c>
      <c r="C1629" s="15" t="s">
        <v>75</v>
      </c>
      <c r="D1629" s="15" t="s">
        <v>76</v>
      </c>
      <c r="E1629" s="19">
        <v>193785</v>
      </c>
      <c r="F1629" s="19">
        <v>173415</v>
      </c>
      <c r="G1629" s="20">
        <f t="shared" si="25"/>
        <v>0.47226307189542482</v>
      </c>
      <c r="H1629" s="24" t="s">
        <v>583</v>
      </c>
      <c r="I1629" s="24" t="s">
        <v>584</v>
      </c>
      <c r="J1629" s="24" t="s">
        <v>585</v>
      </c>
      <c r="K1629" s="24" t="s">
        <v>598</v>
      </c>
    </row>
    <row r="1630" spans="1:11">
      <c r="A1630" s="12">
        <v>2017</v>
      </c>
      <c r="B1630" s="15" t="s">
        <v>73</v>
      </c>
      <c r="C1630" s="15" t="s">
        <v>77</v>
      </c>
      <c r="D1630" s="15" t="s">
        <v>78</v>
      </c>
      <c r="E1630" s="19">
        <v>129705</v>
      </c>
      <c r="F1630" s="19">
        <v>111634</v>
      </c>
      <c r="G1630" s="20">
        <f t="shared" si="25"/>
        <v>0.46256096196636265</v>
      </c>
      <c r="H1630" s="24" t="s">
        <v>583</v>
      </c>
      <c r="I1630" s="24" t="s">
        <v>584</v>
      </c>
      <c r="J1630" s="24" t="s">
        <v>585</v>
      </c>
      <c r="K1630" s="24" t="s">
        <v>598</v>
      </c>
    </row>
    <row r="1631" spans="1:11">
      <c r="A1631" s="12">
        <v>2017</v>
      </c>
      <c r="B1631" s="15" t="s">
        <v>73</v>
      </c>
      <c r="C1631" s="15" t="s">
        <v>79</v>
      </c>
      <c r="D1631" s="15" t="s">
        <v>80</v>
      </c>
      <c r="E1631" s="19">
        <v>216830</v>
      </c>
      <c r="F1631" s="19">
        <v>193572</v>
      </c>
      <c r="G1631" s="20">
        <f t="shared" si="25"/>
        <v>0.47166436810736789</v>
      </c>
      <c r="H1631" s="24" t="s">
        <v>583</v>
      </c>
      <c r="I1631" s="24" t="s">
        <v>584</v>
      </c>
      <c r="J1631" s="24" t="s">
        <v>585</v>
      </c>
      <c r="K1631" s="24" t="s">
        <v>598</v>
      </c>
    </row>
    <row r="1632" spans="1:11">
      <c r="A1632" s="12">
        <v>2017</v>
      </c>
      <c r="B1632" s="15" t="s">
        <v>73</v>
      </c>
      <c r="C1632" s="15" t="s">
        <v>81</v>
      </c>
      <c r="D1632" s="15" t="s">
        <v>82</v>
      </c>
      <c r="E1632" s="19">
        <v>67238</v>
      </c>
      <c r="F1632" s="19">
        <v>65400</v>
      </c>
      <c r="G1632" s="20">
        <f t="shared" si="25"/>
        <v>0.4930713671798429</v>
      </c>
      <c r="H1632" s="24" t="s">
        <v>583</v>
      </c>
      <c r="I1632" s="24" t="s">
        <v>584</v>
      </c>
      <c r="J1632" s="24" t="s">
        <v>585</v>
      </c>
      <c r="K1632" s="24" t="s">
        <v>598</v>
      </c>
    </row>
    <row r="1633" spans="1:11">
      <c r="A1633" s="12">
        <v>2017</v>
      </c>
      <c r="B1633" s="15" t="s">
        <v>73</v>
      </c>
      <c r="C1633" s="15" t="s">
        <v>83</v>
      </c>
      <c r="D1633" s="15" t="s">
        <v>84</v>
      </c>
      <c r="E1633" s="19">
        <v>216807</v>
      </c>
      <c r="F1633" s="19">
        <v>190988</v>
      </c>
      <c r="G1633" s="20">
        <f t="shared" si="25"/>
        <v>0.46834316261847253</v>
      </c>
      <c r="H1633" s="24" t="s">
        <v>583</v>
      </c>
      <c r="I1633" s="24" t="s">
        <v>584</v>
      </c>
      <c r="J1633" s="24" t="s">
        <v>585</v>
      </c>
      <c r="K1633" s="24" t="s">
        <v>598</v>
      </c>
    </row>
    <row r="1634" spans="1:11">
      <c r="A1634" s="12">
        <v>2017</v>
      </c>
      <c r="B1634" s="15" t="s">
        <v>73</v>
      </c>
      <c r="C1634" s="15" t="s">
        <v>85</v>
      </c>
      <c r="D1634" s="15" t="s">
        <v>86</v>
      </c>
      <c r="E1634" s="19">
        <v>301596</v>
      </c>
      <c r="F1634" s="19">
        <v>239492</v>
      </c>
      <c r="G1634" s="20">
        <f t="shared" si="25"/>
        <v>0.44261192264474541</v>
      </c>
      <c r="H1634" s="24" t="s">
        <v>583</v>
      </c>
      <c r="I1634" s="24" t="s">
        <v>584</v>
      </c>
      <c r="J1634" s="24" t="s">
        <v>585</v>
      </c>
      <c r="K1634" s="24" t="s">
        <v>598</v>
      </c>
    </row>
    <row r="1635" spans="1:11">
      <c r="A1635" s="12">
        <v>2017</v>
      </c>
      <c r="B1635" s="15" t="s">
        <v>73</v>
      </c>
      <c r="C1635" s="15" t="s">
        <v>87</v>
      </c>
      <c r="D1635" s="15" t="s">
        <v>88</v>
      </c>
      <c r="E1635" s="19">
        <v>255096</v>
      </c>
      <c r="F1635" s="19">
        <v>179866</v>
      </c>
      <c r="G1635" s="20">
        <f t="shared" si="25"/>
        <v>0.41352118116065312</v>
      </c>
      <c r="H1635" s="24" t="s">
        <v>583</v>
      </c>
      <c r="I1635" s="24" t="s">
        <v>584</v>
      </c>
      <c r="J1635" s="24" t="s">
        <v>585</v>
      </c>
      <c r="K1635" s="24" t="s">
        <v>598</v>
      </c>
    </row>
    <row r="1636" spans="1:11">
      <c r="A1636" s="12">
        <v>2017</v>
      </c>
      <c r="B1636" s="15" t="s">
        <v>73</v>
      </c>
      <c r="C1636" s="15" t="s">
        <v>89</v>
      </c>
      <c r="D1636" s="15" t="s">
        <v>90</v>
      </c>
      <c r="E1636" s="19">
        <v>178131</v>
      </c>
      <c r="F1636" s="19">
        <v>167788</v>
      </c>
      <c r="G1636" s="20">
        <f t="shared" si="25"/>
        <v>0.48504996834519065</v>
      </c>
      <c r="H1636" s="24" t="s">
        <v>583</v>
      </c>
      <c r="I1636" s="24" t="s">
        <v>584</v>
      </c>
      <c r="J1636" s="24" t="s">
        <v>585</v>
      </c>
      <c r="K1636" s="24" t="s">
        <v>598</v>
      </c>
    </row>
    <row r="1637" spans="1:11">
      <c r="A1637" s="12">
        <v>2017</v>
      </c>
      <c r="B1637" s="15" t="s">
        <v>73</v>
      </c>
      <c r="C1637" s="15" t="s">
        <v>91</v>
      </c>
      <c r="D1637" s="15" t="s">
        <v>92</v>
      </c>
      <c r="E1637" s="19">
        <v>279804</v>
      </c>
      <c r="F1637" s="19">
        <v>205567</v>
      </c>
      <c r="G1637" s="20">
        <f t="shared" si="25"/>
        <v>0.42352550935263955</v>
      </c>
      <c r="H1637" s="24" t="s">
        <v>583</v>
      </c>
      <c r="I1637" s="24" t="s">
        <v>584</v>
      </c>
      <c r="J1637" s="24" t="s">
        <v>585</v>
      </c>
      <c r="K1637" s="24" t="s">
        <v>598</v>
      </c>
    </row>
    <row r="1638" spans="1:11">
      <c r="A1638" s="12">
        <v>2017</v>
      </c>
      <c r="B1638" s="15" t="s">
        <v>73</v>
      </c>
      <c r="C1638" s="15" t="s">
        <v>93</v>
      </c>
      <c r="D1638" s="15" t="s">
        <v>94</v>
      </c>
      <c r="E1638" s="19">
        <v>84631</v>
      </c>
      <c r="F1638" s="19">
        <v>81585</v>
      </c>
      <c r="G1638" s="20">
        <f t="shared" si="25"/>
        <v>0.49083722385329931</v>
      </c>
      <c r="H1638" s="24" t="s">
        <v>583</v>
      </c>
      <c r="I1638" s="24" t="s">
        <v>584</v>
      </c>
      <c r="J1638" s="24" t="s">
        <v>585</v>
      </c>
      <c r="K1638" s="24" t="s">
        <v>598</v>
      </c>
    </row>
    <row r="1639" spans="1:11">
      <c r="A1639" s="12">
        <v>2017</v>
      </c>
      <c r="B1639" s="15" t="s">
        <v>73</v>
      </c>
      <c r="C1639" s="15" t="s">
        <v>95</v>
      </c>
      <c r="D1639" s="15" t="s">
        <v>96</v>
      </c>
      <c r="E1639" s="19">
        <v>136536</v>
      </c>
      <c r="F1639" s="19">
        <v>132907</v>
      </c>
      <c r="G1639" s="20">
        <f t="shared" si="25"/>
        <v>0.49326573709467308</v>
      </c>
      <c r="H1639" s="24" t="s">
        <v>583</v>
      </c>
      <c r="I1639" s="24" t="s">
        <v>584</v>
      </c>
      <c r="J1639" s="24" t="s">
        <v>585</v>
      </c>
      <c r="K1639" s="24" t="s">
        <v>598</v>
      </c>
    </row>
    <row r="1640" spans="1:11">
      <c r="A1640" s="12">
        <v>2017</v>
      </c>
      <c r="B1640" s="15" t="s">
        <v>73</v>
      </c>
      <c r="C1640" s="15" t="s">
        <v>97</v>
      </c>
      <c r="D1640" s="15" t="s">
        <v>98</v>
      </c>
      <c r="E1640" s="19">
        <v>156692</v>
      </c>
      <c r="F1640" s="19">
        <v>159600</v>
      </c>
      <c r="G1640" s="20">
        <f t="shared" si="25"/>
        <v>0.50459701794544287</v>
      </c>
      <c r="H1640" s="24" t="s">
        <v>583</v>
      </c>
      <c r="I1640" s="24" t="s">
        <v>584</v>
      </c>
      <c r="J1640" s="24" t="s">
        <v>585</v>
      </c>
      <c r="K1640" s="24" t="s">
        <v>598</v>
      </c>
    </row>
    <row r="1641" spans="1:11">
      <c r="A1641" s="12">
        <v>2017</v>
      </c>
      <c r="B1641" s="15" t="s">
        <v>73</v>
      </c>
      <c r="C1641" s="15" t="s">
        <v>99</v>
      </c>
      <c r="D1641" s="15" t="s">
        <v>100</v>
      </c>
      <c r="E1641" s="19">
        <v>101136</v>
      </c>
      <c r="F1641" s="19">
        <v>81111</v>
      </c>
      <c r="G1641" s="20">
        <f t="shared" si="25"/>
        <v>0.44506082404648634</v>
      </c>
      <c r="H1641" s="24" t="s">
        <v>583</v>
      </c>
      <c r="I1641" s="24" t="s">
        <v>584</v>
      </c>
      <c r="J1641" s="24" t="s">
        <v>585</v>
      </c>
      <c r="K1641" s="24" t="s">
        <v>598</v>
      </c>
    </row>
    <row r="1642" spans="1:11">
      <c r="A1642" s="12">
        <v>2017</v>
      </c>
      <c r="B1642" s="15" t="s">
        <v>73</v>
      </c>
      <c r="C1642" s="15" t="s">
        <v>69</v>
      </c>
      <c r="D1642" s="15" t="s">
        <v>101</v>
      </c>
      <c r="E1642" s="19">
        <v>31526</v>
      </c>
      <c r="F1642" s="19">
        <v>33337</v>
      </c>
      <c r="G1642" s="20">
        <f t="shared" si="25"/>
        <v>0.51396019302221607</v>
      </c>
      <c r="H1642" s="24" t="s">
        <v>583</v>
      </c>
      <c r="I1642" s="24" t="s">
        <v>584</v>
      </c>
      <c r="J1642" s="24" t="s">
        <v>585</v>
      </c>
      <c r="K1642" s="24" t="s">
        <v>598</v>
      </c>
    </row>
    <row r="1643" spans="1:11">
      <c r="A1643" s="12">
        <v>2017</v>
      </c>
      <c r="B1643" s="15" t="s">
        <v>73</v>
      </c>
      <c r="C1643" s="15" t="s">
        <v>102</v>
      </c>
      <c r="D1643" s="15" t="s">
        <v>103</v>
      </c>
      <c r="E1643" s="19">
        <v>340680</v>
      </c>
      <c r="F1643" s="19">
        <v>259338</v>
      </c>
      <c r="G1643" s="20">
        <f t="shared" si="25"/>
        <v>0.43221703348899532</v>
      </c>
      <c r="H1643" s="24" t="s">
        <v>583</v>
      </c>
      <c r="I1643" s="24" t="s">
        <v>584</v>
      </c>
      <c r="J1643" s="24" t="s">
        <v>585</v>
      </c>
      <c r="K1643" s="24" t="s">
        <v>598</v>
      </c>
    </row>
    <row r="1644" spans="1:11">
      <c r="A1644" s="12">
        <v>2017</v>
      </c>
      <c r="B1644" s="15" t="s">
        <v>104</v>
      </c>
      <c r="C1644" s="15" t="s">
        <v>22</v>
      </c>
      <c r="D1644" s="15" t="s">
        <v>104</v>
      </c>
      <c r="E1644" s="19">
        <v>2274142</v>
      </c>
      <c r="F1644" s="19">
        <v>452152</v>
      </c>
      <c r="G1644" s="20">
        <f t="shared" si="25"/>
        <v>0.1658485841952482</v>
      </c>
      <c r="H1644" s="24" t="s">
        <v>583</v>
      </c>
      <c r="I1644" s="24" t="s">
        <v>584</v>
      </c>
      <c r="J1644" s="24" t="s">
        <v>585</v>
      </c>
      <c r="K1644" s="24" t="s">
        <v>598</v>
      </c>
    </row>
    <row r="1645" spans="1:11">
      <c r="A1645" s="12">
        <v>2017</v>
      </c>
      <c r="B1645" s="15" t="s">
        <v>104</v>
      </c>
      <c r="C1645" s="15" t="s">
        <v>79</v>
      </c>
      <c r="D1645" s="15" t="s">
        <v>107</v>
      </c>
      <c r="E1645" s="19">
        <v>111058</v>
      </c>
      <c r="F1645" s="19">
        <v>118788</v>
      </c>
      <c r="G1645" s="20">
        <f t="shared" si="25"/>
        <v>0.51681560697162443</v>
      </c>
      <c r="H1645" s="24" t="s">
        <v>583</v>
      </c>
      <c r="I1645" s="24" t="s">
        <v>584</v>
      </c>
      <c r="J1645" s="24" t="s">
        <v>585</v>
      </c>
      <c r="K1645" s="24" t="s">
        <v>598</v>
      </c>
    </row>
    <row r="1646" spans="1:11">
      <c r="A1646" s="12">
        <v>2017</v>
      </c>
      <c r="B1646" s="15" t="s">
        <v>104</v>
      </c>
      <c r="C1646" s="15" t="s">
        <v>108</v>
      </c>
      <c r="D1646" s="15" t="s">
        <v>109</v>
      </c>
      <c r="E1646" s="19">
        <v>493426</v>
      </c>
      <c r="F1646" s="19">
        <v>370971</v>
      </c>
      <c r="G1646" s="20">
        <f t="shared" si="25"/>
        <v>0.42916738489374673</v>
      </c>
      <c r="H1646" s="24" t="s">
        <v>583</v>
      </c>
      <c r="I1646" s="24" t="s">
        <v>584</v>
      </c>
      <c r="J1646" s="24" t="s">
        <v>585</v>
      </c>
      <c r="K1646" s="24" t="s">
        <v>598</v>
      </c>
    </row>
    <row r="1647" spans="1:11">
      <c r="A1647" s="12">
        <v>2017</v>
      </c>
      <c r="B1647" s="15" t="s">
        <v>104</v>
      </c>
      <c r="C1647" s="15" t="s">
        <v>110</v>
      </c>
      <c r="D1647" s="15" t="s">
        <v>111</v>
      </c>
      <c r="E1647" s="19">
        <v>189922</v>
      </c>
      <c r="F1647" s="19">
        <v>185512</v>
      </c>
      <c r="G1647" s="20">
        <f t="shared" si="25"/>
        <v>0.49412679725331216</v>
      </c>
      <c r="H1647" s="24" t="s">
        <v>583</v>
      </c>
      <c r="I1647" s="24" t="s">
        <v>584</v>
      </c>
      <c r="J1647" s="24" t="s">
        <v>585</v>
      </c>
      <c r="K1647" s="24" t="s">
        <v>598</v>
      </c>
    </row>
    <row r="1648" spans="1:11">
      <c r="A1648" s="12">
        <v>2017</v>
      </c>
      <c r="B1648" s="15" t="s">
        <v>104</v>
      </c>
      <c r="C1648" s="15" t="s">
        <v>81</v>
      </c>
      <c r="D1648" s="15" t="s">
        <v>112</v>
      </c>
      <c r="E1648" s="19">
        <v>284692</v>
      </c>
      <c r="F1648" s="19">
        <v>236452</v>
      </c>
      <c r="G1648" s="20">
        <f t="shared" si="25"/>
        <v>0.45371720676051147</v>
      </c>
      <c r="H1648" s="24" t="s">
        <v>583</v>
      </c>
      <c r="I1648" s="24" t="s">
        <v>584</v>
      </c>
      <c r="J1648" s="24" t="s">
        <v>585</v>
      </c>
      <c r="K1648" s="24" t="s">
        <v>598</v>
      </c>
    </row>
    <row r="1649" spans="1:11">
      <c r="A1649" s="12">
        <v>2017</v>
      </c>
      <c r="B1649" s="15" t="s">
        <v>104</v>
      </c>
      <c r="C1649" s="15" t="s">
        <v>87</v>
      </c>
      <c r="D1649" s="15" t="s">
        <v>113</v>
      </c>
      <c r="E1649" s="19">
        <v>371152</v>
      </c>
      <c r="F1649" s="19">
        <v>273125</v>
      </c>
      <c r="G1649" s="20">
        <f t="shared" si="25"/>
        <v>0.42392480253058856</v>
      </c>
      <c r="H1649" s="24" t="s">
        <v>583</v>
      </c>
      <c r="I1649" s="24" t="s">
        <v>584</v>
      </c>
      <c r="J1649" s="24" t="s">
        <v>585</v>
      </c>
      <c r="K1649" s="24" t="s">
        <v>598</v>
      </c>
    </row>
    <row r="1650" spans="1:11">
      <c r="A1650" s="12">
        <v>2017</v>
      </c>
      <c r="B1650" s="15" t="s">
        <v>104</v>
      </c>
      <c r="C1650" s="15" t="s">
        <v>93</v>
      </c>
      <c r="D1650" s="15" t="s">
        <v>114</v>
      </c>
      <c r="E1650" s="19">
        <v>144888</v>
      </c>
      <c r="F1650" s="19">
        <v>147604</v>
      </c>
      <c r="G1650" s="20">
        <f t="shared" si="25"/>
        <v>0.5046428620269956</v>
      </c>
      <c r="H1650" s="24" t="s">
        <v>583</v>
      </c>
      <c r="I1650" s="24" t="s">
        <v>584</v>
      </c>
      <c r="J1650" s="24" t="s">
        <v>585</v>
      </c>
      <c r="K1650" s="24" t="s">
        <v>598</v>
      </c>
    </row>
    <row r="1651" spans="1:11">
      <c r="A1651" s="12">
        <v>2017</v>
      </c>
      <c r="B1651" s="15" t="s">
        <v>104</v>
      </c>
      <c r="C1651" s="15" t="s">
        <v>115</v>
      </c>
      <c r="D1651" s="15" t="s">
        <v>116</v>
      </c>
      <c r="E1651" s="19">
        <v>366575</v>
      </c>
      <c r="F1651" s="19">
        <v>293901</v>
      </c>
      <c r="G1651" s="20">
        <f t="shared" si="25"/>
        <v>0.44498361787559276</v>
      </c>
      <c r="H1651" s="24" t="s">
        <v>583</v>
      </c>
      <c r="I1651" s="24" t="s">
        <v>584</v>
      </c>
      <c r="J1651" s="24" t="s">
        <v>585</v>
      </c>
      <c r="K1651" s="24" t="s">
        <v>598</v>
      </c>
    </row>
    <row r="1652" spans="1:11">
      <c r="A1652" s="12">
        <v>2017</v>
      </c>
      <c r="B1652" s="15" t="s">
        <v>104</v>
      </c>
      <c r="C1652" s="15" t="s">
        <v>69</v>
      </c>
      <c r="D1652" s="15" t="s">
        <v>117</v>
      </c>
      <c r="E1652" s="19">
        <v>59158</v>
      </c>
      <c r="F1652" s="19">
        <v>59953</v>
      </c>
      <c r="G1652" s="20">
        <f t="shared" si="25"/>
        <v>0.5033372232623351</v>
      </c>
      <c r="H1652" s="24" t="s">
        <v>583</v>
      </c>
      <c r="I1652" s="24" t="s">
        <v>584</v>
      </c>
      <c r="J1652" s="24" t="s">
        <v>585</v>
      </c>
      <c r="K1652" s="24" t="s">
        <v>598</v>
      </c>
    </row>
    <row r="1653" spans="1:11">
      <c r="A1653" s="12">
        <v>2017</v>
      </c>
      <c r="B1653" s="15" t="s">
        <v>118</v>
      </c>
      <c r="C1653" s="15" t="s">
        <v>22</v>
      </c>
      <c r="D1653" s="15" t="s">
        <v>118</v>
      </c>
      <c r="E1653" s="19">
        <v>2616191</v>
      </c>
      <c r="F1653" s="19">
        <v>1021579</v>
      </c>
      <c r="G1653" s="20">
        <f t="shared" si="25"/>
        <v>0.28082561569313069</v>
      </c>
      <c r="H1653" s="24" t="s">
        <v>579</v>
      </c>
      <c r="I1653" s="24" t="s">
        <v>596</v>
      </c>
      <c r="J1653" s="24" t="s">
        <v>597</v>
      </c>
      <c r="K1653" s="24" t="s">
        <v>598</v>
      </c>
    </row>
    <row r="1654" spans="1:11">
      <c r="A1654" s="12">
        <v>2017</v>
      </c>
      <c r="B1654" s="15" t="s">
        <v>118</v>
      </c>
      <c r="C1654" s="15" t="s">
        <v>119</v>
      </c>
      <c r="D1654" s="15" t="s">
        <v>120</v>
      </c>
      <c r="E1654" s="19">
        <v>50341</v>
      </c>
      <c r="F1654" s="19">
        <v>50527</v>
      </c>
      <c r="G1654" s="20">
        <f t="shared" si="25"/>
        <v>0.50092199706547169</v>
      </c>
      <c r="H1654" s="24" t="s">
        <v>579</v>
      </c>
      <c r="I1654" s="24" t="s">
        <v>596</v>
      </c>
      <c r="J1654" s="24" t="s">
        <v>597</v>
      </c>
      <c r="K1654" s="24" t="s">
        <v>598</v>
      </c>
    </row>
    <row r="1655" spans="1:11">
      <c r="A1655" s="12">
        <v>2017</v>
      </c>
      <c r="B1655" s="15" t="s">
        <v>118</v>
      </c>
      <c r="C1655" s="15" t="s">
        <v>121</v>
      </c>
      <c r="D1655" s="15" t="s">
        <v>122</v>
      </c>
      <c r="E1655" s="19">
        <v>266849</v>
      </c>
      <c r="F1655" s="19">
        <v>197181</v>
      </c>
      <c r="G1655" s="20">
        <f t="shared" si="25"/>
        <v>0.42493157769971768</v>
      </c>
      <c r="H1655" s="24" t="s">
        <v>579</v>
      </c>
      <c r="I1655" s="24" t="s">
        <v>596</v>
      </c>
      <c r="J1655" s="24" t="s">
        <v>597</v>
      </c>
      <c r="K1655" s="24" t="s">
        <v>598</v>
      </c>
    </row>
    <row r="1656" spans="1:11">
      <c r="A1656" s="12">
        <v>2017</v>
      </c>
      <c r="B1656" s="15" t="s">
        <v>118</v>
      </c>
      <c r="C1656" s="15" t="s">
        <v>79</v>
      </c>
      <c r="D1656" s="15" t="s">
        <v>123</v>
      </c>
      <c r="E1656" s="19">
        <v>327006</v>
      </c>
      <c r="F1656" s="19">
        <v>288381</v>
      </c>
      <c r="G1656" s="20">
        <f t="shared" si="25"/>
        <v>0.4686173091079272</v>
      </c>
      <c r="H1656" s="24" t="s">
        <v>579</v>
      </c>
      <c r="I1656" s="24" t="s">
        <v>596</v>
      </c>
      <c r="J1656" s="24" t="s">
        <v>597</v>
      </c>
      <c r="K1656" s="24" t="s">
        <v>598</v>
      </c>
    </row>
    <row r="1657" spans="1:11">
      <c r="A1657" s="12">
        <v>2017</v>
      </c>
      <c r="B1657" s="15" t="s">
        <v>118</v>
      </c>
      <c r="C1657" s="15" t="s">
        <v>124</v>
      </c>
      <c r="D1657" s="15" t="s">
        <v>125</v>
      </c>
      <c r="E1657" s="19">
        <v>450990</v>
      </c>
      <c r="F1657" s="19">
        <v>326700</v>
      </c>
      <c r="G1657" s="20">
        <f t="shared" si="25"/>
        <v>0.42009026733017013</v>
      </c>
      <c r="H1657" s="24" t="s">
        <v>579</v>
      </c>
      <c r="I1657" s="24" t="s">
        <v>596</v>
      </c>
      <c r="J1657" s="24" t="s">
        <v>597</v>
      </c>
      <c r="K1657" s="24" t="s">
        <v>598</v>
      </c>
    </row>
    <row r="1658" spans="1:11">
      <c r="A1658" s="12">
        <v>2017</v>
      </c>
      <c r="B1658" s="15" t="s">
        <v>118</v>
      </c>
      <c r="C1658" s="15" t="s">
        <v>81</v>
      </c>
      <c r="D1658" s="15" t="s">
        <v>126</v>
      </c>
      <c r="E1658" s="19">
        <v>52517</v>
      </c>
      <c r="F1658" s="19">
        <v>52628</v>
      </c>
      <c r="G1658" s="20">
        <f t="shared" si="25"/>
        <v>0.50052784250320981</v>
      </c>
      <c r="H1658" s="24" t="s">
        <v>579</v>
      </c>
      <c r="I1658" s="24" t="s">
        <v>596</v>
      </c>
      <c r="J1658" s="24" t="s">
        <v>597</v>
      </c>
      <c r="K1658" s="24" t="s">
        <v>598</v>
      </c>
    </row>
    <row r="1659" spans="1:11">
      <c r="A1659" s="12">
        <v>2017</v>
      </c>
      <c r="B1659" s="15" t="s">
        <v>118</v>
      </c>
      <c r="C1659" s="15" t="s">
        <v>129</v>
      </c>
      <c r="D1659" s="15" t="s">
        <v>130</v>
      </c>
      <c r="E1659" s="19">
        <v>443446</v>
      </c>
      <c r="F1659" s="19">
        <v>331498</v>
      </c>
      <c r="G1659" s="20">
        <f t="shared" si="25"/>
        <v>0.42777026469009372</v>
      </c>
      <c r="H1659" s="24" t="s">
        <v>579</v>
      </c>
      <c r="I1659" s="24" t="s">
        <v>596</v>
      </c>
      <c r="J1659" s="24" t="s">
        <v>597</v>
      </c>
      <c r="K1659" s="24" t="s">
        <v>598</v>
      </c>
    </row>
    <row r="1660" spans="1:11">
      <c r="A1660" s="12">
        <v>2017</v>
      </c>
      <c r="B1660" s="15" t="s">
        <v>118</v>
      </c>
      <c r="C1660" s="15" t="s">
        <v>93</v>
      </c>
      <c r="D1660" s="15" t="s">
        <v>131</v>
      </c>
      <c r="E1660" s="19">
        <v>436957</v>
      </c>
      <c r="F1660" s="19">
        <v>297521</v>
      </c>
      <c r="G1660" s="20">
        <f t="shared" si="25"/>
        <v>0.40507816435618221</v>
      </c>
      <c r="H1660" s="24" t="s">
        <v>579</v>
      </c>
      <c r="I1660" s="24" t="s">
        <v>596</v>
      </c>
      <c r="J1660" s="24" t="s">
        <v>597</v>
      </c>
      <c r="K1660" s="24" t="s">
        <v>598</v>
      </c>
    </row>
    <row r="1661" spans="1:11">
      <c r="A1661" s="12">
        <v>2017</v>
      </c>
      <c r="B1661" s="15" t="s">
        <v>118</v>
      </c>
      <c r="C1661" s="15" t="s">
        <v>132</v>
      </c>
      <c r="D1661" s="15" t="s">
        <v>133</v>
      </c>
      <c r="E1661" s="19">
        <v>275467</v>
      </c>
      <c r="F1661" s="19">
        <v>210962</v>
      </c>
      <c r="G1661" s="20">
        <f t="shared" si="25"/>
        <v>0.43369535944608567</v>
      </c>
      <c r="H1661" s="24" t="s">
        <v>579</v>
      </c>
      <c r="I1661" s="24" t="s">
        <v>596</v>
      </c>
      <c r="J1661" s="24" t="s">
        <v>597</v>
      </c>
      <c r="K1661" s="24" t="s">
        <v>598</v>
      </c>
    </row>
    <row r="1662" spans="1:11">
      <c r="A1662" s="12">
        <v>2017</v>
      </c>
      <c r="B1662" s="15" t="s">
        <v>118</v>
      </c>
      <c r="C1662" s="15" t="s">
        <v>134</v>
      </c>
      <c r="D1662" s="15" t="s">
        <v>135</v>
      </c>
      <c r="E1662" s="19">
        <v>12550</v>
      </c>
      <c r="F1662" s="19">
        <v>18796</v>
      </c>
      <c r="G1662" s="20">
        <f t="shared" si="25"/>
        <v>0.59962993683404586</v>
      </c>
      <c r="H1662" s="24" t="s">
        <v>579</v>
      </c>
      <c r="I1662" s="24" t="s">
        <v>596</v>
      </c>
      <c r="J1662" s="24" t="s">
        <v>597</v>
      </c>
      <c r="K1662" s="24" t="s">
        <v>598</v>
      </c>
    </row>
    <row r="1663" spans="1:11">
      <c r="A1663" s="12">
        <v>2017</v>
      </c>
      <c r="B1663" s="15" t="s">
        <v>118</v>
      </c>
      <c r="C1663" s="15" t="s">
        <v>69</v>
      </c>
      <c r="D1663" s="15" t="s">
        <v>136</v>
      </c>
      <c r="E1663" s="19">
        <v>87989</v>
      </c>
      <c r="F1663" s="19">
        <v>84856</v>
      </c>
      <c r="G1663" s="20">
        <f t="shared" si="25"/>
        <v>0.49093696664641728</v>
      </c>
      <c r="H1663" s="24" t="s">
        <v>579</v>
      </c>
      <c r="I1663" s="24" t="s">
        <v>596</v>
      </c>
      <c r="J1663" s="24" t="s">
        <v>597</v>
      </c>
      <c r="K1663" s="24" t="s">
        <v>598</v>
      </c>
    </row>
    <row r="1664" spans="1:11">
      <c r="A1664" s="12">
        <v>2017</v>
      </c>
      <c r="B1664" s="15" t="s">
        <v>137</v>
      </c>
      <c r="C1664" s="15" t="s">
        <v>22</v>
      </c>
      <c r="D1664" s="15" t="s">
        <v>137</v>
      </c>
      <c r="E1664" s="19">
        <v>1348274</v>
      </c>
      <c r="F1664" s="19">
        <v>324452</v>
      </c>
      <c r="G1664" s="20">
        <f t="shared" si="25"/>
        <v>0.19396601714805653</v>
      </c>
      <c r="H1664" s="24" t="s">
        <v>586</v>
      </c>
      <c r="I1664" s="24" t="s">
        <v>587</v>
      </c>
      <c r="J1664" s="24" t="s">
        <v>588</v>
      </c>
      <c r="K1664" s="24" t="s">
        <v>598</v>
      </c>
    </row>
    <row r="1665" spans="1:11">
      <c r="A1665" s="12">
        <v>2017</v>
      </c>
      <c r="B1665" s="15" t="s">
        <v>137</v>
      </c>
      <c r="C1665" s="15" t="s">
        <v>138</v>
      </c>
      <c r="D1665" s="15" t="s">
        <v>139</v>
      </c>
      <c r="E1665" s="19">
        <v>353043</v>
      </c>
      <c r="F1665" s="19">
        <v>231170</v>
      </c>
      <c r="G1665" s="20">
        <f t="shared" si="25"/>
        <v>0.39569472093226271</v>
      </c>
      <c r="H1665" s="24" t="s">
        <v>586</v>
      </c>
      <c r="I1665" s="24" t="s">
        <v>587</v>
      </c>
      <c r="J1665" s="24" t="s">
        <v>588</v>
      </c>
      <c r="K1665" s="24" t="s">
        <v>598</v>
      </c>
    </row>
    <row r="1666" spans="1:11">
      <c r="A1666" s="12">
        <v>2017</v>
      </c>
      <c r="B1666" s="15" t="s">
        <v>137</v>
      </c>
      <c r="C1666" s="15" t="s">
        <v>79</v>
      </c>
      <c r="D1666" s="15" t="s">
        <v>140</v>
      </c>
      <c r="E1666" s="19">
        <v>175266</v>
      </c>
      <c r="F1666" s="19">
        <v>157389</v>
      </c>
      <c r="G1666" s="20">
        <f t="shared" si="25"/>
        <v>0.47312981918203545</v>
      </c>
      <c r="H1666" s="24" t="s">
        <v>586</v>
      </c>
      <c r="I1666" s="24" t="s">
        <v>587</v>
      </c>
      <c r="J1666" s="24" t="s">
        <v>588</v>
      </c>
      <c r="K1666" s="24" t="s">
        <v>598</v>
      </c>
    </row>
    <row r="1667" spans="1:11">
      <c r="A1667" s="12">
        <v>2017</v>
      </c>
      <c r="B1667" s="15" t="s">
        <v>137</v>
      </c>
      <c r="C1667" s="15" t="s">
        <v>81</v>
      </c>
      <c r="D1667" s="15" t="s">
        <v>141</v>
      </c>
      <c r="E1667" s="19">
        <v>71488</v>
      </c>
      <c r="F1667" s="19">
        <v>74103</v>
      </c>
      <c r="G1667" s="20">
        <f t="shared" si="25"/>
        <v>0.50898063753940836</v>
      </c>
      <c r="H1667" s="24" t="s">
        <v>586</v>
      </c>
      <c r="I1667" s="24" t="s">
        <v>587</v>
      </c>
      <c r="J1667" s="24" t="s">
        <v>588</v>
      </c>
      <c r="K1667" s="24" t="s">
        <v>598</v>
      </c>
    </row>
    <row r="1668" spans="1:11">
      <c r="A1668" s="12">
        <v>2017</v>
      </c>
      <c r="B1668" s="15" t="s">
        <v>137</v>
      </c>
      <c r="C1668" s="15" t="s">
        <v>87</v>
      </c>
      <c r="D1668" s="15" t="s">
        <v>142</v>
      </c>
      <c r="E1668" s="19">
        <v>366689</v>
      </c>
      <c r="F1668" s="19">
        <v>290382</v>
      </c>
      <c r="G1668" s="20">
        <f t="shared" si="25"/>
        <v>0.44193397669353846</v>
      </c>
      <c r="H1668" s="24" t="s">
        <v>586</v>
      </c>
      <c r="I1668" s="24" t="s">
        <v>587</v>
      </c>
      <c r="J1668" s="24" t="s">
        <v>588</v>
      </c>
      <c r="K1668" s="24" t="s">
        <v>598</v>
      </c>
    </row>
    <row r="1669" spans="1:11">
      <c r="A1669" s="12">
        <v>2017</v>
      </c>
      <c r="B1669" s="15" t="s">
        <v>137</v>
      </c>
      <c r="C1669" s="15" t="s">
        <v>93</v>
      </c>
      <c r="D1669" s="15" t="s">
        <v>143</v>
      </c>
      <c r="E1669" s="19">
        <v>256905</v>
      </c>
      <c r="F1669" s="19">
        <v>206958</v>
      </c>
      <c r="G1669" s="20">
        <f t="shared" si="25"/>
        <v>0.4461619055626338</v>
      </c>
      <c r="H1669" s="24" t="s">
        <v>586</v>
      </c>
      <c r="I1669" s="24" t="s">
        <v>587</v>
      </c>
      <c r="J1669" s="24" t="s">
        <v>588</v>
      </c>
      <c r="K1669" s="24" t="s">
        <v>598</v>
      </c>
    </row>
    <row r="1670" spans="1:11">
      <c r="A1670" s="12">
        <v>2017</v>
      </c>
      <c r="B1670" s="15" t="s">
        <v>144</v>
      </c>
      <c r="C1670" s="15" t="s">
        <v>22</v>
      </c>
      <c r="D1670" s="15" t="s">
        <v>144</v>
      </c>
      <c r="E1670" s="19">
        <v>1383949</v>
      </c>
      <c r="F1670" s="19">
        <v>356236</v>
      </c>
      <c r="G1670" s="20">
        <f t="shared" ref="G1670:G1733" si="26">IFERROR(F1670/(E1670+F1670),"")</f>
        <v>0.20471156802294008</v>
      </c>
      <c r="H1670" s="24" t="s">
        <v>589</v>
      </c>
      <c r="I1670" s="24" t="s">
        <v>560</v>
      </c>
      <c r="J1670" s="24" t="s">
        <v>590</v>
      </c>
      <c r="K1670" s="24" t="s">
        <v>598</v>
      </c>
    </row>
    <row r="1671" spans="1:11">
      <c r="A1671" s="12">
        <v>2017</v>
      </c>
      <c r="B1671" s="15" t="s">
        <v>144</v>
      </c>
      <c r="C1671" s="15" t="s">
        <v>145</v>
      </c>
      <c r="D1671" s="15" t="s">
        <v>146</v>
      </c>
      <c r="E1671" s="19">
        <v>154350</v>
      </c>
      <c r="F1671" s="19">
        <v>135580</v>
      </c>
      <c r="G1671" s="20">
        <f t="shared" si="26"/>
        <v>0.46763011761459661</v>
      </c>
      <c r="H1671" s="24" t="s">
        <v>589</v>
      </c>
      <c r="I1671" s="24" t="s">
        <v>560</v>
      </c>
      <c r="J1671" s="24" t="s">
        <v>590</v>
      </c>
      <c r="K1671" s="24" t="s">
        <v>598</v>
      </c>
    </row>
    <row r="1672" spans="1:11">
      <c r="A1672" s="12">
        <v>2017</v>
      </c>
      <c r="B1672" s="15" t="s">
        <v>144</v>
      </c>
      <c r="C1672" s="15" t="s">
        <v>81</v>
      </c>
      <c r="D1672" s="15" t="s">
        <v>147</v>
      </c>
      <c r="E1672" s="19">
        <v>179524</v>
      </c>
      <c r="F1672" s="19">
        <v>180805</v>
      </c>
      <c r="G1672" s="20">
        <f t="shared" si="26"/>
        <v>0.5017775421906091</v>
      </c>
      <c r="H1672" s="24" t="s">
        <v>589</v>
      </c>
      <c r="I1672" s="24" t="s">
        <v>560</v>
      </c>
      <c r="J1672" s="24" t="s">
        <v>590</v>
      </c>
      <c r="K1672" s="24" t="s">
        <v>598</v>
      </c>
    </row>
    <row r="1673" spans="1:11">
      <c r="A1673" s="12">
        <v>2017</v>
      </c>
      <c r="B1673" s="15" t="s">
        <v>144</v>
      </c>
      <c r="C1673" s="15" t="s">
        <v>93</v>
      </c>
      <c r="D1673" s="15" t="s">
        <v>148</v>
      </c>
      <c r="E1673" s="19">
        <v>426083</v>
      </c>
      <c r="F1673" s="19">
        <v>286070</v>
      </c>
      <c r="G1673" s="20">
        <f t="shared" si="26"/>
        <v>0.40169738806127336</v>
      </c>
      <c r="H1673" s="24" t="s">
        <v>589</v>
      </c>
      <c r="I1673" s="24" t="s">
        <v>560</v>
      </c>
      <c r="J1673" s="24" t="s">
        <v>590</v>
      </c>
      <c r="K1673" s="24" t="s">
        <v>598</v>
      </c>
    </row>
    <row r="1674" spans="1:11">
      <c r="A1674" s="12">
        <v>2017</v>
      </c>
      <c r="B1674" s="15" t="s">
        <v>144</v>
      </c>
      <c r="C1674" s="15" t="s">
        <v>149</v>
      </c>
      <c r="D1674" s="15" t="s">
        <v>150</v>
      </c>
      <c r="E1674" s="19">
        <v>289071</v>
      </c>
      <c r="F1674" s="19">
        <v>256803</v>
      </c>
      <c r="G1674" s="20">
        <f t="shared" si="26"/>
        <v>0.4704437287725739</v>
      </c>
      <c r="H1674" s="24" t="s">
        <v>589</v>
      </c>
      <c r="I1674" s="24" t="s">
        <v>560</v>
      </c>
      <c r="J1674" s="24" t="s">
        <v>590</v>
      </c>
      <c r="K1674" s="24" t="s">
        <v>598</v>
      </c>
    </row>
    <row r="1675" spans="1:11">
      <c r="A1675" s="12">
        <v>2017</v>
      </c>
      <c r="B1675" s="15" t="s">
        <v>144</v>
      </c>
      <c r="C1675" s="15" t="s">
        <v>69</v>
      </c>
      <c r="D1675" s="15" t="s">
        <v>151</v>
      </c>
      <c r="E1675" s="19">
        <v>205984</v>
      </c>
      <c r="F1675" s="19">
        <v>177222</v>
      </c>
      <c r="G1675" s="20">
        <f t="shared" si="26"/>
        <v>0.46247188196426986</v>
      </c>
      <c r="H1675" s="24" t="s">
        <v>589</v>
      </c>
      <c r="I1675" s="24" t="s">
        <v>560</v>
      </c>
      <c r="J1675" s="24" t="s">
        <v>590</v>
      </c>
      <c r="K1675" s="24" t="s">
        <v>598</v>
      </c>
    </row>
    <row r="1676" spans="1:11">
      <c r="A1676" s="12">
        <v>2017</v>
      </c>
      <c r="B1676" s="15" t="s">
        <v>152</v>
      </c>
      <c r="C1676" s="15" t="s">
        <v>22</v>
      </c>
      <c r="D1676" s="15" t="s">
        <v>152</v>
      </c>
      <c r="E1676" s="19">
        <v>1071634</v>
      </c>
      <c r="F1676" s="19">
        <v>271601</v>
      </c>
      <c r="G1676" s="20">
        <f t="shared" si="26"/>
        <v>0.20219916842548027</v>
      </c>
      <c r="H1676" s="24" t="s">
        <v>583</v>
      </c>
      <c r="I1676" s="24" t="s">
        <v>584</v>
      </c>
      <c r="J1676" s="24" t="s">
        <v>585</v>
      </c>
      <c r="K1676" s="24" t="s">
        <v>598</v>
      </c>
    </row>
    <row r="1677" spans="1:11">
      <c r="A1677" s="12">
        <v>2017</v>
      </c>
      <c r="B1677" s="15" t="s">
        <v>152</v>
      </c>
      <c r="C1677" s="15" t="s">
        <v>79</v>
      </c>
      <c r="D1677" s="15" t="s">
        <v>153</v>
      </c>
      <c r="E1677" s="19">
        <v>297267</v>
      </c>
      <c r="F1677" s="19">
        <v>166582</v>
      </c>
      <c r="G1677" s="20">
        <f t="shared" si="26"/>
        <v>0.3591298030177924</v>
      </c>
      <c r="H1677" s="24" t="s">
        <v>583</v>
      </c>
      <c r="I1677" s="24" t="s">
        <v>584</v>
      </c>
      <c r="J1677" s="24" t="s">
        <v>585</v>
      </c>
      <c r="K1677" s="24" t="s">
        <v>598</v>
      </c>
    </row>
    <row r="1678" spans="1:11">
      <c r="A1678" s="12">
        <v>2017</v>
      </c>
      <c r="B1678" s="15" t="s">
        <v>152</v>
      </c>
      <c r="C1678" s="15" t="s">
        <v>81</v>
      </c>
      <c r="D1678" s="15" t="s">
        <v>154</v>
      </c>
      <c r="E1678" s="19">
        <v>152191</v>
      </c>
      <c r="F1678" s="19">
        <v>84628</v>
      </c>
      <c r="G1678" s="20">
        <f t="shared" si="26"/>
        <v>0.35735308400086141</v>
      </c>
      <c r="H1678" s="24" t="s">
        <v>583</v>
      </c>
      <c r="I1678" s="24" t="s">
        <v>584</v>
      </c>
      <c r="J1678" s="24" t="s">
        <v>585</v>
      </c>
      <c r="K1678" s="24" t="s">
        <v>598</v>
      </c>
    </row>
    <row r="1679" spans="1:11">
      <c r="A1679" s="12">
        <v>2017</v>
      </c>
      <c r="B1679" s="15" t="s">
        <v>152</v>
      </c>
      <c r="C1679" s="15" t="s">
        <v>87</v>
      </c>
      <c r="D1679" s="15" t="s">
        <v>155</v>
      </c>
      <c r="E1679" s="19">
        <v>162937</v>
      </c>
      <c r="F1679" s="19">
        <v>142586</v>
      </c>
      <c r="G1679" s="20">
        <f t="shared" si="26"/>
        <v>0.46669481512030192</v>
      </c>
      <c r="H1679" s="24" t="s">
        <v>583</v>
      </c>
      <c r="I1679" s="24" t="s">
        <v>584</v>
      </c>
      <c r="J1679" s="24" t="s">
        <v>585</v>
      </c>
      <c r="K1679" s="24" t="s">
        <v>598</v>
      </c>
    </row>
    <row r="1680" spans="1:11">
      <c r="A1680" s="12">
        <v>2017</v>
      </c>
      <c r="B1680" s="15" t="s">
        <v>152</v>
      </c>
      <c r="C1680" s="15" t="s">
        <v>156</v>
      </c>
      <c r="D1680" s="15" t="s">
        <v>157</v>
      </c>
      <c r="E1680" s="19">
        <v>163734</v>
      </c>
      <c r="F1680" s="19">
        <v>171477</v>
      </c>
      <c r="G1680" s="20">
        <f t="shared" si="26"/>
        <v>0.51154944199325203</v>
      </c>
      <c r="H1680" s="24" t="s">
        <v>583</v>
      </c>
      <c r="I1680" s="24" t="s">
        <v>584</v>
      </c>
      <c r="J1680" s="24" t="s">
        <v>585</v>
      </c>
      <c r="K1680" s="24" t="s">
        <v>598</v>
      </c>
    </row>
    <row r="1681" spans="1:11">
      <c r="A1681" s="12">
        <v>2017</v>
      </c>
      <c r="B1681" s="15" t="s">
        <v>152</v>
      </c>
      <c r="C1681" s="15" t="s">
        <v>69</v>
      </c>
      <c r="D1681" s="15" t="s">
        <v>158</v>
      </c>
      <c r="E1681" s="19">
        <v>192700</v>
      </c>
      <c r="F1681" s="19">
        <v>172824</v>
      </c>
      <c r="G1681" s="20">
        <f t="shared" si="26"/>
        <v>0.47281163480373384</v>
      </c>
      <c r="H1681" s="24" t="s">
        <v>583</v>
      </c>
      <c r="I1681" s="24" t="s">
        <v>584</v>
      </c>
      <c r="J1681" s="24" t="s">
        <v>585</v>
      </c>
      <c r="K1681" s="24" t="s">
        <v>598</v>
      </c>
    </row>
    <row r="1682" spans="1:11">
      <c r="A1682" s="12">
        <v>2017</v>
      </c>
      <c r="B1682" s="15" t="s">
        <v>159</v>
      </c>
      <c r="C1682" s="15" t="s">
        <v>22</v>
      </c>
      <c r="D1682" s="15" t="s">
        <v>159</v>
      </c>
      <c r="E1682" s="19">
        <v>216099</v>
      </c>
      <c r="F1682" s="19">
        <v>186267</v>
      </c>
      <c r="G1682" s="20">
        <f t="shared" si="26"/>
        <v>0.46292927334814571</v>
      </c>
      <c r="H1682" s="24" t="s">
        <v>589</v>
      </c>
      <c r="I1682" s="24" t="s">
        <v>560</v>
      </c>
      <c r="J1682" s="24" t="s">
        <v>590</v>
      </c>
      <c r="K1682" s="24" t="s">
        <v>598</v>
      </c>
    </row>
    <row r="1683" spans="1:11">
      <c r="A1683" s="12">
        <v>2017</v>
      </c>
      <c r="B1683" s="15" t="s">
        <v>160</v>
      </c>
      <c r="C1683" s="15" t="s">
        <v>22</v>
      </c>
      <c r="D1683" s="15" t="s">
        <v>160</v>
      </c>
      <c r="E1683" s="19">
        <v>11591600</v>
      </c>
      <c r="F1683" s="19">
        <v>4495371</v>
      </c>
      <c r="G1683" s="20">
        <f t="shared" si="26"/>
        <v>0.27944172958352448</v>
      </c>
      <c r="H1683" s="24" t="s">
        <v>579</v>
      </c>
      <c r="I1683" s="24" t="s">
        <v>596</v>
      </c>
      <c r="J1683" s="24" t="s">
        <v>597</v>
      </c>
      <c r="K1683" s="24" t="s">
        <v>598</v>
      </c>
    </row>
    <row r="1684" spans="1:11">
      <c r="A1684" s="12">
        <v>2017</v>
      </c>
      <c r="B1684" s="15" t="s">
        <v>160</v>
      </c>
      <c r="C1684" s="15" t="s">
        <v>161</v>
      </c>
      <c r="D1684" s="15" t="s">
        <v>162</v>
      </c>
      <c r="E1684" s="19">
        <v>47297</v>
      </c>
      <c r="F1684" s="19">
        <v>46879</v>
      </c>
      <c r="G1684" s="20">
        <f t="shared" si="26"/>
        <v>0.49778075093442065</v>
      </c>
      <c r="H1684" s="24" t="s">
        <v>579</v>
      </c>
      <c r="I1684" s="24" t="s">
        <v>591</v>
      </c>
      <c r="J1684" s="24" t="s">
        <v>592</v>
      </c>
      <c r="K1684" s="24" t="s">
        <v>598</v>
      </c>
    </row>
    <row r="1685" spans="1:11">
      <c r="A1685" s="12">
        <v>2017</v>
      </c>
      <c r="B1685" s="15" t="s">
        <v>160</v>
      </c>
      <c r="C1685" s="15" t="s">
        <v>163</v>
      </c>
      <c r="D1685" s="15" t="s">
        <v>164</v>
      </c>
      <c r="E1685" s="19">
        <v>355922</v>
      </c>
      <c r="F1685" s="19">
        <v>290863</v>
      </c>
      <c r="G1685" s="20">
        <f t="shared" si="26"/>
        <v>0.44970585279497821</v>
      </c>
      <c r="H1685" s="24" t="s">
        <v>579</v>
      </c>
      <c r="I1685" s="24" t="s">
        <v>591</v>
      </c>
      <c r="J1685" s="24" t="s">
        <v>592</v>
      </c>
      <c r="K1685" s="24" t="s">
        <v>598</v>
      </c>
    </row>
    <row r="1686" spans="1:11">
      <c r="A1686" s="12">
        <v>2017</v>
      </c>
      <c r="B1686" s="15" t="s">
        <v>160</v>
      </c>
      <c r="C1686" s="15" t="s">
        <v>167</v>
      </c>
      <c r="D1686" s="15" t="s">
        <v>168</v>
      </c>
      <c r="E1686" s="19">
        <v>231515</v>
      </c>
      <c r="F1686" s="19">
        <v>196554</v>
      </c>
      <c r="G1686" s="20">
        <f t="shared" si="26"/>
        <v>0.45916429360687178</v>
      </c>
      <c r="H1686" s="24" t="s">
        <v>579</v>
      </c>
      <c r="I1686" s="24" t="s">
        <v>591</v>
      </c>
      <c r="J1686" s="24" t="s">
        <v>592</v>
      </c>
      <c r="K1686" s="24" t="s">
        <v>598</v>
      </c>
    </row>
    <row r="1687" spans="1:11">
      <c r="A1687" s="12">
        <v>2017</v>
      </c>
      <c r="B1687" s="15" t="s">
        <v>160</v>
      </c>
      <c r="C1687" s="15" t="s">
        <v>169</v>
      </c>
      <c r="D1687" s="15" t="s">
        <v>170</v>
      </c>
      <c r="E1687" s="19">
        <v>241650</v>
      </c>
      <c r="F1687" s="19">
        <v>206941</v>
      </c>
      <c r="G1687" s="20">
        <f t="shared" si="26"/>
        <v>0.4613133121261907</v>
      </c>
      <c r="H1687" s="24" t="s">
        <v>579</v>
      </c>
      <c r="I1687" s="24" t="s">
        <v>591</v>
      </c>
      <c r="J1687" s="24" t="s">
        <v>592</v>
      </c>
      <c r="K1687" s="24" t="s">
        <v>598</v>
      </c>
    </row>
    <row r="1688" spans="1:11">
      <c r="A1688" s="12">
        <v>2017</v>
      </c>
      <c r="B1688" s="15" t="s">
        <v>160</v>
      </c>
      <c r="C1688" s="15" t="s">
        <v>171</v>
      </c>
      <c r="D1688" s="15" t="s">
        <v>172</v>
      </c>
      <c r="E1688" s="19">
        <v>41595</v>
      </c>
      <c r="F1688" s="19">
        <v>43261</v>
      </c>
      <c r="G1688" s="20">
        <f t="shared" si="26"/>
        <v>0.50981663052701043</v>
      </c>
      <c r="H1688" s="24" t="s">
        <v>579</v>
      </c>
      <c r="I1688" s="24" t="s">
        <v>591</v>
      </c>
      <c r="J1688" s="24" t="s">
        <v>592</v>
      </c>
      <c r="K1688" s="24" t="s">
        <v>598</v>
      </c>
    </row>
    <row r="1689" spans="1:11">
      <c r="A1689" s="12">
        <v>2017</v>
      </c>
      <c r="B1689" s="15" t="s">
        <v>160</v>
      </c>
      <c r="C1689" s="15" t="s">
        <v>173</v>
      </c>
      <c r="D1689" s="15" t="s">
        <v>174</v>
      </c>
      <c r="E1689" s="19">
        <v>278813</v>
      </c>
      <c r="F1689" s="19">
        <v>199956</v>
      </c>
      <c r="G1689" s="20">
        <f t="shared" si="26"/>
        <v>0.41764608819702193</v>
      </c>
      <c r="H1689" s="24" t="s">
        <v>579</v>
      </c>
      <c r="I1689" s="24" t="s">
        <v>591</v>
      </c>
      <c r="J1689" s="24" t="s">
        <v>592</v>
      </c>
      <c r="K1689" s="24" t="s">
        <v>598</v>
      </c>
    </row>
    <row r="1690" spans="1:11">
      <c r="A1690" s="12">
        <v>2017</v>
      </c>
      <c r="B1690" s="15" t="s">
        <v>160</v>
      </c>
      <c r="C1690" s="15" t="s">
        <v>175</v>
      </c>
      <c r="D1690" s="15" t="s">
        <v>176</v>
      </c>
      <c r="E1690" s="19">
        <v>256593</v>
      </c>
      <c r="F1690" s="19">
        <v>238650</v>
      </c>
      <c r="G1690" s="20">
        <f t="shared" si="26"/>
        <v>0.48188465056547997</v>
      </c>
      <c r="H1690" s="24" t="s">
        <v>579</v>
      </c>
      <c r="I1690" s="24" t="s">
        <v>591</v>
      </c>
      <c r="J1690" s="24" t="s">
        <v>592</v>
      </c>
      <c r="K1690" s="24" t="s">
        <v>598</v>
      </c>
    </row>
    <row r="1691" spans="1:11">
      <c r="A1691" s="12">
        <v>2017</v>
      </c>
      <c r="B1691" s="15" t="s">
        <v>160</v>
      </c>
      <c r="C1691" s="15" t="s">
        <v>177</v>
      </c>
      <c r="D1691" s="15" t="s">
        <v>178</v>
      </c>
      <c r="E1691" s="19">
        <v>161896</v>
      </c>
      <c r="F1691" s="19">
        <v>119728</v>
      </c>
      <c r="G1691" s="20">
        <f t="shared" si="26"/>
        <v>0.4251342215152118</v>
      </c>
      <c r="H1691" s="24" t="s">
        <v>579</v>
      </c>
      <c r="I1691" s="24" t="s">
        <v>591</v>
      </c>
      <c r="J1691" s="24" t="s">
        <v>592</v>
      </c>
      <c r="K1691" s="24" t="s">
        <v>598</v>
      </c>
    </row>
    <row r="1692" spans="1:11">
      <c r="A1692" s="12">
        <v>2017</v>
      </c>
      <c r="B1692" s="15" t="s">
        <v>160</v>
      </c>
      <c r="C1692" s="15" t="s">
        <v>179</v>
      </c>
      <c r="D1692" s="15" t="s">
        <v>180</v>
      </c>
      <c r="E1692" s="19">
        <v>236055</v>
      </c>
      <c r="F1692" s="19">
        <v>176230</v>
      </c>
      <c r="G1692" s="20">
        <f t="shared" si="26"/>
        <v>0.42744703299901765</v>
      </c>
      <c r="H1692" s="24" t="s">
        <v>579</v>
      </c>
      <c r="I1692" s="24" t="s">
        <v>591</v>
      </c>
      <c r="J1692" s="24" t="s">
        <v>592</v>
      </c>
      <c r="K1692" s="24" t="s">
        <v>598</v>
      </c>
    </row>
    <row r="1693" spans="1:11">
      <c r="A1693" s="12">
        <v>2017</v>
      </c>
      <c r="B1693" s="15" t="s">
        <v>160</v>
      </c>
      <c r="C1693" s="15" t="s">
        <v>181</v>
      </c>
      <c r="D1693" s="15" t="s">
        <v>182</v>
      </c>
      <c r="E1693" s="19">
        <v>329705</v>
      </c>
      <c r="F1693" s="19">
        <v>231068</v>
      </c>
      <c r="G1693" s="20">
        <f t="shared" si="26"/>
        <v>0.41205264875448711</v>
      </c>
      <c r="H1693" s="24" t="s">
        <v>579</v>
      </c>
      <c r="I1693" s="24" t="s">
        <v>591</v>
      </c>
      <c r="J1693" s="24" t="s">
        <v>592</v>
      </c>
      <c r="K1693" s="24" t="s">
        <v>598</v>
      </c>
    </row>
    <row r="1694" spans="1:11">
      <c r="A1694" s="12">
        <v>2017</v>
      </c>
      <c r="B1694" s="15" t="s">
        <v>160</v>
      </c>
      <c r="C1694" s="15" t="s">
        <v>183</v>
      </c>
      <c r="D1694" s="15" t="s">
        <v>184</v>
      </c>
      <c r="E1694" s="19">
        <v>543359</v>
      </c>
      <c r="F1694" s="19">
        <v>411115</v>
      </c>
      <c r="G1694" s="20">
        <f t="shared" si="26"/>
        <v>0.43072414754094923</v>
      </c>
      <c r="H1694" s="24" t="s">
        <v>579</v>
      </c>
      <c r="I1694" s="24" t="s">
        <v>591</v>
      </c>
      <c r="J1694" s="24" t="s">
        <v>592</v>
      </c>
      <c r="K1694" s="24" t="s">
        <v>598</v>
      </c>
    </row>
    <row r="1695" spans="1:11">
      <c r="A1695" s="12">
        <v>2017</v>
      </c>
      <c r="B1695" s="15" t="s">
        <v>160</v>
      </c>
      <c r="C1695" s="15" t="s">
        <v>185</v>
      </c>
      <c r="D1695" s="15" t="s">
        <v>186</v>
      </c>
      <c r="E1695" s="19">
        <v>80186</v>
      </c>
      <c r="F1695" s="19">
        <v>56595</v>
      </c>
      <c r="G1695" s="20">
        <f t="shared" si="26"/>
        <v>0.41376360751858809</v>
      </c>
      <c r="H1695" s="24" t="s">
        <v>579</v>
      </c>
      <c r="I1695" s="24" t="s">
        <v>591</v>
      </c>
      <c r="J1695" s="24" t="s">
        <v>592</v>
      </c>
      <c r="K1695" s="24" t="s">
        <v>598</v>
      </c>
    </row>
    <row r="1696" spans="1:11">
      <c r="A1696" s="12">
        <v>2017</v>
      </c>
      <c r="B1696" s="15" t="s">
        <v>160</v>
      </c>
      <c r="C1696" s="15" t="s">
        <v>187</v>
      </c>
      <c r="D1696" s="15" t="s">
        <v>188</v>
      </c>
      <c r="E1696" s="19">
        <v>732647</v>
      </c>
      <c r="F1696" s="19">
        <v>398528</v>
      </c>
      <c r="G1696" s="20">
        <f t="shared" si="26"/>
        <v>0.35231330253939486</v>
      </c>
      <c r="H1696" s="24" t="s">
        <v>579</v>
      </c>
      <c r="I1696" s="24" t="s">
        <v>596</v>
      </c>
      <c r="J1696" s="24" t="s">
        <v>597</v>
      </c>
      <c r="K1696" s="24" t="s">
        <v>598</v>
      </c>
    </row>
    <row r="1697" spans="1:11">
      <c r="A1697" s="12">
        <v>2017</v>
      </c>
      <c r="B1697" s="15" t="s">
        <v>160</v>
      </c>
      <c r="C1697" s="15" t="s">
        <v>195</v>
      </c>
      <c r="D1697" s="15" t="s">
        <v>196</v>
      </c>
      <c r="E1697" s="19">
        <v>423673</v>
      </c>
      <c r="F1697" s="19">
        <v>278717</v>
      </c>
      <c r="G1697" s="20">
        <f t="shared" si="26"/>
        <v>0.3968123122481812</v>
      </c>
      <c r="H1697" s="24" t="s">
        <v>579</v>
      </c>
      <c r="I1697" s="24" t="s">
        <v>596</v>
      </c>
      <c r="J1697" s="24" t="s">
        <v>597</v>
      </c>
      <c r="K1697" s="24" t="s">
        <v>598</v>
      </c>
    </row>
    <row r="1698" spans="1:11">
      <c r="A1698" s="12">
        <v>2017</v>
      </c>
      <c r="B1698" s="15" t="s">
        <v>160</v>
      </c>
      <c r="C1698" s="15" t="s">
        <v>197</v>
      </c>
      <c r="D1698" s="15" t="s">
        <v>198</v>
      </c>
      <c r="E1698" s="19">
        <v>170348</v>
      </c>
      <c r="F1698" s="19">
        <v>181883</v>
      </c>
      <c r="G1698" s="20">
        <f t="shared" si="26"/>
        <v>0.51637419761463355</v>
      </c>
      <c r="H1698" s="24" t="s">
        <v>579</v>
      </c>
      <c r="I1698" s="24" t="s">
        <v>596</v>
      </c>
      <c r="J1698" s="24" t="s">
        <v>597</v>
      </c>
      <c r="K1698" s="24" t="s">
        <v>598</v>
      </c>
    </row>
    <row r="1699" spans="1:11">
      <c r="A1699" s="12">
        <v>2017</v>
      </c>
      <c r="B1699" s="15" t="s">
        <v>160</v>
      </c>
      <c r="C1699" s="15" t="s">
        <v>199</v>
      </c>
      <c r="D1699" s="15" t="s">
        <v>200</v>
      </c>
      <c r="E1699" s="19">
        <v>172125</v>
      </c>
      <c r="F1699" s="19">
        <v>174185</v>
      </c>
      <c r="G1699" s="20">
        <f t="shared" si="26"/>
        <v>0.50297421385463892</v>
      </c>
      <c r="H1699" s="24" t="s">
        <v>579</v>
      </c>
      <c r="I1699" s="24" t="s">
        <v>596</v>
      </c>
      <c r="J1699" s="24" t="s">
        <v>597</v>
      </c>
      <c r="K1699" s="24" t="s">
        <v>598</v>
      </c>
    </row>
    <row r="1700" spans="1:11">
      <c r="A1700" s="12">
        <v>2017</v>
      </c>
      <c r="B1700" s="15" t="s">
        <v>160</v>
      </c>
      <c r="C1700" s="15" t="s">
        <v>201</v>
      </c>
      <c r="D1700" s="15" t="s">
        <v>202</v>
      </c>
      <c r="E1700" s="19">
        <v>277044</v>
      </c>
      <c r="F1700" s="19">
        <v>278516</v>
      </c>
      <c r="G1700" s="20">
        <f t="shared" si="26"/>
        <v>0.50132478940168479</v>
      </c>
      <c r="H1700" s="24" t="s">
        <v>579</v>
      </c>
      <c r="I1700" s="24" t="s">
        <v>596</v>
      </c>
      <c r="J1700" s="24" t="s">
        <v>597</v>
      </c>
      <c r="K1700" s="24" t="s">
        <v>598</v>
      </c>
    </row>
    <row r="1701" spans="1:11">
      <c r="A1701" s="12">
        <v>2017</v>
      </c>
      <c r="B1701" s="15" t="s">
        <v>160</v>
      </c>
      <c r="C1701" s="15" t="s">
        <v>203</v>
      </c>
      <c r="D1701" s="15" t="s">
        <v>204</v>
      </c>
      <c r="E1701" s="19">
        <v>280543</v>
      </c>
      <c r="F1701" s="19">
        <v>248703</v>
      </c>
      <c r="G1701" s="20">
        <f t="shared" si="26"/>
        <v>0.46991947034082449</v>
      </c>
      <c r="H1701" s="24" t="s">
        <v>579</v>
      </c>
      <c r="I1701" s="24" t="s">
        <v>596</v>
      </c>
      <c r="J1701" s="24" t="s">
        <v>597</v>
      </c>
      <c r="K1701" s="24" t="s">
        <v>598</v>
      </c>
    </row>
    <row r="1702" spans="1:11">
      <c r="A1702" s="12">
        <v>2017</v>
      </c>
      <c r="B1702" s="15" t="s">
        <v>160</v>
      </c>
      <c r="C1702" s="15" t="s">
        <v>205</v>
      </c>
      <c r="D1702" s="15" t="s">
        <v>206</v>
      </c>
      <c r="E1702" s="19">
        <v>237378</v>
      </c>
      <c r="F1702" s="19">
        <v>200551</v>
      </c>
      <c r="G1702" s="20">
        <f t="shared" si="26"/>
        <v>0.45795322986146159</v>
      </c>
      <c r="H1702" s="24" t="s">
        <v>579</v>
      </c>
      <c r="I1702" s="24" t="s">
        <v>596</v>
      </c>
      <c r="J1702" s="24" t="s">
        <v>597</v>
      </c>
      <c r="K1702" s="24" t="s">
        <v>598</v>
      </c>
    </row>
    <row r="1703" spans="1:11">
      <c r="A1703" s="12">
        <v>2017</v>
      </c>
      <c r="B1703" s="15" t="s">
        <v>160</v>
      </c>
      <c r="C1703" s="15" t="s">
        <v>207</v>
      </c>
      <c r="D1703" s="15" t="s">
        <v>208</v>
      </c>
      <c r="E1703" s="19">
        <v>152319</v>
      </c>
      <c r="F1703" s="19">
        <v>143417</v>
      </c>
      <c r="G1703" s="20">
        <f t="shared" si="26"/>
        <v>0.4849494143425217</v>
      </c>
      <c r="H1703" s="24" t="s">
        <v>579</v>
      </c>
      <c r="I1703" s="24" t="s">
        <v>596</v>
      </c>
      <c r="J1703" s="24" t="s">
        <v>597</v>
      </c>
      <c r="K1703" s="24" t="s">
        <v>598</v>
      </c>
    </row>
    <row r="1704" spans="1:11">
      <c r="A1704" s="12">
        <v>2017</v>
      </c>
      <c r="B1704" s="15" t="s">
        <v>160</v>
      </c>
      <c r="C1704" s="15" t="s">
        <v>209</v>
      </c>
      <c r="D1704" s="15" t="s">
        <v>210</v>
      </c>
      <c r="E1704" s="19">
        <v>355576</v>
      </c>
      <c r="F1704" s="19">
        <v>257115</v>
      </c>
      <c r="G1704" s="20">
        <f t="shared" si="26"/>
        <v>0.41964872994706959</v>
      </c>
      <c r="H1704" s="24" t="s">
        <v>579</v>
      </c>
      <c r="I1704" s="24" t="s">
        <v>591</v>
      </c>
      <c r="J1704" s="24" t="s">
        <v>592</v>
      </c>
      <c r="K1704" s="24" t="s">
        <v>598</v>
      </c>
    </row>
    <row r="1705" spans="1:11">
      <c r="A1705" s="12">
        <v>2017</v>
      </c>
      <c r="B1705" s="15" t="s">
        <v>160</v>
      </c>
      <c r="C1705" s="15" t="s">
        <v>211</v>
      </c>
      <c r="D1705" s="15" t="s">
        <v>212</v>
      </c>
      <c r="E1705" s="19">
        <v>279612</v>
      </c>
      <c r="F1705" s="19">
        <v>164406</v>
      </c>
      <c r="G1705" s="20">
        <f t="shared" si="26"/>
        <v>0.37026877288758564</v>
      </c>
      <c r="H1705" s="24" t="s">
        <v>579</v>
      </c>
      <c r="I1705" s="24" t="s">
        <v>591</v>
      </c>
      <c r="J1705" s="24" t="s">
        <v>592</v>
      </c>
      <c r="K1705" s="24" t="s">
        <v>598</v>
      </c>
    </row>
    <row r="1706" spans="1:11">
      <c r="A1706" s="12">
        <v>2017</v>
      </c>
      <c r="B1706" s="15" t="s">
        <v>160</v>
      </c>
      <c r="C1706" s="15" t="s">
        <v>213</v>
      </c>
      <c r="D1706" s="15" t="s">
        <v>214</v>
      </c>
      <c r="E1706" s="19">
        <v>288332</v>
      </c>
      <c r="F1706" s="19">
        <v>258970</v>
      </c>
      <c r="G1706" s="20">
        <f t="shared" si="26"/>
        <v>0.47317568728051423</v>
      </c>
      <c r="H1706" s="24" t="s">
        <v>579</v>
      </c>
      <c r="I1706" s="24" t="s">
        <v>591</v>
      </c>
      <c r="J1706" s="24" t="s">
        <v>592</v>
      </c>
      <c r="K1706" s="24" t="s">
        <v>598</v>
      </c>
    </row>
    <row r="1707" spans="1:11">
      <c r="A1707" s="12">
        <v>2017</v>
      </c>
      <c r="B1707" s="15" t="s">
        <v>160</v>
      </c>
      <c r="C1707" s="15" t="s">
        <v>215</v>
      </c>
      <c r="D1707" s="15" t="s">
        <v>216</v>
      </c>
      <c r="E1707" s="19">
        <v>154700</v>
      </c>
      <c r="F1707" s="19">
        <v>114688</v>
      </c>
      <c r="G1707" s="20">
        <f t="shared" si="26"/>
        <v>0.42573537054360255</v>
      </c>
      <c r="H1707" s="24" t="s">
        <v>579</v>
      </c>
      <c r="I1707" s="24" t="s">
        <v>591</v>
      </c>
      <c r="J1707" s="24" t="s">
        <v>592</v>
      </c>
      <c r="K1707" s="24" t="s">
        <v>598</v>
      </c>
    </row>
    <row r="1708" spans="1:11">
      <c r="A1708" s="12">
        <v>2017</v>
      </c>
      <c r="B1708" s="15" t="s">
        <v>160</v>
      </c>
      <c r="C1708" s="15" t="s">
        <v>217</v>
      </c>
      <c r="D1708" s="15" t="s">
        <v>218</v>
      </c>
      <c r="E1708" s="19">
        <v>278347</v>
      </c>
      <c r="F1708" s="19">
        <v>202015</v>
      </c>
      <c r="G1708" s="20">
        <f t="shared" si="26"/>
        <v>0.42054742048704935</v>
      </c>
      <c r="H1708" s="24" t="s">
        <v>579</v>
      </c>
      <c r="I1708" s="24" t="s">
        <v>596</v>
      </c>
      <c r="J1708" s="24" t="s">
        <v>597</v>
      </c>
      <c r="K1708" s="24" t="s">
        <v>598</v>
      </c>
    </row>
    <row r="1709" spans="1:11">
      <c r="A1709" s="12">
        <v>2017</v>
      </c>
      <c r="B1709" s="15" t="s">
        <v>160</v>
      </c>
      <c r="C1709" s="15" t="s">
        <v>219</v>
      </c>
      <c r="D1709" s="15" t="s">
        <v>220</v>
      </c>
      <c r="E1709" s="19">
        <v>197408</v>
      </c>
      <c r="F1709" s="19">
        <v>179127</v>
      </c>
      <c r="G1709" s="20">
        <f t="shared" si="26"/>
        <v>0.47572470022707053</v>
      </c>
      <c r="H1709" s="24" t="s">
        <v>579</v>
      </c>
      <c r="I1709" s="24" t="s">
        <v>596</v>
      </c>
      <c r="J1709" s="24" t="s">
        <v>597</v>
      </c>
      <c r="K1709" s="24" t="s">
        <v>598</v>
      </c>
    </row>
    <row r="1710" spans="1:11">
      <c r="A1710" s="12">
        <v>2017</v>
      </c>
      <c r="B1710" s="15" t="s">
        <v>160</v>
      </c>
      <c r="C1710" s="15" t="s">
        <v>221</v>
      </c>
      <c r="D1710" s="15" t="s">
        <v>222</v>
      </c>
      <c r="E1710" s="19">
        <v>161793</v>
      </c>
      <c r="F1710" s="19">
        <v>152613</v>
      </c>
      <c r="G1710" s="20">
        <f t="shared" si="26"/>
        <v>0.48540104196484801</v>
      </c>
      <c r="H1710" s="24" t="s">
        <v>579</v>
      </c>
      <c r="I1710" s="24" t="s">
        <v>591</v>
      </c>
      <c r="J1710" s="24" t="s">
        <v>592</v>
      </c>
      <c r="K1710" s="24" t="s">
        <v>598</v>
      </c>
    </row>
    <row r="1711" spans="1:11">
      <c r="A1711" s="12">
        <v>2017</v>
      </c>
      <c r="B1711" s="15" t="s">
        <v>160</v>
      </c>
      <c r="C1711" s="15" t="s">
        <v>223</v>
      </c>
      <c r="D1711" s="15" t="s">
        <v>224</v>
      </c>
      <c r="E1711" s="19">
        <v>85177</v>
      </c>
      <c r="F1711" s="19">
        <v>77014</v>
      </c>
      <c r="G1711" s="20">
        <f t="shared" si="26"/>
        <v>0.47483522513579668</v>
      </c>
      <c r="H1711" s="24" t="s">
        <v>579</v>
      </c>
      <c r="I1711" s="24" t="s">
        <v>591</v>
      </c>
      <c r="J1711" s="24" t="s">
        <v>592</v>
      </c>
      <c r="K1711" s="24" t="s">
        <v>598</v>
      </c>
    </row>
    <row r="1712" spans="1:11">
      <c r="A1712" s="12">
        <v>2017</v>
      </c>
      <c r="B1712" s="15" t="s">
        <v>160</v>
      </c>
      <c r="C1712" s="15" t="s">
        <v>227</v>
      </c>
      <c r="D1712" s="15" t="s">
        <v>228</v>
      </c>
      <c r="E1712" s="19">
        <v>87647</v>
      </c>
      <c r="F1712" s="19">
        <v>69336</v>
      </c>
      <c r="G1712" s="20">
        <f t="shared" si="26"/>
        <v>0.4416783982979049</v>
      </c>
      <c r="H1712" s="24" t="s">
        <v>579</v>
      </c>
      <c r="I1712" s="24" t="s">
        <v>591</v>
      </c>
      <c r="J1712" s="24" t="s">
        <v>592</v>
      </c>
      <c r="K1712" s="24" t="s">
        <v>598</v>
      </c>
    </row>
    <row r="1713" spans="1:11">
      <c r="A1713" s="12">
        <v>2017</v>
      </c>
      <c r="B1713" s="15" t="s">
        <v>160</v>
      </c>
      <c r="C1713" s="15" t="s">
        <v>229</v>
      </c>
      <c r="D1713" s="15" t="s">
        <v>230</v>
      </c>
      <c r="E1713" s="19">
        <v>32986</v>
      </c>
      <c r="F1713" s="19">
        <v>33844</v>
      </c>
      <c r="G1713" s="20">
        <f t="shared" si="26"/>
        <v>0.50641927278168486</v>
      </c>
      <c r="H1713" s="24" t="s">
        <v>579</v>
      </c>
      <c r="I1713" s="24" t="s">
        <v>591</v>
      </c>
      <c r="J1713" s="24" t="s">
        <v>592</v>
      </c>
      <c r="K1713" s="24" t="s">
        <v>598</v>
      </c>
    </row>
    <row r="1714" spans="1:11">
      <c r="A1714" s="12">
        <v>2017</v>
      </c>
      <c r="B1714" s="15" t="s">
        <v>160</v>
      </c>
      <c r="C1714" s="15" t="s">
        <v>231</v>
      </c>
      <c r="D1714" s="15" t="s">
        <v>232</v>
      </c>
      <c r="E1714" s="19">
        <v>179257</v>
      </c>
      <c r="F1714" s="19">
        <v>130138</v>
      </c>
      <c r="G1714" s="20">
        <f t="shared" si="26"/>
        <v>0.42062088915464052</v>
      </c>
      <c r="H1714" s="24" t="s">
        <v>579</v>
      </c>
      <c r="I1714" s="24" t="s">
        <v>591</v>
      </c>
      <c r="J1714" s="24" t="s">
        <v>592</v>
      </c>
      <c r="K1714" s="24" t="s">
        <v>598</v>
      </c>
    </row>
    <row r="1715" spans="1:11">
      <c r="A1715" s="12">
        <v>2017</v>
      </c>
      <c r="B1715" s="15" t="s">
        <v>160</v>
      </c>
      <c r="C1715" s="15" t="s">
        <v>235</v>
      </c>
      <c r="D1715" s="15" t="s">
        <v>236</v>
      </c>
      <c r="E1715" s="19">
        <v>318964</v>
      </c>
      <c r="F1715" s="19">
        <v>304500</v>
      </c>
      <c r="G1715" s="20">
        <f t="shared" si="26"/>
        <v>0.48840029255899298</v>
      </c>
      <c r="H1715" s="24" t="s">
        <v>579</v>
      </c>
      <c r="I1715" s="24" t="s">
        <v>591</v>
      </c>
      <c r="J1715" s="24" t="s">
        <v>592</v>
      </c>
      <c r="K1715" s="24" t="s">
        <v>598</v>
      </c>
    </row>
    <row r="1716" spans="1:11">
      <c r="A1716" s="12">
        <v>2017</v>
      </c>
      <c r="B1716" s="15" t="s">
        <v>160</v>
      </c>
      <c r="C1716" s="15" t="s">
        <v>237</v>
      </c>
      <c r="D1716" s="15" t="s">
        <v>238</v>
      </c>
      <c r="E1716" s="19">
        <v>268310</v>
      </c>
      <c r="F1716" s="19">
        <v>265316</v>
      </c>
      <c r="G1716" s="20">
        <f t="shared" si="26"/>
        <v>0.49719466442789517</v>
      </c>
      <c r="H1716" s="24" t="s">
        <v>579</v>
      </c>
      <c r="I1716" s="24" t="s">
        <v>591</v>
      </c>
      <c r="J1716" s="24" t="s">
        <v>592</v>
      </c>
      <c r="K1716" s="24" t="s">
        <v>598</v>
      </c>
    </row>
    <row r="1717" spans="1:11">
      <c r="A1717" s="12">
        <v>2017</v>
      </c>
      <c r="B1717" s="15" t="s">
        <v>160</v>
      </c>
      <c r="C1717" s="15" t="s">
        <v>239</v>
      </c>
      <c r="D1717" s="15" t="s">
        <v>240</v>
      </c>
      <c r="E1717" s="19">
        <v>182540</v>
      </c>
      <c r="F1717" s="19">
        <v>139080</v>
      </c>
      <c r="G1717" s="20">
        <f t="shared" si="26"/>
        <v>0.43243579379391828</v>
      </c>
      <c r="H1717" s="24" t="s">
        <v>579</v>
      </c>
      <c r="I1717" s="24" t="s">
        <v>591</v>
      </c>
      <c r="J1717" s="24" t="s">
        <v>592</v>
      </c>
      <c r="K1717" s="24" t="s">
        <v>598</v>
      </c>
    </row>
    <row r="1718" spans="1:11">
      <c r="A1718" s="12">
        <v>2017</v>
      </c>
      <c r="B1718" s="15" t="s">
        <v>160</v>
      </c>
      <c r="C1718" s="15" t="s">
        <v>241</v>
      </c>
      <c r="D1718" s="15" t="s">
        <v>242</v>
      </c>
      <c r="E1718" s="19">
        <v>107639</v>
      </c>
      <c r="F1718" s="19">
        <v>127514</v>
      </c>
      <c r="G1718" s="20">
        <f t="shared" si="26"/>
        <v>0.54225972026723024</v>
      </c>
      <c r="H1718" s="24" t="s">
        <v>579</v>
      </c>
      <c r="I1718" s="24" t="s">
        <v>591</v>
      </c>
      <c r="J1718" s="24" t="s">
        <v>592</v>
      </c>
      <c r="K1718" s="24" t="s">
        <v>598</v>
      </c>
    </row>
    <row r="1719" spans="1:11">
      <c r="A1719" s="12">
        <v>2017</v>
      </c>
      <c r="B1719" s="15" t="s">
        <v>160</v>
      </c>
      <c r="C1719" s="15" t="s">
        <v>243</v>
      </c>
      <c r="D1719" s="15" t="s">
        <v>244</v>
      </c>
      <c r="E1719" s="19">
        <v>369960</v>
      </c>
      <c r="F1719" s="19">
        <v>218735</v>
      </c>
      <c r="G1719" s="20">
        <f t="shared" si="26"/>
        <v>0.37155912654260698</v>
      </c>
      <c r="H1719" s="24" t="s">
        <v>579</v>
      </c>
      <c r="I1719" s="24" t="s">
        <v>596</v>
      </c>
      <c r="J1719" s="24" t="s">
        <v>597</v>
      </c>
      <c r="K1719" s="24" t="s">
        <v>598</v>
      </c>
    </row>
    <row r="1720" spans="1:11">
      <c r="A1720" s="12">
        <v>2017</v>
      </c>
      <c r="B1720" s="15" t="s">
        <v>160</v>
      </c>
      <c r="C1720" s="15" t="s">
        <v>245</v>
      </c>
      <c r="D1720" s="15" t="s">
        <v>246</v>
      </c>
      <c r="E1720" s="19">
        <v>183609</v>
      </c>
      <c r="F1720" s="19">
        <v>111782</v>
      </c>
      <c r="G1720" s="20">
        <f t="shared" si="26"/>
        <v>0.37842046643262661</v>
      </c>
      <c r="H1720" s="24" t="s">
        <v>579</v>
      </c>
      <c r="I1720" s="24" t="s">
        <v>591</v>
      </c>
      <c r="J1720" s="24" t="s">
        <v>592</v>
      </c>
      <c r="K1720" s="24" t="s">
        <v>598</v>
      </c>
    </row>
    <row r="1721" spans="1:11">
      <c r="A1721" s="12">
        <v>2017</v>
      </c>
      <c r="B1721" s="15" t="s">
        <v>160</v>
      </c>
      <c r="C1721" s="15" t="s">
        <v>247</v>
      </c>
      <c r="D1721" s="15" t="s">
        <v>248</v>
      </c>
      <c r="E1721" s="19">
        <v>362388</v>
      </c>
      <c r="F1721" s="19">
        <v>263793</v>
      </c>
      <c r="G1721" s="20">
        <f t="shared" si="26"/>
        <v>0.42127276298705968</v>
      </c>
      <c r="H1721" s="24" t="s">
        <v>579</v>
      </c>
      <c r="I1721" s="24" t="s">
        <v>591</v>
      </c>
      <c r="J1721" s="24" t="s">
        <v>592</v>
      </c>
      <c r="K1721" s="24" t="s">
        <v>598</v>
      </c>
    </row>
    <row r="1722" spans="1:11">
      <c r="A1722" s="12">
        <v>2017</v>
      </c>
      <c r="B1722" s="15" t="s">
        <v>160</v>
      </c>
      <c r="C1722" s="15" t="s">
        <v>249</v>
      </c>
      <c r="D1722" s="15" t="s">
        <v>250</v>
      </c>
      <c r="E1722" s="19">
        <v>416752</v>
      </c>
      <c r="F1722" s="19">
        <v>231854</v>
      </c>
      <c r="G1722" s="20">
        <f t="shared" si="26"/>
        <v>0.35746508666278143</v>
      </c>
      <c r="H1722" s="24" t="s">
        <v>579</v>
      </c>
      <c r="I1722" s="24" t="s">
        <v>591</v>
      </c>
      <c r="J1722" s="24" t="s">
        <v>592</v>
      </c>
      <c r="K1722" s="24" t="s">
        <v>598</v>
      </c>
    </row>
    <row r="1723" spans="1:11">
      <c r="A1723" s="12">
        <v>2017</v>
      </c>
      <c r="B1723" s="15" t="s">
        <v>160</v>
      </c>
      <c r="C1723" s="15" t="s">
        <v>251</v>
      </c>
      <c r="D1723" s="15" t="s">
        <v>252</v>
      </c>
      <c r="E1723" s="19">
        <v>126429</v>
      </c>
      <c r="F1723" s="19">
        <v>93709</v>
      </c>
      <c r="G1723" s="20">
        <f t="shared" si="26"/>
        <v>0.42568298067575794</v>
      </c>
      <c r="H1723" s="24" t="s">
        <v>579</v>
      </c>
      <c r="I1723" s="24" t="s">
        <v>591</v>
      </c>
      <c r="J1723" s="24" t="s">
        <v>592</v>
      </c>
      <c r="K1723" s="24" t="s">
        <v>598</v>
      </c>
    </row>
    <row r="1724" spans="1:11">
      <c r="A1724" s="12">
        <v>2017</v>
      </c>
      <c r="B1724" s="15" t="s">
        <v>160</v>
      </c>
      <c r="C1724" s="15" t="s">
        <v>253</v>
      </c>
      <c r="D1724" s="15" t="s">
        <v>254</v>
      </c>
      <c r="E1724" s="19">
        <v>160265</v>
      </c>
      <c r="F1724" s="19">
        <v>172688</v>
      </c>
      <c r="G1724" s="20">
        <f t="shared" si="26"/>
        <v>0.51865578625211362</v>
      </c>
      <c r="H1724" s="24" t="s">
        <v>579</v>
      </c>
      <c r="I1724" s="24" t="s">
        <v>591</v>
      </c>
      <c r="J1724" s="24" t="s">
        <v>592</v>
      </c>
      <c r="K1724" s="24" t="s">
        <v>598</v>
      </c>
    </row>
    <row r="1725" spans="1:11">
      <c r="A1725" s="12">
        <v>2017</v>
      </c>
      <c r="B1725" s="15" t="s">
        <v>160</v>
      </c>
      <c r="C1725" s="15" t="s">
        <v>255</v>
      </c>
      <c r="D1725" s="15" t="s">
        <v>256</v>
      </c>
      <c r="E1725" s="19">
        <v>582444</v>
      </c>
      <c r="F1725" s="19">
        <v>449257</v>
      </c>
      <c r="G1725" s="20">
        <f t="shared" si="26"/>
        <v>0.43545271352843506</v>
      </c>
      <c r="H1725" s="24" t="s">
        <v>579</v>
      </c>
      <c r="I1725" s="24" t="s">
        <v>591</v>
      </c>
      <c r="J1725" s="24" t="s">
        <v>592</v>
      </c>
      <c r="K1725" s="24" t="s">
        <v>598</v>
      </c>
    </row>
    <row r="1726" spans="1:11">
      <c r="A1726" s="12">
        <v>2017</v>
      </c>
      <c r="B1726" s="15" t="s">
        <v>257</v>
      </c>
      <c r="C1726" s="15" t="s">
        <v>22</v>
      </c>
      <c r="D1726" s="15" t="s">
        <v>257</v>
      </c>
      <c r="E1726" s="19">
        <v>1360595</v>
      </c>
      <c r="F1726" s="19">
        <v>442911</v>
      </c>
      <c r="G1726" s="20">
        <f t="shared" si="26"/>
        <v>0.24558332492378734</v>
      </c>
      <c r="H1726" s="24" t="s">
        <v>579</v>
      </c>
      <c r="I1726" s="24" t="s">
        <v>591</v>
      </c>
      <c r="J1726" s="24" t="s">
        <v>592</v>
      </c>
      <c r="K1726" s="24" t="s">
        <v>598</v>
      </c>
    </row>
    <row r="1727" spans="1:11">
      <c r="A1727" s="12">
        <v>2017</v>
      </c>
      <c r="B1727" s="15" t="s">
        <v>257</v>
      </c>
      <c r="C1727" s="15" t="s">
        <v>258</v>
      </c>
      <c r="D1727" s="15" t="s">
        <v>259</v>
      </c>
      <c r="E1727" s="19">
        <v>187539</v>
      </c>
      <c r="F1727" s="19">
        <v>57681</v>
      </c>
      <c r="G1727" s="20">
        <f t="shared" si="26"/>
        <v>0.23522143381453389</v>
      </c>
      <c r="H1727" s="24" t="s">
        <v>579</v>
      </c>
      <c r="I1727" s="24" t="s">
        <v>591</v>
      </c>
      <c r="J1727" s="24" t="s">
        <v>592</v>
      </c>
      <c r="K1727" s="24" t="s">
        <v>598</v>
      </c>
    </row>
    <row r="1728" spans="1:11">
      <c r="A1728" s="12">
        <v>2017</v>
      </c>
      <c r="B1728" s="15" t="s">
        <v>257</v>
      </c>
      <c r="C1728" s="15" t="s">
        <v>260</v>
      </c>
      <c r="D1728" s="15" t="s">
        <v>261</v>
      </c>
      <c r="E1728" s="19">
        <v>16314</v>
      </c>
      <c r="F1728" s="19">
        <v>24996</v>
      </c>
      <c r="G1728" s="20">
        <f t="shared" si="26"/>
        <v>0.6050835148874365</v>
      </c>
      <c r="H1728" s="24" t="s">
        <v>579</v>
      </c>
      <c r="I1728" s="24" t="s">
        <v>591</v>
      </c>
      <c r="J1728" s="24" t="s">
        <v>592</v>
      </c>
      <c r="K1728" s="24" t="s">
        <v>598</v>
      </c>
    </row>
    <row r="1729" spans="1:11">
      <c r="A1729" s="12">
        <v>2017</v>
      </c>
      <c r="B1729" s="15" t="s">
        <v>257</v>
      </c>
      <c r="C1729" s="15" t="s">
        <v>262</v>
      </c>
      <c r="D1729" s="15" t="s">
        <v>263</v>
      </c>
      <c r="E1729" s="19">
        <v>80792</v>
      </c>
      <c r="F1729" s="19">
        <v>45603</v>
      </c>
      <c r="G1729" s="20">
        <f t="shared" si="26"/>
        <v>0.36079749990110366</v>
      </c>
      <c r="H1729" s="24" t="s">
        <v>579</v>
      </c>
      <c r="I1729" s="24" t="s">
        <v>591</v>
      </c>
      <c r="J1729" s="24" t="s">
        <v>592</v>
      </c>
      <c r="K1729" s="24" t="s">
        <v>598</v>
      </c>
    </row>
    <row r="1730" spans="1:11">
      <c r="A1730" s="12">
        <v>2017</v>
      </c>
      <c r="B1730" s="15" t="s">
        <v>257</v>
      </c>
      <c r="C1730" s="15" t="s">
        <v>264</v>
      </c>
      <c r="D1730" s="15" t="s">
        <v>265</v>
      </c>
      <c r="E1730" s="19">
        <v>56099</v>
      </c>
      <c r="F1730" s="19">
        <v>41682</v>
      </c>
      <c r="G1730" s="20">
        <f t="shared" si="26"/>
        <v>0.42627913398308465</v>
      </c>
      <c r="H1730" s="24" t="s">
        <v>579</v>
      </c>
      <c r="I1730" s="24" t="s">
        <v>591</v>
      </c>
      <c r="J1730" s="24" t="s">
        <v>592</v>
      </c>
      <c r="K1730" s="24" t="s">
        <v>598</v>
      </c>
    </row>
    <row r="1731" spans="1:11">
      <c r="A1731" s="12">
        <v>2017</v>
      </c>
      <c r="B1731" s="15" t="s">
        <v>257</v>
      </c>
      <c r="C1731" s="15" t="s">
        <v>266</v>
      </c>
      <c r="D1731" s="15" t="s">
        <v>267</v>
      </c>
      <c r="E1731" s="19">
        <v>70339</v>
      </c>
      <c r="F1731" s="19">
        <v>37982</v>
      </c>
      <c r="G1731" s="20">
        <f t="shared" si="26"/>
        <v>0.35064299627957646</v>
      </c>
      <c r="H1731" s="24" t="s">
        <v>579</v>
      </c>
      <c r="I1731" s="24" t="s">
        <v>591</v>
      </c>
      <c r="J1731" s="24" t="s">
        <v>592</v>
      </c>
      <c r="K1731" s="24" t="s">
        <v>598</v>
      </c>
    </row>
    <row r="1732" spans="1:11">
      <c r="A1732" s="12">
        <v>2017</v>
      </c>
      <c r="B1732" s="15" t="s">
        <v>257</v>
      </c>
      <c r="C1732" s="15" t="s">
        <v>268</v>
      </c>
      <c r="D1732" s="15" t="s">
        <v>269</v>
      </c>
      <c r="E1732" s="19">
        <v>17908</v>
      </c>
      <c r="F1732" s="19">
        <v>18341</v>
      </c>
      <c r="G1732" s="20">
        <f t="shared" si="26"/>
        <v>0.50597257855389111</v>
      </c>
      <c r="H1732" s="24" t="s">
        <v>579</v>
      </c>
      <c r="I1732" s="24" t="s">
        <v>591</v>
      </c>
      <c r="J1732" s="24" t="s">
        <v>592</v>
      </c>
      <c r="K1732" s="24" t="s">
        <v>598</v>
      </c>
    </row>
    <row r="1733" spans="1:11">
      <c r="A1733" s="12">
        <v>2017</v>
      </c>
      <c r="B1733" s="15" t="s">
        <v>257</v>
      </c>
      <c r="C1733" s="15" t="s">
        <v>270</v>
      </c>
      <c r="D1733" s="15" t="s">
        <v>271</v>
      </c>
      <c r="E1733" s="19">
        <v>17783</v>
      </c>
      <c r="F1733" s="19">
        <v>22730</v>
      </c>
      <c r="G1733" s="20">
        <f t="shared" si="26"/>
        <v>0.56105447634092764</v>
      </c>
      <c r="H1733" s="24" t="s">
        <v>579</v>
      </c>
      <c r="I1733" s="24" t="s">
        <v>591</v>
      </c>
      <c r="J1733" s="24" t="s">
        <v>592</v>
      </c>
      <c r="K1733" s="24" t="s">
        <v>598</v>
      </c>
    </row>
    <row r="1734" spans="1:11">
      <c r="A1734" s="12">
        <v>2017</v>
      </c>
      <c r="B1734" s="15" t="s">
        <v>257</v>
      </c>
      <c r="C1734" s="15" t="s">
        <v>272</v>
      </c>
      <c r="D1734" s="15" t="s">
        <v>273</v>
      </c>
      <c r="E1734" s="19">
        <v>29428</v>
      </c>
      <c r="F1734" s="19">
        <v>28798</v>
      </c>
      <c r="G1734" s="20">
        <f t="shared" ref="G1734:G1797" si="27">IFERROR(F1734/(E1734+F1734),"")</f>
        <v>0.49459004568405868</v>
      </c>
      <c r="H1734" s="24" t="s">
        <v>579</v>
      </c>
      <c r="I1734" s="24" t="s">
        <v>591</v>
      </c>
      <c r="J1734" s="24" t="s">
        <v>592</v>
      </c>
      <c r="K1734" s="24" t="s">
        <v>598</v>
      </c>
    </row>
    <row r="1735" spans="1:11">
      <c r="A1735" s="12">
        <v>2017</v>
      </c>
      <c r="B1735" s="15" t="s">
        <v>257</v>
      </c>
      <c r="C1735" s="15" t="s">
        <v>274</v>
      </c>
      <c r="D1735" s="15" t="s">
        <v>275</v>
      </c>
      <c r="E1735" s="19">
        <v>302610</v>
      </c>
      <c r="F1735" s="19">
        <v>98632</v>
      </c>
      <c r="G1735" s="20">
        <f t="shared" si="27"/>
        <v>0.24581673902532636</v>
      </c>
      <c r="H1735" s="24" t="s">
        <v>579</v>
      </c>
      <c r="I1735" s="24" t="s">
        <v>591</v>
      </c>
      <c r="J1735" s="24" t="s">
        <v>592</v>
      </c>
      <c r="K1735" s="24" t="s">
        <v>598</v>
      </c>
    </row>
    <row r="1736" spans="1:11">
      <c r="A1736" s="12">
        <v>2017</v>
      </c>
      <c r="B1736" s="15" t="s">
        <v>257</v>
      </c>
      <c r="C1736" s="15" t="s">
        <v>276</v>
      </c>
      <c r="D1736" s="15" t="s">
        <v>277</v>
      </c>
      <c r="E1736" s="19">
        <v>24587</v>
      </c>
      <c r="F1736" s="19">
        <v>24498</v>
      </c>
      <c r="G1736" s="20">
        <f t="shared" si="27"/>
        <v>0.49909340939187125</v>
      </c>
      <c r="H1736" s="24" t="s">
        <v>579</v>
      </c>
      <c r="I1736" s="24" t="s">
        <v>591</v>
      </c>
      <c r="J1736" s="24" t="s">
        <v>592</v>
      </c>
      <c r="K1736" s="24" t="s">
        <v>598</v>
      </c>
    </row>
    <row r="1737" spans="1:11">
      <c r="A1737" s="12">
        <v>2017</v>
      </c>
      <c r="B1737" s="15" t="s">
        <v>257</v>
      </c>
      <c r="C1737" s="15" t="s">
        <v>278</v>
      </c>
      <c r="D1737" s="15" t="s">
        <v>279</v>
      </c>
      <c r="E1737" s="19">
        <v>26832</v>
      </c>
      <c r="F1737" s="19">
        <v>29047</v>
      </c>
      <c r="G1737" s="20">
        <f t="shared" si="27"/>
        <v>0.51981961022924539</v>
      </c>
      <c r="H1737" s="24" t="s">
        <v>579</v>
      </c>
      <c r="I1737" s="24" t="s">
        <v>591</v>
      </c>
      <c r="J1737" s="24" t="s">
        <v>592</v>
      </c>
      <c r="K1737" s="24" t="s">
        <v>598</v>
      </c>
    </row>
    <row r="1738" spans="1:11">
      <c r="A1738" s="12">
        <v>2017</v>
      </c>
      <c r="B1738" s="15" t="s">
        <v>257</v>
      </c>
      <c r="C1738" s="15" t="s">
        <v>280</v>
      </c>
      <c r="D1738" s="15" t="s">
        <v>281</v>
      </c>
      <c r="E1738" s="19">
        <v>37118</v>
      </c>
      <c r="F1738" s="19">
        <v>33498</v>
      </c>
      <c r="G1738" s="20">
        <f t="shared" si="27"/>
        <v>0.47436841509006455</v>
      </c>
      <c r="H1738" s="24" t="s">
        <v>579</v>
      </c>
      <c r="I1738" s="24" t="s">
        <v>591</v>
      </c>
      <c r="J1738" s="24" t="s">
        <v>592</v>
      </c>
      <c r="K1738" s="24" t="s">
        <v>598</v>
      </c>
    </row>
    <row r="1739" spans="1:11">
      <c r="A1739" s="12">
        <v>2017</v>
      </c>
      <c r="B1739" s="15" t="s">
        <v>257</v>
      </c>
      <c r="C1739" s="15" t="s">
        <v>282</v>
      </c>
      <c r="D1739" s="15" t="s">
        <v>283</v>
      </c>
      <c r="E1739" s="19">
        <v>248497</v>
      </c>
      <c r="F1739" s="19">
        <v>76890</v>
      </c>
      <c r="G1739" s="20">
        <f t="shared" si="27"/>
        <v>0.23630323276590645</v>
      </c>
      <c r="H1739" s="24" t="s">
        <v>579</v>
      </c>
      <c r="I1739" s="24" t="s">
        <v>591</v>
      </c>
      <c r="J1739" s="24" t="s">
        <v>592</v>
      </c>
      <c r="K1739" s="24" t="s">
        <v>598</v>
      </c>
    </row>
    <row r="1740" spans="1:11">
      <c r="A1740" s="12">
        <v>2017</v>
      </c>
      <c r="B1740" s="15" t="s">
        <v>257</v>
      </c>
      <c r="C1740" s="15" t="s">
        <v>284</v>
      </c>
      <c r="D1740" s="15" t="s">
        <v>285</v>
      </c>
      <c r="E1740" s="19">
        <v>37807</v>
      </c>
      <c r="F1740" s="19">
        <v>26355</v>
      </c>
      <c r="G1740" s="20">
        <f t="shared" si="27"/>
        <v>0.41075714597425267</v>
      </c>
      <c r="H1740" s="24" t="s">
        <v>579</v>
      </c>
      <c r="I1740" s="24" t="s">
        <v>591</v>
      </c>
      <c r="J1740" s="24" t="s">
        <v>592</v>
      </c>
      <c r="K1740" s="24" t="s">
        <v>598</v>
      </c>
    </row>
    <row r="1741" spans="1:11">
      <c r="A1741" s="12">
        <v>2017</v>
      </c>
      <c r="B1741" s="15" t="s">
        <v>257</v>
      </c>
      <c r="C1741" s="15" t="s">
        <v>286</v>
      </c>
      <c r="D1741" s="15" t="s">
        <v>287</v>
      </c>
      <c r="E1741" s="19">
        <v>31616</v>
      </c>
      <c r="F1741" s="19">
        <v>33683</v>
      </c>
      <c r="G1741" s="20">
        <f t="shared" si="27"/>
        <v>0.5158271949034442</v>
      </c>
      <c r="H1741" s="24" t="s">
        <v>579</v>
      </c>
      <c r="I1741" s="24" t="s">
        <v>591</v>
      </c>
      <c r="J1741" s="24" t="s">
        <v>592</v>
      </c>
      <c r="K1741" s="24" t="s">
        <v>598</v>
      </c>
    </row>
    <row r="1742" spans="1:11">
      <c r="A1742" s="12">
        <v>2017</v>
      </c>
      <c r="B1742" s="15" t="s">
        <v>257</v>
      </c>
      <c r="C1742" s="15" t="s">
        <v>288</v>
      </c>
      <c r="D1742" s="15" t="s">
        <v>289</v>
      </c>
      <c r="E1742" s="19">
        <v>56345</v>
      </c>
      <c r="F1742" s="19">
        <v>43590</v>
      </c>
      <c r="G1742" s="20">
        <f t="shared" si="27"/>
        <v>0.4361835192875369</v>
      </c>
      <c r="H1742" s="24" t="s">
        <v>579</v>
      </c>
      <c r="I1742" s="24" t="s">
        <v>591</v>
      </c>
      <c r="J1742" s="24" t="s">
        <v>592</v>
      </c>
      <c r="K1742" s="24" t="s">
        <v>598</v>
      </c>
    </row>
    <row r="1743" spans="1:11">
      <c r="A1743" s="12">
        <v>2017</v>
      </c>
      <c r="B1743" s="15" t="s">
        <v>257</v>
      </c>
      <c r="C1743" s="15" t="s">
        <v>290</v>
      </c>
      <c r="D1743" s="15" t="s">
        <v>291</v>
      </c>
      <c r="E1743" s="19">
        <v>17974</v>
      </c>
      <c r="F1743" s="19">
        <v>21162</v>
      </c>
      <c r="G1743" s="20">
        <f t="shared" si="27"/>
        <v>0.54072976287816843</v>
      </c>
      <c r="H1743" s="24" t="s">
        <v>579</v>
      </c>
      <c r="I1743" s="24" t="s">
        <v>591</v>
      </c>
      <c r="J1743" s="24" t="s">
        <v>592</v>
      </c>
      <c r="K1743" s="24" t="s">
        <v>598</v>
      </c>
    </row>
    <row r="1744" spans="1:11">
      <c r="A1744" s="12">
        <v>2017</v>
      </c>
      <c r="B1744" s="15" t="s">
        <v>257</v>
      </c>
      <c r="C1744" s="15" t="s">
        <v>292</v>
      </c>
      <c r="D1744" s="15" t="s">
        <v>293</v>
      </c>
      <c r="E1744" s="19">
        <v>34274</v>
      </c>
      <c r="F1744" s="19">
        <v>35148</v>
      </c>
      <c r="G1744" s="20">
        <f t="shared" si="27"/>
        <v>0.50629483449050738</v>
      </c>
      <c r="H1744" s="24" t="s">
        <v>579</v>
      </c>
      <c r="I1744" s="24" t="s">
        <v>591</v>
      </c>
      <c r="J1744" s="24" t="s">
        <v>592</v>
      </c>
      <c r="K1744" s="24" t="s">
        <v>598</v>
      </c>
    </row>
    <row r="1745" spans="1:11">
      <c r="A1745" s="12">
        <v>2017</v>
      </c>
      <c r="B1745" s="15" t="s">
        <v>294</v>
      </c>
      <c r="C1745" s="15" t="s">
        <v>22</v>
      </c>
      <c r="D1745" s="15" t="s">
        <v>294</v>
      </c>
      <c r="E1745" s="19">
        <v>1446472</v>
      </c>
      <c r="F1745" s="19">
        <v>496273</v>
      </c>
      <c r="G1745" s="20">
        <f t="shared" si="27"/>
        <v>0.25544937704124832</v>
      </c>
      <c r="H1745" s="24" t="s">
        <v>589</v>
      </c>
      <c r="I1745" s="24" t="s">
        <v>560</v>
      </c>
      <c r="J1745" s="24" t="s">
        <v>590</v>
      </c>
      <c r="K1745" s="24" t="s">
        <v>598</v>
      </c>
    </row>
    <row r="1746" spans="1:11">
      <c r="A1746" s="12">
        <v>2017</v>
      </c>
      <c r="B1746" s="15" t="s">
        <v>294</v>
      </c>
      <c r="C1746" s="15" t="s">
        <v>295</v>
      </c>
      <c r="D1746" s="15" t="s">
        <v>296</v>
      </c>
      <c r="E1746" s="19">
        <v>26385</v>
      </c>
      <c r="F1746" s="19">
        <v>32294</v>
      </c>
      <c r="G1746" s="20">
        <f t="shared" si="27"/>
        <v>0.55035021046711774</v>
      </c>
      <c r="H1746" s="24" t="s">
        <v>589</v>
      </c>
      <c r="I1746" s="24" t="s">
        <v>560</v>
      </c>
      <c r="J1746" s="24" t="s">
        <v>590</v>
      </c>
      <c r="K1746" s="24" t="s">
        <v>598</v>
      </c>
    </row>
    <row r="1747" spans="1:11">
      <c r="A1747" s="12">
        <v>2017</v>
      </c>
      <c r="B1747" s="15" t="s">
        <v>294</v>
      </c>
      <c r="C1747" s="15" t="s">
        <v>297</v>
      </c>
      <c r="D1747" s="15" t="s">
        <v>298</v>
      </c>
      <c r="E1747" s="19">
        <v>21939</v>
      </c>
      <c r="F1747" s="19">
        <v>24878</v>
      </c>
      <c r="G1747" s="20">
        <f t="shared" si="27"/>
        <v>0.53138817096353885</v>
      </c>
      <c r="H1747" s="24" t="s">
        <v>589</v>
      </c>
      <c r="I1747" s="24" t="s">
        <v>560</v>
      </c>
      <c r="J1747" s="24" t="s">
        <v>590</v>
      </c>
      <c r="K1747" s="24" t="s">
        <v>598</v>
      </c>
    </row>
    <row r="1748" spans="1:11">
      <c r="A1748" s="12">
        <v>2017</v>
      </c>
      <c r="B1748" s="15" t="s">
        <v>294</v>
      </c>
      <c r="C1748" s="15" t="s">
        <v>299</v>
      </c>
      <c r="D1748" s="15" t="s">
        <v>300</v>
      </c>
      <c r="E1748" s="19">
        <v>27027</v>
      </c>
      <c r="F1748" s="19">
        <v>24643</v>
      </c>
      <c r="G1748" s="20">
        <f t="shared" si="27"/>
        <v>0.47693052061157343</v>
      </c>
      <c r="H1748" s="24" t="s">
        <v>589</v>
      </c>
      <c r="I1748" s="24" t="s">
        <v>560</v>
      </c>
      <c r="J1748" s="24" t="s">
        <v>590</v>
      </c>
      <c r="K1748" s="24" t="s">
        <v>598</v>
      </c>
    </row>
    <row r="1749" spans="1:11">
      <c r="A1749" s="12">
        <v>2017</v>
      </c>
      <c r="B1749" s="15" t="s">
        <v>294</v>
      </c>
      <c r="C1749" s="15" t="s">
        <v>301</v>
      </c>
      <c r="D1749" s="15" t="s">
        <v>302</v>
      </c>
      <c r="E1749" s="19">
        <v>40154</v>
      </c>
      <c r="F1749" s="19">
        <v>34448</v>
      </c>
      <c r="G1749" s="20">
        <f t="shared" si="27"/>
        <v>0.46175705745154283</v>
      </c>
      <c r="H1749" s="24" t="s">
        <v>589</v>
      </c>
      <c r="I1749" s="24" t="s">
        <v>560</v>
      </c>
      <c r="J1749" s="24" t="s">
        <v>590</v>
      </c>
      <c r="K1749" s="24" t="s">
        <v>598</v>
      </c>
    </row>
    <row r="1750" spans="1:11">
      <c r="A1750" s="12">
        <v>2017</v>
      </c>
      <c r="B1750" s="15" t="s">
        <v>294</v>
      </c>
      <c r="C1750" s="15" t="s">
        <v>303</v>
      </c>
      <c r="D1750" s="15" t="s">
        <v>304</v>
      </c>
      <c r="E1750" s="19">
        <v>42689</v>
      </c>
      <c r="F1750" s="19">
        <v>35873</v>
      </c>
      <c r="G1750" s="20">
        <f t="shared" si="27"/>
        <v>0.4566202489753316</v>
      </c>
      <c r="H1750" s="24" t="s">
        <v>589</v>
      </c>
      <c r="I1750" s="24" t="s">
        <v>560</v>
      </c>
      <c r="J1750" s="24" t="s">
        <v>590</v>
      </c>
      <c r="K1750" s="24" t="s">
        <v>598</v>
      </c>
    </row>
    <row r="1751" spans="1:11">
      <c r="A1751" s="12">
        <v>2017</v>
      </c>
      <c r="B1751" s="15" t="s">
        <v>294</v>
      </c>
      <c r="C1751" s="15" t="s">
        <v>305</v>
      </c>
      <c r="D1751" s="15" t="s">
        <v>306</v>
      </c>
      <c r="E1751" s="19">
        <v>82414</v>
      </c>
      <c r="F1751" s="19">
        <v>74090</v>
      </c>
      <c r="G1751" s="20">
        <f t="shared" si="27"/>
        <v>0.4734064305065685</v>
      </c>
      <c r="H1751" s="24" t="s">
        <v>589</v>
      </c>
      <c r="I1751" s="24" t="s">
        <v>560</v>
      </c>
      <c r="J1751" s="24" t="s">
        <v>590</v>
      </c>
      <c r="K1751" s="24" t="s">
        <v>598</v>
      </c>
    </row>
    <row r="1752" spans="1:11">
      <c r="A1752" s="12">
        <v>2017</v>
      </c>
      <c r="B1752" s="15" t="s">
        <v>294</v>
      </c>
      <c r="C1752" s="15" t="s">
        <v>307</v>
      </c>
      <c r="D1752" s="15" t="s">
        <v>308</v>
      </c>
      <c r="E1752" s="19">
        <v>119167</v>
      </c>
      <c r="F1752" s="19">
        <v>59358</v>
      </c>
      <c r="G1752" s="20">
        <f t="shared" si="27"/>
        <v>0.33249124772440836</v>
      </c>
      <c r="H1752" s="24" t="s">
        <v>589</v>
      </c>
      <c r="I1752" s="24" t="s">
        <v>560</v>
      </c>
      <c r="J1752" s="24" t="s">
        <v>590</v>
      </c>
      <c r="K1752" s="24" t="s">
        <v>598</v>
      </c>
    </row>
    <row r="1753" spans="1:11">
      <c r="A1753" s="12">
        <v>2017</v>
      </c>
      <c r="B1753" s="15" t="s">
        <v>294</v>
      </c>
      <c r="C1753" s="15" t="s">
        <v>309</v>
      </c>
      <c r="D1753" s="15" t="s">
        <v>310</v>
      </c>
      <c r="E1753" s="19">
        <v>30710</v>
      </c>
      <c r="F1753" s="19">
        <v>28124</v>
      </c>
      <c r="G1753" s="20">
        <f t="shared" si="27"/>
        <v>0.47802291192167795</v>
      </c>
      <c r="H1753" s="24" t="s">
        <v>589</v>
      </c>
      <c r="I1753" s="24" t="s">
        <v>560</v>
      </c>
      <c r="J1753" s="24" t="s">
        <v>590</v>
      </c>
      <c r="K1753" s="24" t="s">
        <v>598</v>
      </c>
    </row>
    <row r="1754" spans="1:11">
      <c r="A1754" s="12">
        <v>2017</v>
      </c>
      <c r="B1754" s="15" t="s">
        <v>294</v>
      </c>
      <c r="C1754" s="15" t="s">
        <v>311</v>
      </c>
      <c r="D1754" s="15" t="s">
        <v>312</v>
      </c>
      <c r="E1754" s="19">
        <v>59907</v>
      </c>
      <c r="F1754" s="19">
        <v>51471</v>
      </c>
      <c r="G1754" s="20">
        <f t="shared" si="27"/>
        <v>0.46212896622313204</v>
      </c>
      <c r="H1754" s="24" t="s">
        <v>589</v>
      </c>
      <c r="I1754" s="24" t="s">
        <v>560</v>
      </c>
      <c r="J1754" s="24" t="s">
        <v>590</v>
      </c>
      <c r="K1754" s="24" t="s">
        <v>598</v>
      </c>
    </row>
    <row r="1755" spans="1:11">
      <c r="A1755" s="12">
        <v>2017</v>
      </c>
      <c r="B1755" s="15" t="s">
        <v>294</v>
      </c>
      <c r="C1755" s="15" t="s">
        <v>315</v>
      </c>
      <c r="D1755" s="15" t="s">
        <v>316</v>
      </c>
      <c r="E1755" s="19">
        <v>143444</v>
      </c>
      <c r="F1755" s="19">
        <v>114207</v>
      </c>
      <c r="G1755" s="20">
        <f t="shared" si="27"/>
        <v>0.44326239758432917</v>
      </c>
      <c r="H1755" s="24" t="s">
        <v>589</v>
      </c>
      <c r="I1755" s="24" t="s">
        <v>560</v>
      </c>
      <c r="J1755" s="24" t="s">
        <v>590</v>
      </c>
      <c r="K1755" s="24" t="s">
        <v>598</v>
      </c>
    </row>
    <row r="1756" spans="1:11">
      <c r="A1756" s="12">
        <v>2017</v>
      </c>
      <c r="B1756" s="15" t="s">
        <v>294</v>
      </c>
      <c r="C1756" s="15" t="s">
        <v>317</v>
      </c>
      <c r="D1756" s="15" t="s">
        <v>318</v>
      </c>
      <c r="E1756" s="19">
        <v>174085</v>
      </c>
      <c r="F1756" s="19">
        <v>167366</v>
      </c>
      <c r="G1756" s="20">
        <f t="shared" si="27"/>
        <v>0.49016110657166034</v>
      </c>
      <c r="H1756" s="24" t="s">
        <v>589</v>
      </c>
      <c r="I1756" s="24" t="s">
        <v>560</v>
      </c>
      <c r="J1756" s="24" t="s">
        <v>590</v>
      </c>
      <c r="K1756" s="24" t="s">
        <v>598</v>
      </c>
    </row>
    <row r="1757" spans="1:11">
      <c r="A1757" s="12">
        <v>2017</v>
      </c>
      <c r="B1757" s="15" t="s">
        <v>294</v>
      </c>
      <c r="C1757" s="15" t="s">
        <v>319</v>
      </c>
      <c r="D1757" s="15" t="s">
        <v>320</v>
      </c>
      <c r="E1757" s="19">
        <v>164854</v>
      </c>
      <c r="F1757" s="19">
        <v>127672</v>
      </c>
      <c r="G1757" s="20">
        <f t="shared" si="27"/>
        <v>0.4364466748254856</v>
      </c>
      <c r="H1757" s="24" t="s">
        <v>589</v>
      </c>
      <c r="I1757" s="24" t="s">
        <v>560</v>
      </c>
      <c r="J1757" s="24" t="s">
        <v>590</v>
      </c>
      <c r="K1757" s="24" t="s">
        <v>598</v>
      </c>
    </row>
    <row r="1758" spans="1:11">
      <c r="A1758" s="12">
        <v>2017</v>
      </c>
      <c r="B1758" s="15" t="s">
        <v>294</v>
      </c>
      <c r="C1758" s="15" t="s">
        <v>321</v>
      </c>
      <c r="D1758" s="15" t="s">
        <v>322</v>
      </c>
      <c r="E1758" s="19">
        <v>210741</v>
      </c>
      <c r="F1758" s="19">
        <v>176605</v>
      </c>
      <c r="G1758" s="20">
        <f t="shared" si="27"/>
        <v>0.45593603651515702</v>
      </c>
      <c r="H1758" s="24" t="s">
        <v>589</v>
      </c>
      <c r="I1758" s="24" t="s">
        <v>560</v>
      </c>
      <c r="J1758" s="24" t="s">
        <v>590</v>
      </c>
      <c r="K1758" s="24" t="s">
        <v>598</v>
      </c>
    </row>
    <row r="1759" spans="1:11">
      <c r="A1759" s="12">
        <v>2017</v>
      </c>
      <c r="B1759" s="15" t="s">
        <v>294</v>
      </c>
      <c r="C1759" s="15" t="s">
        <v>323</v>
      </c>
      <c r="D1759" s="15" t="s">
        <v>324</v>
      </c>
      <c r="E1759" s="19">
        <v>185696</v>
      </c>
      <c r="F1759" s="19">
        <v>78242</v>
      </c>
      <c r="G1759" s="20">
        <f t="shared" si="27"/>
        <v>0.29644083080117301</v>
      </c>
      <c r="H1759" s="24" t="s">
        <v>589</v>
      </c>
      <c r="I1759" s="24" t="s">
        <v>560</v>
      </c>
      <c r="J1759" s="24" t="s">
        <v>590</v>
      </c>
      <c r="K1759" s="24" t="s">
        <v>598</v>
      </c>
    </row>
    <row r="1760" spans="1:11">
      <c r="A1760" s="12">
        <v>2017</v>
      </c>
      <c r="B1760" s="15" t="s">
        <v>325</v>
      </c>
      <c r="C1760" s="15" t="s">
        <v>22</v>
      </c>
      <c r="D1760" s="15" t="s">
        <v>325</v>
      </c>
      <c r="E1760" s="19">
        <v>1902327</v>
      </c>
      <c r="F1760" s="19">
        <v>816977</v>
      </c>
      <c r="G1760" s="20">
        <f t="shared" si="27"/>
        <v>0.30043606746432178</v>
      </c>
      <c r="H1760" s="24" t="s">
        <v>589</v>
      </c>
      <c r="I1760" s="24" t="s">
        <v>560</v>
      </c>
      <c r="J1760" s="24" t="s">
        <v>590</v>
      </c>
      <c r="K1760" s="24" t="s">
        <v>598</v>
      </c>
    </row>
    <row r="1761" spans="1:11">
      <c r="A1761" s="12">
        <v>2017</v>
      </c>
      <c r="B1761" s="15" t="s">
        <v>325</v>
      </c>
      <c r="C1761" s="15" t="s">
        <v>326</v>
      </c>
      <c r="D1761" s="15" t="s">
        <v>327</v>
      </c>
      <c r="E1761" s="19">
        <v>34575</v>
      </c>
      <c r="F1761" s="19">
        <v>34630</v>
      </c>
      <c r="G1761" s="20">
        <f t="shared" si="27"/>
        <v>0.50039737013221586</v>
      </c>
      <c r="H1761" s="24" t="s">
        <v>589</v>
      </c>
      <c r="I1761" s="24" t="s">
        <v>560</v>
      </c>
      <c r="J1761" s="24" t="s">
        <v>590</v>
      </c>
      <c r="K1761" s="24" t="s">
        <v>598</v>
      </c>
    </row>
    <row r="1762" spans="1:11">
      <c r="A1762" s="12">
        <v>2017</v>
      </c>
      <c r="B1762" s="15" t="s">
        <v>325</v>
      </c>
      <c r="C1762" s="15" t="s">
        <v>328</v>
      </c>
      <c r="D1762" s="15" t="s">
        <v>329</v>
      </c>
      <c r="E1762" s="19">
        <v>89662</v>
      </c>
      <c r="F1762" s="19">
        <v>64830</v>
      </c>
      <c r="G1762" s="20">
        <f t="shared" si="27"/>
        <v>0.41963337907464465</v>
      </c>
      <c r="H1762" s="24" t="s">
        <v>589</v>
      </c>
      <c r="I1762" s="24" t="s">
        <v>560</v>
      </c>
      <c r="J1762" s="24" t="s">
        <v>590</v>
      </c>
      <c r="K1762" s="24" t="s">
        <v>598</v>
      </c>
    </row>
    <row r="1763" spans="1:11">
      <c r="A1763" s="12">
        <v>2017</v>
      </c>
      <c r="B1763" s="15" t="s">
        <v>325</v>
      </c>
      <c r="C1763" s="15" t="s">
        <v>330</v>
      </c>
      <c r="D1763" s="15" t="s">
        <v>331</v>
      </c>
      <c r="E1763" s="19">
        <v>43150</v>
      </c>
      <c r="F1763" s="19">
        <v>39497</v>
      </c>
      <c r="G1763" s="20">
        <f t="shared" si="27"/>
        <v>0.47789998427045144</v>
      </c>
      <c r="H1763" s="24" t="s">
        <v>589</v>
      </c>
      <c r="I1763" s="24" t="s">
        <v>560</v>
      </c>
      <c r="J1763" s="24" t="s">
        <v>590</v>
      </c>
      <c r="K1763" s="24" t="s">
        <v>598</v>
      </c>
    </row>
    <row r="1764" spans="1:11">
      <c r="A1764" s="12">
        <v>2017</v>
      </c>
      <c r="B1764" s="15" t="s">
        <v>325</v>
      </c>
      <c r="C1764" s="15" t="s">
        <v>332</v>
      </c>
      <c r="D1764" s="15" t="s">
        <v>333</v>
      </c>
      <c r="E1764" s="19">
        <v>103708</v>
      </c>
      <c r="F1764" s="19">
        <v>69344</v>
      </c>
      <c r="G1764" s="20">
        <f t="shared" si="27"/>
        <v>0.40071192473938472</v>
      </c>
      <c r="H1764" s="24" t="s">
        <v>589</v>
      </c>
      <c r="I1764" s="24" t="s">
        <v>560</v>
      </c>
      <c r="J1764" s="24" t="s">
        <v>590</v>
      </c>
      <c r="K1764" s="24" t="s">
        <v>598</v>
      </c>
    </row>
    <row r="1765" spans="1:11">
      <c r="A1765" s="12">
        <v>2017</v>
      </c>
      <c r="B1765" s="15" t="s">
        <v>325</v>
      </c>
      <c r="C1765" s="15" t="s">
        <v>336</v>
      </c>
      <c r="D1765" s="15" t="s">
        <v>337</v>
      </c>
      <c r="E1765" s="19">
        <v>147617</v>
      </c>
      <c r="F1765" s="19">
        <v>87971</v>
      </c>
      <c r="G1765" s="20">
        <f t="shared" si="27"/>
        <v>0.37341036045978571</v>
      </c>
      <c r="H1765" s="24" t="s">
        <v>589</v>
      </c>
      <c r="I1765" s="24" t="s">
        <v>560</v>
      </c>
      <c r="J1765" s="24" t="s">
        <v>590</v>
      </c>
      <c r="K1765" s="24" t="s">
        <v>598</v>
      </c>
    </row>
    <row r="1766" spans="1:11">
      <c r="A1766" s="12">
        <v>2017</v>
      </c>
      <c r="B1766" s="15" t="s">
        <v>325</v>
      </c>
      <c r="C1766" s="15" t="s">
        <v>338</v>
      </c>
      <c r="D1766" s="15" t="s">
        <v>339</v>
      </c>
      <c r="E1766" s="19">
        <v>88580</v>
      </c>
      <c r="F1766" s="19">
        <v>57015</v>
      </c>
      <c r="G1766" s="20">
        <f t="shared" si="27"/>
        <v>0.39159998626326453</v>
      </c>
      <c r="H1766" s="24" t="s">
        <v>589</v>
      </c>
      <c r="I1766" s="24" t="s">
        <v>560</v>
      </c>
      <c r="J1766" s="24" t="s">
        <v>590</v>
      </c>
      <c r="K1766" s="24" t="s">
        <v>598</v>
      </c>
    </row>
    <row r="1767" spans="1:11">
      <c r="A1767" s="12">
        <v>2017</v>
      </c>
      <c r="B1767" s="15" t="s">
        <v>325</v>
      </c>
      <c r="C1767" s="15" t="s">
        <v>340</v>
      </c>
      <c r="D1767" s="15" t="s">
        <v>341</v>
      </c>
      <c r="E1767" s="19">
        <v>55713</v>
      </c>
      <c r="F1767" s="19">
        <v>49671</v>
      </c>
      <c r="G1767" s="20">
        <f t="shared" si="27"/>
        <v>0.47133340924618539</v>
      </c>
      <c r="H1767" s="24" t="s">
        <v>589</v>
      </c>
      <c r="I1767" s="24" t="s">
        <v>560</v>
      </c>
      <c r="J1767" s="24" t="s">
        <v>590</v>
      </c>
      <c r="K1767" s="24" t="s">
        <v>598</v>
      </c>
    </row>
    <row r="1768" spans="1:11">
      <c r="A1768" s="12">
        <v>2017</v>
      </c>
      <c r="B1768" s="15" t="s">
        <v>325</v>
      </c>
      <c r="C1768" s="15" t="s">
        <v>342</v>
      </c>
      <c r="D1768" s="15" t="s">
        <v>343</v>
      </c>
      <c r="E1768" s="19">
        <v>151327</v>
      </c>
      <c r="F1768" s="19">
        <v>82900</v>
      </c>
      <c r="G1768" s="20">
        <f t="shared" si="27"/>
        <v>0.35393016176614994</v>
      </c>
      <c r="H1768" s="24" t="s">
        <v>589</v>
      </c>
      <c r="I1768" s="24" t="s">
        <v>560</v>
      </c>
      <c r="J1768" s="24" t="s">
        <v>590</v>
      </c>
      <c r="K1768" s="24" t="s">
        <v>598</v>
      </c>
    </row>
    <row r="1769" spans="1:11">
      <c r="A1769" s="12">
        <v>2017</v>
      </c>
      <c r="B1769" s="15" t="s">
        <v>325</v>
      </c>
      <c r="C1769" s="15" t="s">
        <v>344</v>
      </c>
      <c r="D1769" s="15" t="s">
        <v>345</v>
      </c>
      <c r="E1769" s="19">
        <v>46427</v>
      </c>
      <c r="F1769" s="19">
        <v>38612</v>
      </c>
      <c r="G1769" s="20">
        <f t="shared" si="27"/>
        <v>0.45405049447900375</v>
      </c>
      <c r="H1769" s="24" t="s">
        <v>589</v>
      </c>
      <c r="I1769" s="24" t="s">
        <v>560</v>
      </c>
      <c r="J1769" s="24" t="s">
        <v>590</v>
      </c>
      <c r="K1769" s="24" t="s">
        <v>598</v>
      </c>
    </row>
    <row r="1770" spans="1:11">
      <c r="A1770" s="12">
        <v>2017</v>
      </c>
      <c r="B1770" s="15" t="s">
        <v>325</v>
      </c>
      <c r="C1770" s="15" t="s">
        <v>346</v>
      </c>
      <c r="D1770" s="15" t="s">
        <v>347</v>
      </c>
      <c r="E1770" s="19">
        <v>265806</v>
      </c>
      <c r="F1770" s="19">
        <v>198078</v>
      </c>
      <c r="G1770" s="20">
        <f t="shared" si="27"/>
        <v>0.42699899112709211</v>
      </c>
      <c r="H1770" s="24" t="s">
        <v>589</v>
      </c>
      <c r="I1770" s="24" t="s">
        <v>560</v>
      </c>
      <c r="J1770" s="24" t="s">
        <v>590</v>
      </c>
      <c r="K1770" s="24" t="s">
        <v>598</v>
      </c>
    </row>
    <row r="1771" spans="1:11">
      <c r="A1771" s="12">
        <v>2017</v>
      </c>
      <c r="B1771" s="15" t="s">
        <v>325</v>
      </c>
      <c r="C1771" s="15" t="s">
        <v>350</v>
      </c>
      <c r="D1771" s="15" t="s">
        <v>351</v>
      </c>
      <c r="E1771" s="19">
        <v>66098</v>
      </c>
      <c r="F1771" s="19">
        <v>54844</v>
      </c>
      <c r="G1771" s="20">
        <f t="shared" si="27"/>
        <v>0.45347356584147774</v>
      </c>
      <c r="H1771" s="24" t="s">
        <v>589</v>
      </c>
      <c r="I1771" s="24" t="s">
        <v>560</v>
      </c>
      <c r="J1771" s="24" t="s">
        <v>590</v>
      </c>
      <c r="K1771" s="24" t="s">
        <v>598</v>
      </c>
    </row>
    <row r="1772" spans="1:11">
      <c r="A1772" s="12">
        <v>2017</v>
      </c>
      <c r="B1772" s="15" t="s">
        <v>325</v>
      </c>
      <c r="C1772" s="15" t="s">
        <v>354</v>
      </c>
      <c r="D1772" s="15" t="s">
        <v>355</v>
      </c>
      <c r="E1772" s="19">
        <v>203920</v>
      </c>
      <c r="F1772" s="19">
        <v>191833</v>
      </c>
      <c r="G1772" s="20">
        <f t="shared" si="27"/>
        <v>0.48472911133964874</v>
      </c>
      <c r="H1772" s="24" t="s">
        <v>589</v>
      </c>
      <c r="I1772" s="24" t="s">
        <v>560</v>
      </c>
      <c r="J1772" s="24" t="s">
        <v>590</v>
      </c>
      <c r="K1772" s="24" t="s">
        <v>598</v>
      </c>
    </row>
    <row r="1773" spans="1:11">
      <c r="A1773" s="12">
        <v>2017</v>
      </c>
      <c r="B1773" s="15" t="s">
        <v>325</v>
      </c>
      <c r="C1773" s="15" t="s">
        <v>356</v>
      </c>
      <c r="D1773" s="15" t="s">
        <v>357</v>
      </c>
      <c r="E1773" s="19">
        <v>323475</v>
      </c>
      <c r="F1773" s="19">
        <v>248049</v>
      </c>
      <c r="G1773" s="20">
        <f t="shared" si="27"/>
        <v>0.43401326978394605</v>
      </c>
      <c r="H1773" s="24" t="s">
        <v>589</v>
      </c>
      <c r="I1773" s="24" t="s">
        <v>560</v>
      </c>
      <c r="J1773" s="24" t="s">
        <v>590</v>
      </c>
      <c r="K1773" s="24" t="s">
        <v>598</v>
      </c>
    </row>
    <row r="1774" spans="1:11">
      <c r="A1774" s="12">
        <v>2017</v>
      </c>
      <c r="B1774" s="15" t="s">
        <v>325</v>
      </c>
      <c r="C1774" s="15" t="s">
        <v>358</v>
      </c>
      <c r="D1774" s="15" t="s">
        <v>359</v>
      </c>
      <c r="E1774" s="19">
        <v>23883</v>
      </c>
      <c r="F1774" s="19">
        <v>27379</v>
      </c>
      <c r="G1774" s="20">
        <f t="shared" si="27"/>
        <v>0.53409933283914013</v>
      </c>
      <c r="H1774" s="24" t="s">
        <v>589</v>
      </c>
      <c r="I1774" s="24" t="s">
        <v>560</v>
      </c>
      <c r="J1774" s="24" t="s">
        <v>590</v>
      </c>
      <c r="K1774" s="24" t="s">
        <v>598</v>
      </c>
    </row>
    <row r="1775" spans="1:11">
      <c r="A1775" s="12">
        <v>2017</v>
      </c>
      <c r="B1775" s="15" t="s">
        <v>325</v>
      </c>
      <c r="C1775" s="15" t="s">
        <v>360</v>
      </c>
      <c r="D1775" s="15" t="s">
        <v>361</v>
      </c>
      <c r="E1775" s="19">
        <v>52178</v>
      </c>
      <c r="F1775" s="19">
        <v>45599</v>
      </c>
      <c r="G1775" s="20">
        <f t="shared" si="27"/>
        <v>0.46635711874980823</v>
      </c>
      <c r="H1775" s="24" t="s">
        <v>589</v>
      </c>
      <c r="I1775" s="24" t="s">
        <v>560</v>
      </c>
      <c r="J1775" s="24" t="s">
        <v>590</v>
      </c>
      <c r="K1775" s="24" t="s">
        <v>598</v>
      </c>
    </row>
    <row r="1776" spans="1:11">
      <c r="A1776" s="12">
        <v>2017</v>
      </c>
      <c r="B1776" s="15" t="s">
        <v>325</v>
      </c>
      <c r="C1776" s="15" t="s">
        <v>362</v>
      </c>
      <c r="D1776" s="15" t="s">
        <v>363</v>
      </c>
      <c r="E1776" s="19">
        <v>87666</v>
      </c>
      <c r="F1776" s="19">
        <v>54798</v>
      </c>
      <c r="G1776" s="20">
        <f t="shared" si="27"/>
        <v>0.38464454177897572</v>
      </c>
      <c r="H1776" s="24" t="s">
        <v>589</v>
      </c>
      <c r="I1776" s="24" t="s">
        <v>560</v>
      </c>
      <c r="J1776" s="24" t="s">
        <v>590</v>
      </c>
      <c r="K1776" s="24" t="s">
        <v>598</v>
      </c>
    </row>
    <row r="1777" spans="1:11">
      <c r="A1777" s="12">
        <v>2017</v>
      </c>
      <c r="B1777" s="15" t="s">
        <v>364</v>
      </c>
      <c r="C1777" s="15" t="s">
        <v>22</v>
      </c>
      <c r="D1777" s="15" t="s">
        <v>364</v>
      </c>
      <c r="E1777" s="19">
        <v>1699542</v>
      </c>
      <c r="F1777" s="19">
        <v>412179</v>
      </c>
      <c r="G1777" s="20">
        <f t="shared" si="27"/>
        <v>0.19518629591693221</v>
      </c>
      <c r="H1777" s="24" t="s">
        <v>586</v>
      </c>
      <c r="I1777" s="24" t="s">
        <v>587</v>
      </c>
      <c r="J1777" s="24" t="s">
        <v>588</v>
      </c>
      <c r="K1777" s="24" t="s">
        <v>598</v>
      </c>
    </row>
    <row r="1778" spans="1:11">
      <c r="A1778" s="12">
        <v>2017</v>
      </c>
      <c r="B1778" s="15" t="s">
        <v>364</v>
      </c>
      <c r="C1778" s="15" t="s">
        <v>365</v>
      </c>
      <c r="D1778" s="15" t="s">
        <v>366</v>
      </c>
      <c r="E1778" s="19">
        <v>47226</v>
      </c>
      <c r="F1778" s="19">
        <v>42973</v>
      </c>
      <c r="G1778" s="20">
        <f t="shared" si="27"/>
        <v>0.47642435060255656</v>
      </c>
      <c r="H1778" s="24" t="s">
        <v>586</v>
      </c>
      <c r="I1778" s="24" t="s">
        <v>587</v>
      </c>
      <c r="J1778" s="24" t="s">
        <v>588</v>
      </c>
      <c r="K1778" s="24" t="s">
        <v>598</v>
      </c>
    </row>
    <row r="1779" spans="1:11">
      <c r="A1779" s="12">
        <v>2017</v>
      </c>
      <c r="B1779" s="15" t="s">
        <v>364</v>
      </c>
      <c r="C1779" s="15" t="s">
        <v>367</v>
      </c>
      <c r="D1779" s="15" t="s">
        <v>368</v>
      </c>
      <c r="E1779" s="19">
        <v>247274</v>
      </c>
      <c r="F1779" s="19">
        <v>105409</v>
      </c>
      <c r="G1779" s="20">
        <f t="shared" si="27"/>
        <v>0.2988774621969304</v>
      </c>
      <c r="H1779" s="24" t="s">
        <v>586</v>
      </c>
      <c r="I1779" s="24" t="s">
        <v>587</v>
      </c>
      <c r="J1779" s="24" t="s">
        <v>588</v>
      </c>
      <c r="K1779" s="24" t="s">
        <v>598</v>
      </c>
    </row>
    <row r="1780" spans="1:11">
      <c r="A1780" s="12">
        <v>2017</v>
      </c>
      <c r="B1780" s="15" t="s">
        <v>364</v>
      </c>
      <c r="C1780" s="15" t="s">
        <v>369</v>
      </c>
      <c r="D1780" s="15" t="s">
        <v>370</v>
      </c>
      <c r="E1780" s="19">
        <v>67870</v>
      </c>
      <c r="F1780" s="19">
        <v>58498</v>
      </c>
      <c r="G1780" s="20">
        <f t="shared" si="27"/>
        <v>0.46291782729805014</v>
      </c>
      <c r="H1780" s="24" t="s">
        <v>586</v>
      </c>
      <c r="I1780" s="24" t="s">
        <v>587</v>
      </c>
      <c r="J1780" s="24" t="s">
        <v>588</v>
      </c>
      <c r="K1780" s="24" t="s">
        <v>598</v>
      </c>
    </row>
    <row r="1781" spans="1:11">
      <c r="A1781" s="12">
        <v>2017</v>
      </c>
      <c r="B1781" s="15" t="s">
        <v>364</v>
      </c>
      <c r="C1781" s="15" t="s">
        <v>371</v>
      </c>
      <c r="D1781" s="15" t="s">
        <v>372</v>
      </c>
      <c r="E1781" s="19">
        <v>73175</v>
      </c>
      <c r="F1781" s="19">
        <v>42056</v>
      </c>
      <c r="G1781" s="20">
        <f t="shared" si="27"/>
        <v>0.364971231699803</v>
      </c>
      <c r="H1781" s="24" t="s">
        <v>586</v>
      </c>
      <c r="I1781" s="24" t="s">
        <v>587</v>
      </c>
      <c r="J1781" s="24" t="s">
        <v>588</v>
      </c>
      <c r="K1781" s="24" t="s">
        <v>598</v>
      </c>
    </row>
    <row r="1782" spans="1:11">
      <c r="A1782" s="12">
        <v>2017</v>
      </c>
      <c r="B1782" s="15" t="s">
        <v>364</v>
      </c>
      <c r="C1782" s="15" t="s">
        <v>373</v>
      </c>
      <c r="D1782" s="15" t="s">
        <v>374</v>
      </c>
      <c r="E1782" s="19">
        <v>19748</v>
      </c>
      <c r="F1782" s="19">
        <v>19506</v>
      </c>
      <c r="G1782" s="20">
        <f t="shared" si="27"/>
        <v>0.49691751159117542</v>
      </c>
      <c r="H1782" s="24" t="s">
        <v>586</v>
      </c>
      <c r="I1782" s="24" t="s">
        <v>587</v>
      </c>
      <c r="J1782" s="24" t="s">
        <v>588</v>
      </c>
      <c r="K1782" s="24" t="s">
        <v>598</v>
      </c>
    </row>
    <row r="1783" spans="1:11">
      <c r="A1783" s="12">
        <v>2017</v>
      </c>
      <c r="B1783" s="15" t="s">
        <v>364</v>
      </c>
      <c r="C1783" s="15" t="s">
        <v>375</v>
      </c>
      <c r="D1783" s="15" t="s">
        <v>376</v>
      </c>
      <c r="E1783" s="19">
        <v>46247</v>
      </c>
      <c r="F1783" s="19">
        <v>35205</v>
      </c>
      <c r="G1783" s="20">
        <f t="shared" si="27"/>
        <v>0.43221774787604972</v>
      </c>
      <c r="H1783" s="24" t="s">
        <v>586</v>
      </c>
      <c r="I1783" s="24" t="s">
        <v>587</v>
      </c>
      <c r="J1783" s="24" t="s">
        <v>588</v>
      </c>
      <c r="K1783" s="24" t="s">
        <v>598</v>
      </c>
    </row>
    <row r="1784" spans="1:11">
      <c r="A1784" s="12">
        <v>2017</v>
      </c>
      <c r="B1784" s="15" t="s">
        <v>364</v>
      </c>
      <c r="C1784" s="15" t="s">
        <v>377</v>
      </c>
      <c r="D1784" s="15" t="s">
        <v>378</v>
      </c>
      <c r="E1784" s="19">
        <v>21870</v>
      </c>
      <c r="F1784" s="19">
        <v>24139</v>
      </c>
      <c r="G1784" s="20">
        <f t="shared" si="27"/>
        <v>0.52465821904410004</v>
      </c>
      <c r="H1784" s="24" t="s">
        <v>586</v>
      </c>
      <c r="I1784" s="24" t="s">
        <v>587</v>
      </c>
      <c r="J1784" s="24" t="s">
        <v>588</v>
      </c>
      <c r="K1784" s="24" t="s">
        <v>598</v>
      </c>
    </row>
    <row r="1785" spans="1:11">
      <c r="A1785" s="12">
        <v>2017</v>
      </c>
      <c r="B1785" s="15" t="s">
        <v>364</v>
      </c>
      <c r="C1785" s="15" t="s">
        <v>379</v>
      </c>
      <c r="D1785" s="15" t="s">
        <v>380</v>
      </c>
      <c r="E1785" s="19">
        <v>64644</v>
      </c>
      <c r="F1785" s="19">
        <v>82745</v>
      </c>
      <c r="G1785" s="20">
        <f t="shared" si="27"/>
        <v>0.56140553229888257</v>
      </c>
      <c r="H1785" s="24" t="s">
        <v>586</v>
      </c>
      <c r="I1785" s="24" t="s">
        <v>587</v>
      </c>
      <c r="J1785" s="24" t="s">
        <v>588</v>
      </c>
      <c r="K1785" s="24" t="s">
        <v>598</v>
      </c>
    </row>
    <row r="1786" spans="1:11">
      <c r="A1786" s="12">
        <v>2017</v>
      </c>
      <c r="B1786" s="15" t="s">
        <v>364</v>
      </c>
      <c r="C1786" s="15" t="s">
        <v>381</v>
      </c>
      <c r="D1786" s="15" t="s">
        <v>382</v>
      </c>
      <c r="E1786" s="19">
        <v>265099</v>
      </c>
      <c r="F1786" s="19">
        <v>106706</v>
      </c>
      <c r="G1786" s="20">
        <f t="shared" si="27"/>
        <v>0.28699452670082437</v>
      </c>
      <c r="H1786" s="24" t="s">
        <v>586</v>
      </c>
      <c r="I1786" s="24" t="s">
        <v>587</v>
      </c>
      <c r="J1786" s="24" t="s">
        <v>588</v>
      </c>
      <c r="K1786" s="24" t="s">
        <v>598</v>
      </c>
    </row>
    <row r="1787" spans="1:11">
      <c r="A1787" s="12">
        <v>2017</v>
      </c>
      <c r="B1787" s="15" t="s">
        <v>364</v>
      </c>
      <c r="C1787" s="15" t="s">
        <v>383</v>
      </c>
      <c r="D1787" s="15" t="s">
        <v>384</v>
      </c>
      <c r="E1787" s="19">
        <v>20598</v>
      </c>
      <c r="F1787" s="19">
        <v>25796</v>
      </c>
      <c r="G1787" s="20">
        <f t="shared" si="27"/>
        <v>0.55602017502263223</v>
      </c>
      <c r="H1787" s="24" t="s">
        <v>586</v>
      </c>
      <c r="I1787" s="24" t="s">
        <v>587</v>
      </c>
      <c r="J1787" s="24" t="s">
        <v>588</v>
      </c>
      <c r="K1787" s="24" t="s">
        <v>598</v>
      </c>
    </row>
    <row r="1788" spans="1:11">
      <c r="A1788" s="12">
        <v>2017</v>
      </c>
      <c r="B1788" s="15" t="s">
        <v>364</v>
      </c>
      <c r="C1788" s="15" t="s">
        <v>385</v>
      </c>
      <c r="D1788" s="15" t="s">
        <v>386</v>
      </c>
      <c r="E1788" s="19">
        <v>16785</v>
      </c>
      <c r="F1788" s="19">
        <v>19750</v>
      </c>
      <c r="G1788" s="20">
        <f t="shared" si="27"/>
        <v>0.54057752839742712</v>
      </c>
      <c r="H1788" s="24" t="s">
        <v>586</v>
      </c>
      <c r="I1788" s="24" t="s">
        <v>587</v>
      </c>
      <c r="J1788" s="24" t="s">
        <v>588</v>
      </c>
      <c r="K1788" s="24" t="s">
        <v>598</v>
      </c>
    </row>
    <row r="1789" spans="1:11">
      <c r="A1789" s="12">
        <v>2017</v>
      </c>
      <c r="B1789" s="15" t="s">
        <v>364</v>
      </c>
      <c r="C1789" s="15" t="s">
        <v>387</v>
      </c>
      <c r="D1789" s="15" t="s">
        <v>388</v>
      </c>
      <c r="E1789" s="19">
        <v>245741</v>
      </c>
      <c r="F1789" s="19">
        <v>183284</v>
      </c>
      <c r="G1789" s="20">
        <f t="shared" si="27"/>
        <v>0.42721053551657828</v>
      </c>
      <c r="H1789" s="24" t="s">
        <v>586</v>
      </c>
      <c r="I1789" s="24" t="s">
        <v>587</v>
      </c>
      <c r="J1789" s="24" t="s">
        <v>588</v>
      </c>
      <c r="K1789" s="24" t="s">
        <v>598</v>
      </c>
    </row>
    <row r="1790" spans="1:11">
      <c r="A1790" s="12">
        <v>2017</v>
      </c>
      <c r="B1790" s="15" t="s">
        <v>364</v>
      </c>
      <c r="C1790" s="15" t="s">
        <v>389</v>
      </c>
      <c r="D1790" s="15" t="s">
        <v>390</v>
      </c>
      <c r="E1790" s="19">
        <v>314760</v>
      </c>
      <c r="F1790" s="19">
        <v>194004</v>
      </c>
      <c r="G1790" s="20">
        <f t="shared" si="27"/>
        <v>0.38132415029365285</v>
      </c>
      <c r="H1790" s="24" t="s">
        <v>586</v>
      </c>
      <c r="I1790" s="24" t="s">
        <v>587</v>
      </c>
      <c r="J1790" s="24" t="s">
        <v>588</v>
      </c>
      <c r="K1790" s="24" t="s">
        <v>598</v>
      </c>
    </row>
    <row r="1791" spans="1:11">
      <c r="A1791" s="12">
        <v>2017</v>
      </c>
      <c r="B1791" s="15" t="s">
        <v>364</v>
      </c>
      <c r="C1791" s="15" t="s">
        <v>391</v>
      </c>
      <c r="D1791" s="15" t="s">
        <v>392</v>
      </c>
      <c r="E1791" s="19">
        <v>98094</v>
      </c>
      <c r="F1791" s="19">
        <v>61045</v>
      </c>
      <c r="G1791" s="20">
        <f t="shared" si="27"/>
        <v>0.38359547313983372</v>
      </c>
      <c r="H1791" s="24" t="s">
        <v>586</v>
      </c>
      <c r="I1791" s="24" t="s">
        <v>587</v>
      </c>
      <c r="J1791" s="24" t="s">
        <v>588</v>
      </c>
      <c r="K1791" s="24" t="s">
        <v>598</v>
      </c>
    </row>
    <row r="1792" spans="1:11">
      <c r="A1792" s="12">
        <v>2017</v>
      </c>
      <c r="B1792" s="15" t="s">
        <v>364</v>
      </c>
      <c r="C1792" s="15" t="s">
        <v>393</v>
      </c>
      <c r="D1792" s="15" t="s">
        <v>394</v>
      </c>
      <c r="E1792" s="19">
        <v>18753</v>
      </c>
      <c r="F1792" s="19">
        <v>21516</v>
      </c>
      <c r="G1792" s="20">
        <f t="shared" si="27"/>
        <v>0.5343067868583774</v>
      </c>
      <c r="H1792" s="24" t="s">
        <v>586</v>
      </c>
      <c r="I1792" s="24" t="s">
        <v>587</v>
      </c>
      <c r="J1792" s="24" t="s">
        <v>588</v>
      </c>
      <c r="K1792" s="24" t="s">
        <v>598</v>
      </c>
    </row>
    <row r="1793" spans="1:11">
      <c r="A1793" s="12">
        <v>2017</v>
      </c>
      <c r="B1793" s="15" t="s">
        <v>395</v>
      </c>
      <c r="C1793" s="15" t="s">
        <v>22</v>
      </c>
      <c r="D1793" s="15" t="s">
        <v>395</v>
      </c>
      <c r="E1793" s="19">
        <v>1663168</v>
      </c>
      <c r="F1793" s="19">
        <v>776194</v>
      </c>
      <c r="G1793" s="20">
        <f t="shared" si="27"/>
        <v>0.31819549537952957</v>
      </c>
      <c r="H1793" s="24" t="s">
        <v>586</v>
      </c>
      <c r="I1793" s="24" t="s">
        <v>587</v>
      </c>
      <c r="J1793" s="24" t="s">
        <v>588</v>
      </c>
      <c r="K1793" s="24" t="s">
        <v>598</v>
      </c>
    </row>
    <row r="1794" spans="1:11">
      <c r="A1794" s="12">
        <v>2017</v>
      </c>
      <c r="B1794" s="15" t="s">
        <v>395</v>
      </c>
      <c r="C1794" s="15" t="s">
        <v>396</v>
      </c>
      <c r="D1794" s="15" t="s">
        <v>397</v>
      </c>
      <c r="E1794" s="19">
        <v>29638</v>
      </c>
      <c r="F1794" s="19">
        <v>26095</v>
      </c>
      <c r="G1794" s="20">
        <f t="shared" si="27"/>
        <v>0.46821452281413167</v>
      </c>
      <c r="H1794" s="24" t="s">
        <v>586</v>
      </c>
      <c r="I1794" s="24" t="s">
        <v>587</v>
      </c>
      <c r="J1794" s="24" t="s">
        <v>588</v>
      </c>
      <c r="K1794" s="24" t="s">
        <v>598</v>
      </c>
    </row>
    <row r="1795" spans="1:11">
      <c r="A1795" s="12">
        <v>2017</v>
      </c>
      <c r="B1795" s="15" t="s">
        <v>395</v>
      </c>
      <c r="C1795" s="15" t="s">
        <v>398</v>
      </c>
      <c r="D1795" s="15" t="s">
        <v>399</v>
      </c>
      <c r="E1795" s="19">
        <v>55338</v>
      </c>
      <c r="F1795" s="19">
        <v>45261</v>
      </c>
      <c r="G1795" s="20">
        <f t="shared" si="27"/>
        <v>0.44991500909551785</v>
      </c>
      <c r="H1795" s="24" t="s">
        <v>586</v>
      </c>
      <c r="I1795" s="24" t="s">
        <v>587</v>
      </c>
      <c r="J1795" s="24" t="s">
        <v>588</v>
      </c>
      <c r="K1795" s="24" t="s">
        <v>598</v>
      </c>
    </row>
    <row r="1796" spans="1:11">
      <c r="A1796" s="12">
        <v>2017</v>
      </c>
      <c r="B1796" s="15" t="s">
        <v>395</v>
      </c>
      <c r="C1796" s="15" t="s">
        <v>400</v>
      </c>
      <c r="D1796" s="15" t="s">
        <v>401</v>
      </c>
      <c r="E1796" s="19">
        <v>22353</v>
      </c>
      <c r="F1796" s="19">
        <v>24876</v>
      </c>
      <c r="G1796" s="20">
        <f t="shared" si="27"/>
        <v>0.5267102839357175</v>
      </c>
      <c r="H1796" s="24" t="s">
        <v>586</v>
      </c>
      <c r="I1796" s="24" t="s">
        <v>587</v>
      </c>
      <c r="J1796" s="24" t="s">
        <v>588</v>
      </c>
      <c r="K1796" s="24" t="s">
        <v>598</v>
      </c>
    </row>
    <row r="1797" spans="1:11">
      <c r="A1797" s="12">
        <v>2017</v>
      </c>
      <c r="B1797" s="15" t="s">
        <v>395</v>
      </c>
      <c r="C1797" s="15" t="s">
        <v>402</v>
      </c>
      <c r="D1797" s="15" t="s">
        <v>403</v>
      </c>
      <c r="E1797" s="19">
        <v>128037</v>
      </c>
      <c r="F1797" s="19">
        <v>96161</v>
      </c>
      <c r="G1797" s="20">
        <f t="shared" si="27"/>
        <v>0.4289110518381074</v>
      </c>
      <c r="H1797" s="24" t="s">
        <v>586</v>
      </c>
      <c r="I1797" s="24" t="s">
        <v>587</v>
      </c>
      <c r="J1797" s="24" t="s">
        <v>588</v>
      </c>
      <c r="K1797" s="24" t="s">
        <v>598</v>
      </c>
    </row>
    <row r="1798" spans="1:11">
      <c r="A1798" s="12">
        <v>2017</v>
      </c>
      <c r="B1798" s="15" t="s">
        <v>395</v>
      </c>
      <c r="C1798" s="15" t="s">
        <v>404</v>
      </c>
      <c r="D1798" s="15" t="s">
        <v>405</v>
      </c>
      <c r="E1798" s="19">
        <v>21048</v>
      </c>
      <c r="F1798" s="19">
        <v>21488</v>
      </c>
      <c r="G1798" s="20">
        <f t="shared" ref="G1798:G1861" si="28">IFERROR(F1798/(E1798+F1798),"")</f>
        <v>0.50517208952416781</v>
      </c>
      <c r="H1798" s="24" t="s">
        <v>586</v>
      </c>
      <c r="I1798" s="24" t="s">
        <v>587</v>
      </c>
      <c r="J1798" s="24" t="s">
        <v>588</v>
      </c>
      <c r="K1798" s="24" t="s">
        <v>598</v>
      </c>
    </row>
    <row r="1799" spans="1:11">
      <c r="A1799" s="12">
        <v>2017</v>
      </c>
      <c r="B1799" s="15" t="s">
        <v>395</v>
      </c>
      <c r="C1799" s="15" t="s">
        <v>406</v>
      </c>
      <c r="D1799" s="15" t="s">
        <v>407</v>
      </c>
      <c r="E1799" s="19">
        <v>84980</v>
      </c>
      <c r="F1799" s="19">
        <v>79015</v>
      </c>
      <c r="G1799" s="20">
        <f t="shared" si="28"/>
        <v>0.4818134699228635</v>
      </c>
      <c r="H1799" s="24" t="s">
        <v>586</v>
      </c>
      <c r="I1799" s="24" t="s">
        <v>587</v>
      </c>
      <c r="J1799" s="24" t="s">
        <v>588</v>
      </c>
      <c r="K1799" s="24" t="s">
        <v>598</v>
      </c>
    </row>
    <row r="1800" spans="1:11">
      <c r="A1800" s="12">
        <v>2017</v>
      </c>
      <c r="B1800" s="15" t="s">
        <v>395</v>
      </c>
      <c r="C1800" s="15" t="s">
        <v>408</v>
      </c>
      <c r="D1800" s="15" t="s">
        <v>409</v>
      </c>
      <c r="E1800" s="19">
        <v>32106</v>
      </c>
      <c r="F1800" s="19">
        <v>38091</v>
      </c>
      <c r="G1800" s="20">
        <f t="shared" si="28"/>
        <v>0.54263002692422757</v>
      </c>
      <c r="H1800" s="24" t="s">
        <v>586</v>
      </c>
      <c r="I1800" s="24" t="s">
        <v>587</v>
      </c>
      <c r="J1800" s="24" t="s">
        <v>588</v>
      </c>
      <c r="K1800" s="24" t="s">
        <v>598</v>
      </c>
    </row>
    <row r="1801" spans="1:11">
      <c r="A1801" s="12">
        <v>2017</v>
      </c>
      <c r="B1801" s="15" t="s">
        <v>395</v>
      </c>
      <c r="C1801" s="15" t="s">
        <v>410</v>
      </c>
      <c r="D1801" s="15" t="s">
        <v>411</v>
      </c>
      <c r="E1801" s="19">
        <v>208994</v>
      </c>
      <c r="F1801" s="19">
        <v>100332</v>
      </c>
      <c r="G1801" s="20">
        <f t="shared" si="28"/>
        <v>0.32435682742478811</v>
      </c>
      <c r="H1801" s="24" t="s">
        <v>586</v>
      </c>
      <c r="I1801" s="24" t="s">
        <v>587</v>
      </c>
      <c r="J1801" s="24" t="s">
        <v>588</v>
      </c>
      <c r="K1801" s="24" t="s">
        <v>598</v>
      </c>
    </row>
    <row r="1802" spans="1:11">
      <c r="A1802" s="12">
        <v>2017</v>
      </c>
      <c r="B1802" s="15" t="s">
        <v>395</v>
      </c>
      <c r="C1802" s="15" t="s">
        <v>412</v>
      </c>
      <c r="D1802" s="15" t="s">
        <v>413</v>
      </c>
      <c r="E1802" s="19">
        <v>62822</v>
      </c>
      <c r="F1802" s="19">
        <v>67320</v>
      </c>
      <c r="G1802" s="20">
        <f t="shared" si="28"/>
        <v>0.51728112369565549</v>
      </c>
      <c r="H1802" s="24" t="s">
        <v>586</v>
      </c>
      <c r="I1802" s="24" t="s">
        <v>587</v>
      </c>
      <c r="J1802" s="24" t="s">
        <v>588</v>
      </c>
      <c r="K1802" s="24" t="s">
        <v>598</v>
      </c>
    </row>
    <row r="1803" spans="1:11">
      <c r="A1803" s="12">
        <v>2017</v>
      </c>
      <c r="B1803" s="15" t="s">
        <v>395</v>
      </c>
      <c r="C1803" s="15" t="s">
        <v>414</v>
      </c>
      <c r="D1803" s="15" t="s">
        <v>415</v>
      </c>
      <c r="E1803" s="19">
        <v>32993</v>
      </c>
      <c r="F1803" s="19">
        <v>33414</v>
      </c>
      <c r="G1803" s="20">
        <f t="shared" si="28"/>
        <v>0.50316984655232133</v>
      </c>
      <c r="H1803" s="24" t="s">
        <v>586</v>
      </c>
      <c r="I1803" s="24" t="s">
        <v>587</v>
      </c>
      <c r="J1803" s="24" t="s">
        <v>588</v>
      </c>
      <c r="K1803" s="24" t="s">
        <v>598</v>
      </c>
    </row>
    <row r="1804" spans="1:11">
      <c r="A1804" s="12">
        <v>2017</v>
      </c>
      <c r="B1804" s="15" t="s">
        <v>395</v>
      </c>
      <c r="C1804" s="15" t="s">
        <v>416</v>
      </c>
      <c r="D1804" s="15" t="s">
        <v>417</v>
      </c>
      <c r="E1804" s="19">
        <v>248617</v>
      </c>
      <c r="F1804" s="19">
        <v>109545</v>
      </c>
      <c r="G1804" s="20">
        <f t="shared" si="28"/>
        <v>0.30585321725922904</v>
      </c>
      <c r="H1804" s="24" t="s">
        <v>586</v>
      </c>
      <c r="I1804" s="24" t="s">
        <v>587</v>
      </c>
      <c r="J1804" s="24" t="s">
        <v>588</v>
      </c>
      <c r="K1804" s="24" t="s">
        <v>598</v>
      </c>
    </row>
    <row r="1805" spans="1:11">
      <c r="A1805" s="12">
        <v>2017</v>
      </c>
      <c r="B1805" s="15" t="s">
        <v>395</v>
      </c>
      <c r="C1805" s="15" t="s">
        <v>418</v>
      </c>
      <c r="D1805" s="15" t="s">
        <v>419</v>
      </c>
      <c r="E1805" s="19">
        <v>26568</v>
      </c>
      <c r="F1805" s="19">
        <v>37420</v>
      </c>
      <c r="G1805" s="20">
        <f t="shared" si="28"/>
        <v>0.58479714946552475</v>
      </c>
      <c r="H1805" s="24" t="s">
        <v>586</v>
      </c>
      <c r="I1805" s="24" t="s">
        <v>587</v>
      </c>
      <c r="J1805" s="24" t="s">
        <v>588</v>
      </c>
      <c r="K1805" s="24" t="s">
        <v>598</v>
      </c>
    </row>
    <row r="1806" spans="1:11">
      <c r="A1806" s="12">
        <v>2017</v>
      </c>
      <c r="B1806" s="15" t="s">
        <v>395</v>
      </c>
      <c r="C1806" s="15" t="s">
        <v>420</v>
      </c>
      <c r="D1806" s="15" t="s">
        <v>421</v>
      </c>
      <c r="E1806" s="19">
        <v>256720</v>
      </c>
      <c r="F1806" s="19">
        <v>110989</v>
      </c>
      <c r="G1806" s="20">
        <f t="shared" si="28"/>
        <v>0.30183922612718211</v>
      </c>
      <c r="H1806" s="24" t="s">
        <v>586</v>
      </c>
      <c r="I1806" s="24" t="s">
        <v>587</v>
      </c>
      <c r="J1806" s="24" t="s">
        <v>588</v>
      </c>
      <c r="K1806" s="24" t="s">
        <v>598</v>
      </c>
    </row>
    <row r="1807" spans="1:11">
      <c r="A1807" s="12">
        <v>2017</v>
      </c>
      <c r="B1807" s="15" t="s">
        <v>395</v>
      </c>
      <c r="C1807" s="15" t="s">
        <v>422</v>
      </c>
      <c r="D1807" s="15" t="s">
        <v>423</v>
      </c>
      <c r="E1807" s="19">
        <v>45190</v>
      </c>
      <c r="F1807" s="19">
        <v>34116</v>
      </c>
      <c r="G1807" s="20">
        <f t="shared" si="28"/>
        <v>0.43018182735228105</v>
      </c>
      <c r="H1807" s="24" t="s">
        <v>586</v>
      </c>
      <c r="I1807" s="24" t="s">
        <v>587</v>
      </c>
      <c r="J1807" s="24" t="s">
        <v>588</v>
      </c>
      <c r="K1807" s="24" t="s">
        <v>598</v>
      </c>
    </row>
    <row r="1808" spans="1:11">
      <c r="A1808" s="12">
        <v>2017</v>
      </c>
      <c r="B1808" s="15" t="s">
        <v>395</v>
      </c>
      <c r="C1808" s="15" t="s">
        <v>424</v>
      </c>
      <c r="D1808" s="15" t="s">
        <v>425</v>
      </c>
      <c r="E1808" s="19">
        <v>40695</v>
      </c>
      <c r="F1808" s="19">
        <v>49382</v>
      </c>
      <c r="G1808" s="20">
        <f t="shared" si="28"/>
        <v>0.54821985634512693</v>
      </c>
      <c r="H1808" s="24" t="s">
        <v>586</v>
      </c>
      <c r="I1808" s="24" t="s">
        <v>587</v>
      </c>
      <c r="J1808" s="24" t="s">
        <v>588</v>
      </c>
      <c r="K1808" s="24" t="s">
        <v>598</v>
      </c>
    </row>
    <row r="1809" spans="1:11">
      <c r="A1809" s="12">
        <v>2017</v>
      </c>
      <c r="B1809" s="15" t="s">
        <v>395</v>
      </c>
      <c r="C1809" s="15" t="s">
        <v>426</v>
      </c>
      <c r="D1809" s="15" t="s">
        <v>427</v>
      </c>
      <c r="E1809" s="19">
        <v>42330</v>
      </c>
      <c r="F1809" s="19">
        <v>42734</v>
      </c>
      <c r="G1809" s="20">
        <f t="shared" si="28"/>
        <v>0.50237468259193074</v>
      </c>
      <c r="H1809" s="24" t="s">
        <v>586</v>
      </c>
      <c r="I1809" s="24" t="s">
        <v>587</v>
      </c>
      <c r="J1809" s="24" t="s">
        <v>588</v>
      </c>
      <c r="K1809" s="24" t="s">
        <v>598</v>
      </c>
    </row>
    <row r="1810" spans="1:11">
      <c r="A1810" s="12">
        <v>2017</v>
      </c>
      <c r="B1810" s="15" t="s">
        <v>395</v>
      </c>
      <c r="C1810" s="15" t="s">
        <v>428</v>
      </c>
      <c r="D1810" s="15" t="s">
        <v>429</v>
      </c>
      <c r="E1810" s="19">
        <v>30588</v>
      </c>
      <c r="F1810" s="19">
        <v>38103</v>
      </c>
      <c r="G1810" s="20">
        <f t="shared" si="28"/>
        <v>0.55470148927807139</v>
      </c>
      <c r="H1810" s="24" t="s">
        <v>586</v>
      </c>
      <c r="I1810" s="24" t="s">
        <v>587</v>
      </c>
      <c r="J1810" s="24" t="s">
        <v>588</v>
      </c>
      <c r="K1810" s="24" t="s">
        <v>598</v>
      </c>
    </row>
    <row r="1811" spans="1:11">
      <c r="A1811" s="12">
        <v>2017</v>
      </c>
      <c r="B1811" s="15" t="s">
        <v>395</v>
      </c>
      <c r="C1811" s="15" t="s">
        <v>430</v>
      </c>
      <c r="D1811" s="15" t="s">
        <v>431</v>
      </c>
      <c r="E1811" s="19">
        <v>32284</v>
      </c>
      <c r="F1811" s="19">
        <v>28125</v>
      </c>
      <c r="G1811" s="20">
        <f t="shared" si="28"/>
        <v>0.46557632140906158</v>
      </c>
      <c r="H1811" s="24" t="s">
        <v>586</v>
      </c>
      <c r="I1811" s="24" t="s">
        <v>587</v>
      </c>
      <c r="J1811" s="24" t="s">
        <v>588</v>
      </c>
      <c r="K1811" s="24" t="s">
        <v>598</v>
      </c>
    </row>
    <row r="1812" spans="1:11">
      <c r="A1812" s="12">
        <v>2017</v>
      </c>
      <c r="B1812" s="15" t="s">
        <v>395</v>
      </c>
      <c r="C1812" s="15" t="s">
        <v>432</v>
      </c>
      <c r="D1812" s="15" t="s">
        <v>433</v>
      </c>
      <c r="E1812" s="19">
        <v>24834</v>
      </c>
      <c r="F1812" s="19">
        <v>25507</v>
      </c>
      <c r="G1812" s="20">
        <f t="shared" si="28"/>
        <v>0.50668441230805905</v>
      </c>
      <c r="H1812" s="24" t="s">
        <v>586</v>
      </c>
      <c r="I1812" s="24" t="s">
        <v>587</v>
      </c>
      <c r="J1812" s="24" t="s">
        <v>588</v>
      </c>
      <c r="K1812" s="24" t="s">
        <v>598</v>
      </c>
    </row>
    <row r="1813" spans="1:11">
      <c r="A1813" s="12">
        <v>2017</v>
      </c>
      <c r="B1813" s="15" t="s">
        <v>395</v>
      </c>
      <c r="C1813" s="15" t="s">
        <v>434</v>
      </c>
      <c r="D1813" s="15" t="s">
        <v>435</v>
      </c>
      <c r="E1813" s="19">
        <v>24370</v>
      </c>
      <c r="F1813" s="19">
        <v>29110</v>
      </c>
      <c r="G1813" s="20">
        <f t="shared" si="28"/>
        <v>0.54431563201196709</v>
      </c>
      <c r="H1813" s="24" t="s">
        <v>586</v>
      </c>
      <c r="I1813" s="24" t="s">
        <v>587</v>
      </c>
      <c r="J1813" s="24" t="s">
        <v>588</v>
      </c>
      <c r="K1813" s="24" t="s">
        <v>598</v>
      </c>
    </row>
    <row r="1814" spans="1:11">
      <c r="A1814" s="12">
        <v>2017</v>
      </c>
      <c r="B1814" s="15" t="s">
        <v>395</v>
      </c>
      <c r="C1814" s="15" t="s">
        <v>436</v>
      </c>
      <c r="D1814" s="15" t="s">
        <v>437</v>
      </c>
      <c r="E1814" s="19">
        <v>60356</v>
      </c>
      <c r="F1814" s="19">
        <v>46199</v>
      </c>
      <c r="G1814" s="20">
        <f t="shared" si="28"/>
        <v>0.43356951808924971</v>
      </c>
      <c r="H1814" s="24" t="s">
        <v>586</v>
      </c>
      <c r="I1814" s="24" t="s">
        <v>587</v>
      </c>
      <c r="J1814" s="24" t="s">
        <v>588</v>
      </c>
      <c r="K1814" s="24" t="s">
        <v>598</v>
      </c>
    </row>
    <row r="1815" spans="1:11">
      <c r="A1815" s="12">
        <v>2017</v>
      </c>
      <c r="B1815" s="15" t="s">
        <v>395</v>
      </c>
      <c r="C1815" s="15" t="s">
        <v>438</v>
      </c>
      <c r="D1815" s="15" t="s">
        <v>439</v>
      </c>
      <c r="E1815" s="19">
        <v>51046</v>
      </c>
      <c r="F1815" s="19">
        <v>43257</v>
      </c>
      <c r="G1815" s="20">
        <f t="shared" si="28"/>
        <v>0.45870226822052318</v>
      </c>
      <c r="H1815" s="24" t="s">
        <v>586</v>
      </c>
      <c r="I1815" s="24" t="s">
        <v>587</v>
      </c>
      <c r="J1815" s="24" t="s">
        <v>588</v>
      </c>
      <c r="K1815" s="24" t="s">
        <v>598</v>
      </c>
    </row>
    <row r="1816" spans="1:11">
      <c r="A1816" s="12">
        <v>2017</v>
      </c>
      <c r="B1816" s="15" t="s">
        <v>440</v>
      </c>
      <c r="C1816" s="15" t="s">
        <v>22</v>
      </c>
      <c r="D1816" s="15" t="s">
        <v>440</v>
      </c>
      <c r="E1816" s="19">
        <v>2378054</v>
      </c>
      <c r="F1816" s="19">
        <v>1039950</v>
      </c>
      <c r="G1816" s="20">
        <f t="shared" si="28"/>
        <v>0.30425651930190839</v>
      </c>
      <c r="H1816" s="24" t="s">
        <v>583</v>
      </c>
      <c r="I1816" s="24" t="s">
        <v>584</v>
      </c>
      <c r="J1816" s="24" t="s">
        <v>585</v>
      </c>
      <c r="K1816" s="24" t="s">
        <v>598</v>
      </c>
    </row>
    <row r="1817" spans="1:11">
      <c r="A1817" s="12">
        <v>2017</v>
      </c>
      <c r="B1817" s="15" t="s">
        <v>440</v>
      </c>
      <c r="C1817" s="15" t="s">
        <v>441</v>
      </c>
      <c r="D1817" s="15" t="s">
        <v>442</v>
      </c>
      <c r="E1817" s="19">
        <v>216382</v>
      </c>
      <c r="F1817" s="19">
        <v>165256</v>
      </c>
      <c r="G1817" s="20">
        <f t="shared" si="28"/>
        <v>0.43301767643683281</v>
      </c>
      <c r="H1817" s="24" t="s">
        <v>583</v>
      </c>
      <c r="I1817" s="24" t="s">
        <v>569</v>
      </c>
      <c r="J1817" s="24" t="s">
        <v>593</v>
      </c>
      <c r="K1817" s="24" t="s">
        <v>598</v>
      </c>
    </row>
    <row r="1818" spans="1:11">
      <c r="A1818" s="12">
        <v>2017</v>
      </c>
      <c r="B1818" s="15" t="s">
        <v>440</v>
      </c>
      <c r="C1818" s="15" t="s">
        <v>443</v>
      </c>
      <c r="D1818" s="15" t="s">
        <v>444</v>
      </c>
      <c r="E1818" s="19">
        <v>219287</v>
      </c>
      <c r="F1818" s="19">
        <v>122397</v>
      </c>
      <c r="G1818" s="20">
        <f t="shared" si="28"/>
        <v>0.35821694899380713</v>
      </c>
      <c r="H1818" s="24" t="s">
        <v>583</v>
      </c>
      <c r="I1818" s="24" t="s">
        <v>584</v>
      </c>
      <c r="J1818" s="24" t="s">
        <v>585</v>
      </c>
      <c r="K1818" s="24" t="s">
        <v>598</v>
      </c>
    </row>
    <row r="1819" spans="1:11">
      <c r="A1819" s="12">
        <v>2017</v>
      </c>
      <c r="B1819" s="15" t="s">
        <v>440</v>
      </c>
      <c r="C1819" s="15" t="s">
        <v>445</v>
      </c>
      <c r="D1819" s="15" t="s">
        <v>446</v>
      </c>
      <c r="E1819" s="19">
        <v>23829</v>
      </c>
      <c r="F1819" s="19">
        <v>27929</v>
      </c>
      <c r="G1819" s="20">
        <f t="shared" si="28"/>
        <v>0.5396074036863866</v>
      </c>
      <c r="H1819" s="24" t="s">
        <v>583</v>
      </c>
      <c r="I1819" s="24" t="s">
        <v>569</v>
      </c>
      <c r="J1819" s="24" t="s">
        <v>593</v>
      </c>
      <c r="K1819" s="24" t="s">
        <v>598</v>
      </c>
    </row>
    <row r="1820" spans="1:11">
      <c r="A1820" s="12">
        <v>2017</v>
      </c>
      <c r="B1820" s="15" t="s">
        <v>440</v>
      </c>
      <c r="C1820" s="15" t="s">
        <v>447</v>
      </c>
      <c r="D1820" s="15" t="s">
        <v>448</v>
      </c>
      <c r="E1820" s="19">
        <v>374852</v>
      </c>
      <c r="F1820" s="19">
        <v>158582</v>
      </c>
      <c r="G1820" s="20">
        <f t="shared" si="28"/>
        <v>0.29728513743031004</v>
      </c>
      <c r="H1820" s="24" t="s">
        <v>583</v>
      </c>
      <c r="I1820" s="24" t="s">
        <v>569</v>
      </c>
      <c r="J1820" s="24" t="s">
        <v>593</v>
      </c>
      <c r="K1820" s="24" t="s">
        <v>598</v>
      </c>
    </row>
    <row r="1821" spans="1:11">
      <c r="A1821" s="12">
        <v>2017</v>
      </c>
      <c r="B1821" s="15" t="s">
        <v>440</v>
      </c>
      <c r="C1821" s="15" t="s">
        <v>105</v>
      </c>
      <c r="D1821" s="15" t="s">
        <v>449</v>
      </c>
      <c r="E1821" s="19">
        <v>16550</v>
      </c>
      <c r="F1821" s="19">
        <v>20449</v>
      </c>
      <c r="G1821" s="20">
        <f t="shared" si="28"/>
        <v>0.55269061325981783</v>
      </c>
      <c r="H1821" s="24" t="s">
        <v>583</v>
      </c>
      <c r="I1821" s="24" t="s">
        <v>569</v>
      </c>
      <c r="J1821" s="24" t="s">
        <v>593</v>
      </c>
      <c r="K1821" s="24" t="s">
        <v>598</v>
      </c>
    </row>
    <row r="1822" spans="1:11">
      <c r="A1822" s="12">
        <v>2017</v>
      </c>
      <c r="B1822" s="15" t="s">
        <v>440</v>
      </c>
      <c r="C1822" s="15" t="s">
        <v>450</v>
      </c>
      <c r="D1822" s="15" t="s">
        <v>451</v>
      </c>
      <c r="E1822" s="19">
        <v>118831</v>
      </c>
      <c r="F1822" s="19">
        <v>76046</v>
      </c>
      <c r="G1822" s="20">
        <f t="shared" si="28"/>
        <v>0.39022562949963308</v>
      </c>
      <c r="H1822" s="24" t="s">
        <v>583</v>
      </c>
      <c r="I1822" s="24" t="s">
        <v>584</v>
      </c>
      <c r="J1822" s="24" t="s">
        <v>585</v>
      </c>
      <c r="K1822" s="24" t="s">
        <v>598</v>
      </c>
    </row>
    <row r="1823" spans="1:11">
      <c r="A1823" s="12">
        <v>2017</v>
      </c>
      <c r="B1823" s="15" t="s">
        <v>440</v>
      </c>
      <c r="C1823" s="15" t="s">
        <v>452</v>
      </c>
      <c r="D1823" s="15" t="s">
        <v>453</v>
      </c>
      <c r="E1823" s="19">
        <v>63024</v>
      </c>
      <c r="F1823" s="19">
        <v>40193</v>
      </c>
      <c r="G1823" s="20">
        <f t="shared" si="28"/>
        <v>0.38940290843562592</v>
      </c>
      <c r="H1823" s="24" t="s">
        <v>583</v>
      </c>
      <c r="I1823" s="24" t="s">
        <v>569</v>
      </c>
      <c r="J1823" s="24" t="s">
        <v>593</v>
      </c>
      <c r="K1823" s="24" t="s">
        <v>598</v>
      </c>
    </row>
    <row r="1824" spans="1:11">
      <c r="A1824" s="12">
        <v>2017</v>
      </c>
      <c r="B1824" s="15" t="s">
        <v>440</v>
      </c>
      <c r="C1824" s="15" t="s">
        <v>454</v>
      </c>
      <c r="D1824" s="15" t="s">
        <v>455</v>
      </c>
      <c r="E1824" s="19">
        <v>22589</v>
      </c>
      <c r="F1824" s="19">
        <v>27562</v>
      </c>
      <c r="G1824" s="20">
        <f t="shared" si="28"/>
        <v>0.54958026759187251</v>
      </c>
      <c r="H1824" s="24" t="s">
        <v>583</v>
      </c>
      <c r="I1824" s="24" t="s">
        <v>569</v>
      </c>
      <c r="J1824" s="24" t="s">
        <v>593</v>
      </c>
      <c r="K1824" s="24" t="s">
        <v>598</v>
      </c>
    </row>
    <row r="1825" spans="1:11">
      <c r="A1825" s="12">
        <v>2017</v>
      </c>
      <c r="B1825" s="15" t="s">
        <v>440</v>
      </c>
      <c r="C1825" s="15" t="s">
        <v>456</v>
      </c>
      <c r="D1825" s="15" t="s">
        <v>457</v>
      </c>
      <c r="E1825" s="19">
        <v>84726</v>
      </c>
      <c r="F1825" s="19">
        <v>58216</v>
      </c>
      <c r="G1825" s="20">
        <f t="shared" si="28"/>
        <v>0.40727008157154648</v>
      </c>
      <c r="H1825" s="24" t="s">
        <v>583</v>
      </c>
      <c r="I1825" s="24" t="s">
        <v>569</v>
      </c>
      <c r="J1825" s="24" t="s">
        <v>593</v>
      </c>
      <c r="K1825" s="24" t="s">
        <v>598</v>
      </c>
    </row>
    <row r="1826" spans="1:11">
      <c r="A1826" s="12">
        <v>2017</v>
      </c>
      <c r="B1826" s="15" t="s">
        <v>440</v>
      </c>
      <c r="C1826" s="15" t="s">
        <v>458</v>
      </c>
      <c r="D1826" s="15" t="s">
        <v>459</v>
      </c>
      <c r="E1826" s="19">
        <v>31061</v>
      </c>
      <c r="F1826" s="19">
        <v>37351</v>
      </c>
      <c r="G1826" s="20">
        <f t="shared" si="28"/>
        <v>0.5459714669940946</v>
      </c>
      <c r="H1826" s="24" t="s">
        <v>583</v>
      </c>
      <c r="I1826" s="24" t="s">
        <v>569</v>
      </c>
      <c r="J1826" s="24" t="s">
        <v>593</v>
      </c>
      <c r="K1826" s="24" t="s">
        <v>598</v>
      </c>
    </row>
    <row r="1827" spans="1:11">
      <c r="A1827" s="12">
        <v>2017</v>
      </c>
      <c r="B1827" s="15" t="s">
        <v>440</v>
      </c>
      <c r="C1827" s="15" t="s">
        <v>460</v>
      </c>
      <c r="D1827" s="15" t="s">
        <v>461</v>
      </c>
      <c r="E1827" s="19">
        <v>146438</v>
      </c>
      <c r="F1827" s="19">
        <v>57608</v>
      </c>
      <c r="G1827" s="20">
        <f t="shared" si="28"/>
        <v>0.28232849455514936</v>
      </c>
      <c r="H1827" s="24" t="s">
        <v>583</v>
      </c>
      <c r="I1827" s="24" t="s">
        <v>584</v>
      </c>
      <c r="J1827" s="24" t="s">
        <v>585</v>
      </c>
      <c r="K1827" s="24" t="s">
        <v>598</v>
      </c>
    </row>
    <row r="1828" spans="1:11">
      <c r="A1828" s="12">
        <v>2017</v>
      </c>
      <c r="B1828" s="15" t="s">
        <v>440</v>
      </c>
      <c r="C1828" s="15" t="s">
        <v>462</v>
      </c>
      <c r="D1828" s="15" t="s">
        <v>463</v>
      </c>
      <c r="E1828" s="19">
        <v>31084</v>
      </c>
      <c r="F1828" s="19">
        <v>28291</v>
      </c>
      <c r="G1828" s="20">
        <f t="shared" si="28"/>
        <v>0.47648000000000001</v>
      </c>
      <c r="H1828" s="24" t="s">
        <v>583</v>
      </c>
      <c r="I1828" s="24" t="s">
        <v>569</v>
      </c>
      <c r="J1828" s="24" t="s">
        <v>593</v>
      </c>
      <c r="K1828" s="24" t="s">
        <v>598</v>
      </c>
    </row>
    <row r="1829" spans="1:11">
      <c r="A1829" s="12">
        <v>2017</v>
      </c>
      <c r="B1829" s="15" t="s">
        <v>440</v>
      </c>
      <c r="C1829" s="15" t="s">
        <v>464</v>
      </c>
      <c r="D1829" s="15" t="s">
        <v>465</v>
      </c>
      <c r="E1829" s="19">
        <v>12114</v>
      </c>
      <c r="F1829" s="19">
        <v>14437</v>
      </c>
      <c r="G1829" s="20">
        <f t="shared" si="28"/>
        <v>0.54374599826748526</v>
      </c>
      <c r="H1829" s="24" t="s">
        <v>583</v>
      </c>
      <c r="I1829" s="24" t="s">
        <v>569</v>
      </c>
      <c r="J1829" s="24" t="s">
        <v>593</v>
      </c>
      <c r="K1829" s="24" t="s">
        <v>598</v>
      </c>
    </row>
    <row r="1830" spans="1:11">
      <c r="A1830" s="12">
        <v>2017</v>
      </c>
      <c r="B1830" s="15" t="s">
        <v>440</v>
      </c>
      <c r="C1830" s="15" t="s">
        <v>466</v>
      </c>
      <c r="D1830" s="15" t="s">
        <v>467</v>
      </c>
      <c r="E1830" s="19">
        <v>94787</v>
      </c>
      <c r="F1830" s="19">
        <v>59856</v>
      </c>
      <c r="G1830" s="20">
        <f t="shared" si="28"/>
        <v>0.38705922673512544</v>
      </c>
      <c r="H1830" s="24" t="s">
        <v>583</v>
      </c>
      <c r="I1830" s="24" t="s">
        <v>569</v>
      </c>
      <c r="J1830" s="24" t="s">
        <v>593</v>
      </c>
      <c r="K1830" s="24" t="s">
        <v>598</v>
      </c>
    </row>
    <row r="1831" spans="1:11">
      <c r="A1831" s="12">
        <v>2017</v>
      </c>
      <c r="B1831" s="15" t="s">
        <v>440</v>
      </c>
      <c r="C1831" s="15" t="s">
        <v>468</v>
      </c>
      <c r="D1831" s="15" t="s">
        <v>469</v>
      </c>
      <c r="E1831" s="19">
        <v>82951</v>
      </c>
      <c r="F1831" s="19">
        <v>63257</v>
      </c>
      <c r="G1831" s="20">
        <f t="shared" si="28"/>
        <v>0.43265074414532723</v>
      </c>
      <c r="H1831" s="24" t="s">
        <v>583</v>
      </c>
      <c r="I1831" s="24" t="s">
        <v>569</v>
      </c>
      <c r="J1831" s="24" t="s">
        <v>593</v>
      </c>
      <c r="K1831" s="24" t="s">
        <v>598</v>
      </c>
    </row>
    <row r="1832" spans="1:11">
      <c r="A1832" s="12">
        <v>2017</v>
      </c>
      <c r="B1832" s="15" t="s">
        <v>440</v>
      </c>
      <c r="C1832" s="15" t="s">
        <v>470</v>
      </c>
      <c r="D1832" s="15" t="s">
        <v>471</v>
      </c>
      <c r="E1832" s="19">
        <v>34442</v>
      </c>
      <c r="F1832" s="19">
        <v>38563</v>
      </c>
      <c r="G1832" s="20">
        <f t="shared" si="28"/>
        <v>0.52822409424012051</v>
      </c>
      <c r="H1832" s="24" t="s">
        <v>583</v>
      </c>
      <c r="I1832" s="24" t="s">
        <v>569</v>
      </c>
      <c r="J1832" s="24" t="s">
        <v>593</v>
      </c>
      <c r="K1832" s="24" t="s">
        <v>598</v>
      </c>
    </row>
    <row r="1833" spans="1:11">
      <c r="A1833" s="12">
        <v>2017</v>
      </c>
      <c r="B1833" s="15" t="s">
        <v>440</v>
      </c>
      <c r="C1833" s="15" t="s">
        <v>472</v>
      </c>
      <c r="D1833" s="15" t="s">
        <v>473</v>
      </c>
      <c r="E1833" s="19">
        <v>6824</v>
      </c>
      <c r="F1833" s="19">
        <v>7966</v>
      </c>
      <c r="G1833" s="20">
        <f t="shared" si="28"/>
        <v>0.53860716700473288</v>
      </c>
      <c r="H1833" s="24" t="s">
        <v>583</v>
      </c>
      <c r="I1833" s="24" t="s">
        <v>569</v>
      </c>
      <c r="J1833" s="24" t="s">
        <v>593</v>
      </c>
      <c r="K1833" s="24" t="s">
        <v>598</v>
      </c>
    </row>
    <row r="1834" spans="1:11">
      <c r="A1834" s="12">
        <v>2017</v>
      </c>
      <c r="B1834" s="15" t="s">
        <v>440</v>
      </c>
      <c r="C1834" s="15" t="s">
        <v>474</v>
      </c>
      <c r="D1834" s="15" t="s">
        <v>475</v>
      </c>
      <c r="E1834" s="19">
        <v>42407</v>
      </c>
      <c r="F1834" s="19">
        <v>32968</v>
      </c>
      <c r="G1834" s="20">
        <f t="shared" si="28"/>
        <v>0.43738640132669981</v>
      </c>
      <c r="H1834" s="24" t="s">
        <v>583</v>
      </c>
      <c r="I1834" s="24" t="s">
        <v>569</v>
      </c>
      <c r="J1834" s="24" t="s">
        <v>593</v>
      </c>
      <c r="K1834" s="24" t="s">
        <v>598</v>
      </c>
    </row>
    <row r="1835" spans="1:11">
      <c r="A1835" s="12">
        <v>2017</v>
      </c>
      <c r="B1835" s="15" t="s">
        <v>440</v>
      </c>
      <c r="C1835" s="15" t="s">
        <v>476</v>
      </c>
      <c r="D1835" s="15" t="s">
        <v>477</v>
      </c>
      <c r="E1835" s="19">
        <v>42422</v>
      </c>
      <c r="F1835" s="19">
        <v>41227</v>
      </c>
      <c r="G1835" s="20">
        <f t="shared" si="28"/>
        <v>0.49285705746631758</v>
      </c>
      <c r="H1835" s="24" t="s">
        <v>583</v>
      </c>
      <c r="I1835" s="24" t="s">
        <v>569</v>
      </c>
      <c r="J1835" s="24" t="s">
        <v>593</v>
      </c>
      <c r="K1835" s="24" t="s">
        <v>598</v>
      </c>
    </row>
    <row r="1836" spans="1:11">
      <c r="A1836" s="12">
        <v>2017</v>
      </c>
      <c r="B1836" s="15" t="s">
        <v>440</v>
      </c>
      <c r="C1836" s="15" t="s">
        <v>478</v>
      </c>
      <c r="D1836" s="15" t="s">
        <v>479</v>
      </c>
      <c r="E1836" s="19">
        <v>32416</v>
      </c>
      <c r="F1836" s="19">
        <v>33951</v>
      </c>
      <c r="G1836" s="20">
        <f t="shared" si="28"/>
        <v>0.51156448234815499</v>
      </c>
      <c r="H1836" s="24" t="s">
        <v>583</v>
      </c>
      <c r="I1836" s="24" t="s">
        <v>569</v>
      </c>
      <c r="J1836" s="24" t="s">
        <v>593</v>
      </c>
      <c r="K1836" s="24" t="s">
        <v>598</v>
      </c>
    </row>
    <row r="1837" spans="1:11">
      <c r="A1837" s="12">
        <v>2017</v>
      </c>
      <c r="B1837" s="15" t="s">
        <v>440</v>
      </c>
      <c r="C1837" s="15" t="s">
        <v>480</v>
      </c>
      <c r="D1837" s="15" t="s">
        <v>481</v>
      </c>
      <c r="E1837" s="19">
        <v>19418</v>
      </c>
      <c r="F1837" s="19">
        <v>21133</v>
      </c>
      <c r="G1837" s="20">
        <f t="shared" si="28"/>
        <v>0.52114621094424307</v>
      </c>
      <c r="H1837" s="24" t="s">
        <v>583</v>
      </c>
      <c r="I1837" s="24" t="s">
        <v>569</v>
      </c>
      <c r="J1837" s="24" t="s">
        <v>593</v>
      </c>
      <c r="K1837" s="24" t="s">
        <v>598</v>
      </c>
    </row>
    <row r="1838" spans="1:11">
      <c r="A1838" s="12">
        <v>2017</v>
      </c>
      <c r="B1838" s="15" t="s">
        <v>440</v>
      </c>
      <c r="C1838" s="15" t="s">
        <v>482</v>
      </c>
      <c r="D1838" s="15" t="s">
        <v>483</v>
      </c>
      <c r="E1838" s="19">
        <v>90801</v>
      </c>
      <c r="F1838" s="19">
        <v>92136</v>
      </c>
      <c r="G1838" s="20">
        <f t="shared" si="28"/>
        <v>0.50364879712687971</v>
      </c>
      <c r="H1838" s="24" t="s">
        <v>583</v>
      </c>
      <c r="I1838" s="24" t="s">
        <v>569</v>
      </c>
      <c r="J1838" s="24" t="s">
        <v>593</v>
      </c>
      <c r="K1838" s="24" t="s">
        <v>598</v>
      </c>
    </row>
    <row r="1839" spans="1:11">
      <c r="A1839" s="12">
        <v>2017</v>
      </c>
      <c r="B1839" s="15" t="s">
        <v>440</v>
      </c>
      <c r="C1839" s="15" t="s">
        <v>484</v>
      </c>
      <c r="D1839" s="15" t="s">
        <v>485</v>
      </c>
      <c r="E1839" s="19">
        <v>203730</v>
      </c>
      <c r="F1839" s="19">
        <v>156592</v>
      </c>
      <c r="G1839" s="20">
        <f t="shared" si="28"/>
        <v>0.43458906200565051</v>
      </c>
      <c r="H1839" s="24" t="s">
        <v>583</v>
      </c>
      <c r="I1839" s="24" t="s">
        <v>584</v>
      </c>
      <c r="J1839" s="24" t="s">
        <v>585</v>
      </c>
      <c r="K1839" s="24" t="s">
        <v>598</v>
      </c>
    </row>
    <row r="1840" spans="1:11">
      <c r="A1840" s="12">
        <v>2017</v>
      </c>
      <c r="B1840" s="15" t="s">
        <v>440</v>
      </c>
      <c r="C1840" s="15" t="s">
        <v>486</v>
      </c>
      <c r="D1840" s="15" t="s">
        <v>487</v>
      </c>
      <c r="E1840" s="19">
        <v>232504</v>
      </c>
      <c r="F1840" s="19">
        <v>166328</v>
      </c>
      <c r="G1840" s="20">
        <f t="shared" si="28"/>
        <v>0.41703775023067358</v>
      </c>
      <c r="H1840" s="24" t="s">
        <v>583</v>
      </c>
      <c r="I1840" s="24" t="s">
        <v>584</v>
      </c>
      <c r="J1840" s="24" t="s">
        <v>585</v>
      </c>
      <c r="K1840" s="24" t="s">
        <v>598</v>
      </c>
    </row>
    <row r="1841" spans="1:11">
      <c r="A1841" s="12">
        <v>2017</v>
      </c>
      <c r="B1841" s="15" t="s">
        <v>488</v>
      </c>
      <c r="C1841" s="15" t="s">
        <v>22</v>
      </c>
      <c r="D1841" s="15" t="s">
        <v>488</v>
      </c>
      <c r="E1841" s="19">
        <v>3077994</v>
      </c>
      <c r="F1841" s="19">
        <v>969458</v>
      </c>
      <c r="G1841" s="20">
        <f t="shared" si="28"/>
        <v>0.23952303819785881</v>
      </c>
      <c r="H1841" s="24" t="s">
        <v>583</v>
      </c>
      <c r="I1841" s="24" t="s">
        <v>569</v>
      </c>
      <c r="J1841" s="24" t="s">
        <v>593</v>
      </c>
      <c r="K1841" s="24" t="s">
        <v>598</v>
      </c>
    </row>
    <row r="1842" spans="1:11">
      <c r="A1842" s="12">
        <v>2017</v>
      </c>
      <c r="B1842" s="15" t="s">
        <v>488</v>
      </c>
      <c r="C1842" s="15" t="s">
        <v>489</v>
      </c>
      <c r="D1842" s="15" t="s">
        <v>490</v>
      </c>
      <c r="E1842" s="19">
        <v>228725</v>
      </c>
      <c r="F1842" s="19">
        <v>117124</v>
      </c>
      <c r="G1842" s="20">
        <f t="shared" si="28"/>
        <v>0.3386564656830004</v>
      </c>
      <c r="H1842" s="24" t="s">
        <v>583</v>
      </c>
      <c r="I1842" s="24" t="s">
        <v>569</v>
      </c>
      <c r="J1842" s="24" t="s">
        <v>593</v>
      </c>
      <c r="K1842" s="24" t="s">
        <v>598</v>
      </c>
    </row>
    <row r="1843" spans="1:11">
      <c r="A1843" s="12">
        <v>2017</v>
      </c>
      <c r="B1843" s="15" t="s">
        <v>488</v>
      </c>
      <c r="C1843" s="15" t="s">
        <v>491</v>
      </c>
      <c r="D1843" s="15" t="s">
        <v>492</v>
      </c>
      <c r="E1843" s="19">
        <v>54376</v>
      </c>
      <c r="F1843" s="19">
        <v>36440</v>
      </c>
      <c r="G1843" s="20">
        <f t="shared" si="28"/>
        <v>0.40125088090204369</v>
      </c>
      <c r="H1843" s="24" t="s">
        <v>583</v>
      </c>
      <c r="I1843" s="24" t="s">
        <v>569</v>
      </c>
      <c r="J1843" s="24" t="s">
        <v>593</v>
      </c>
      <c r="K1843" s="24" t="s">
        <v>598</v>
      </c>
    </row>
    <row r="1844" spans="1:11">
      <c r="A1844" s="12">
        <v>2017</v>
      </c>
      <c r="B1844" s="15" t="s">
        <v>488</v>
      </c>
      <c r="C1844" s="15" t="s">
        <v>260</v>
      </c>
      <c r="D1844" s="15" t="s">
        <v>493</v>
      </c>
      <c r="E1844" s="19">
        <v>41276</v>
      </c>
      <c r="F1844" s="19">
        <v>41006</v>
      </c>
      <c r="G1844" s="20">
        <f t="shared" si="28"/>
        <v>0.49835930094066744</v>
      </c>
      <c r="H1844" s="24" t="s">
        <v>583</v>
      </c>
      <c r="I1844" s="24" t="s">
        <v>569</v>
      </c>
      <c r="J1844" s="24" t="s">
        <v>593</v>
      </c>
      <c r="K1844" s="24" t="s">
        <v>598</v>
      </c>
    </row>
    <row r="1845" spans="1:11">
      <c r="A1845" s="12">
        <v>2017</v>
      </c>
      <c r="B1845" s="15" t="s">
        <v>488</v>
      </c>
      <c r="C1845" s="15" t="s">
        <v>494</v>
      </c>
      <c r="D1845" s="15" t="s">
        <v>495</v>
      </c>
      <c r="E1845" s="19">
        <v>472938</v>
      </c>
      <c r="F1845" s="19">
        <v>246024</v>
      </c>
      <c r="G1845" s="20">
        <f t="shared" si="28"/>
        <v>0.34219332871556496</v>
      </c>
      <c r="H1845" s="24" t="s">
        <v>583</v>
      </c>
      <c r="I1845" s="24" t="s">
        <v>569</v>
      </c>
      <c r="J1845" s="24" t="s">
        <v>593</v>
      </c>
      <c r="K1845" s="24" t="s">
        <v>598</v>
      </c>
    </row>
    <row r="1846" spans="1:11">
      <c r="A1846" s="12">
        <v>2017</v>
      </c>
      <c r="B1846" s="15" t="s">
        <v>488</v>
      </c>
      <c r="C1846" s="15" t="s">
        <v>496</v>
      </c>
      <c r="D1846" s="15" t="s">
        <v>497</v>
      </c>
      <c r="E1846" s="19">
        <v>35619</v>
      </c>
      <c r="F1846" s="19">
        <v>32872</v>
      </c>
      <c r="G1846" s="20">
        <f t="shared" si="28"/>
        <v>0.47994627031288783</v>
      </c>
      <c r="H1846" s="24" t="s">
        <v>583</v>
      </c>
      <c r="I1846" s="24" t="s">
        <v>569</v>
      </c>
      <c r="J1846" s="24" t="s">
        <v>593</v>
      </c>
      <c r="K1846" s="24" t="s">
        <v>598</v>
      </c>
    </row>
    <row r="1847" spans="1:11">
      <c r="A1847" s="12">
        <v>2017</v>
      </c>
      <c r="B1847" s="15" t="s">
        <v>488</v>
      </c>
      <c r="C1847" s="15" t="s">
        <v>498</v>
      </c>
      <c r="D1847" s="15" t="s">
        <v>499</v>
      </c>
      <c r="E1847" s="19">
        <v>89951</v>
      </c>
      <c r="F1847" s="19">
        <v>64095</v>
      </c>
      <c r="G1847" s="20">
        <f t="shared" si="28"/>
        <v>0.41607701595627278</v>
      </c>
      <c r="H1847" s="24" t="s">
        <v>583</v>
      </c>
      <c r="I1847" s="24" t="s">
        <v>569</v>
      </c>
      <c r="J1847" s="24" t="s">
        <v>593</v>
      </c>
      <c r="K1847" s="24" t="s">
        <v>598</v>
      </c>
    </row>
    <row r="1848" spans="1:11">
      <c r="A1848" s="12">
        <v>2017</v>
      </c>
      <c r="B1848" s="15" t="s">
        <v>488</v>
      </c>
      <c r="C1848" s="15" t="s">
        <v>500</v>
      </c>
      <c r="D1848" s="15" t="s">
        <v>501</v>
      </c>
      <c r="E1848" s="19">
        <v>96866</v>
      </c>
      <c r="F1848" s="19">
        <v>71516</v>
      </c>
      <c r="G1848" s="20">
        <f t="shared" si="28"/>
        <v>0.42472473304747538</v>
      </c>
      <c r="H1848" s="24" t="s">
        <v>583</v>
      </c>
      <c r="I1848" s="24" t="s">
        <v>569</v>
      </c>
      <c r="J1848" s="24" t="s">
        <v>593</v>
      </c>
      <c r="K1848" s="24" t="s">
        <v>598</v>
      </c>
    </row>
    <row r="1849" spans="1:11">
      <c r="A1849" s="12">
        <v>2017</v>
      </c>
      <c r="B1849" s="15" t="s">
        <v>488</v>
      </c>
      <c r="C1849" s="15" t="s">
        <v>502</v>
      </c>
      <c r="D1849" s="15" t="s">
        <v>503</v>
      </c>
      <c r="E1849" s="19">
        <v>25957</v>
      </c>
      <c r="F1849" s="19">
        <v>31125</v>
      </c>
      <c r="G1849" s="20">
        <f t="shared" si="28"/>
        <v>0.54526821064433617</v>
      </c>
      <c r="H1849" s="24" t="s">
        <v>583</v>
      </c>
      <c r="I1849" s="24" t="s">
        <v>569</v>
      </c>
      <c r="J1849" s="24" t="s">
        <v>593</v>
      </c>
      <c r="K1849" s="24" t="s">
        <v>598</v>
      </c>
    </row>
    <row r="1850" spans="1:11">
      <c r="A1850" s="12">
        <v>2017</v>
      </c>
      <c r="B1850" s="15" t="s">
        <v>488</v>
      </c>
      <c r="C1850" s="15" t="s">
        <v>504</v>
      </c>
      <c r="D1850" s="15" t="s">
        <v>505</v>
      </c>
      <c r="E1850" s="19">
        <v>291364</v>
      </c>
      <c r="F1850" s="19">
        <v>172511</v>
      </c>
      <c r="G1850" s="20">
        <f t="shared" si="28"/>
        <v>0.37189113446510375</v>
      </c>
      <c r="H1850" s="24" t="s">
        <v>583</v>
      </c>
      <c r="I1850" s="24" t="s">
        <v>569</v>
      </c>
      <c r="J1850" s="24" t="s">
        <v>593</v>
      </c>
      <c r="K1850" s="24" t="s">
        <v>598</v>
      </c>
    </row>
    <row r="1851" spans="1:11">
      <c r="A1851" s="12">
        <v>2017</v>
      </c>
      <c r="B1851" s="15" t="s">
        <v>488</v>
      </c>
      <c r="C1851" s="15" t="s">
        <v>506</v>
      </c>
      <c r="D1851" s="15" t="s">
        <v>507</v>
      </c>
      <c r="E1851" s="19">
        <v>20362</v>
      </c>
      <c r="F1851" s="19">
        <v>22977</v>
      </c>
      <c r="G1851" s="20">
        <f t="shared" si="28"/>
        <v>0.53016913172892777</v>
      </c>
      <c r="H1851" s="24" t="s">
        <v>583</v>
      </c>
      <c r="I1851" s="24" t="s">
        <v>569</v>
      </c>
      <c r="J1851" s="24" t="s">
        <v>593</v>
      </c>
      <c r="K1851" s="24" t="s">
        <v>598</v>
      </c>
    </row>
    <row r="1852" spans="1:11">
      <c r="A1852" s="12">
        <v>2017</v>
      </c>
      <c r="B1852" s="15" t="s">
        <v>488</v>
      </c>
      <c r="C1852" s="15" t="s">
        <v>508</v>
      </c>
      <c r="D1852" s="15" t="s">
        <v>509</v>
      </c>
      <c r="E1852" s="19">
        <v>310103</v>
      </c>
      <c r="F1852" s="19">
        <v>97518</v>
      </c>
      <c r="G1852" s="20">
        <f t="shared" si="28"/>
        <v>0.23923693823429118</v>
      </c>
      <c r="H1852" s="24" t="s">
        <v>583</v>
      </c>
      <c r="I1852" s="24" t="s">
        <v>569</v>
      </c>
      <c r="J1852" s="24" t="s">
        <v>593</v>
      </c>
      <c r="K1852" s="24" t="s">
        <v>598</v>
      </c>
    </row>
    <row r="1853" spans="1:11">
      <c r="A1853" s="12">
        <v>2017</v>
      </c>
      <c r="B1853" s="15" t="s">
        <v>488</v>
      </c>
      <c r="C1853" s="15" t="s">
        <v>510</v>
      </c>
      <c r="D1853" s="15" t="s">
        <v>511</v>
      </c>
      <c r="E1853" s="19">
        <v>49709</v>
      </c>
      <c r="F1853" s="19">
        <v>48891</v>
      </c>
      <c r="G1853" s="20">
        <f t="shared" si="28"/>
        <v>0.49585192697768765</v>
      </c>
      <c r="H1853" s="24" t="s">
        <v>583</v>
      </c>
      <c r="I1853" s="24" t="s">
        <v>569</v>
      </c>
      <c r="J1853" s="24" t="s">
        <v>593</v>
      </c>
      <c r="K1853" s="24" t="s">
        <v>598</v>
      </c>
    </row>
    <row r="1854" spans="1:11">
      <c r="A1854" s="12">
        <v>2017</v>
      </c>
      <c r="B1854" s="15" t="s">
        <v>488</v>
      </c>
      <c r="C1854" s="15" t="s">
        <v>512</v>
      </c>
      <c r="D1854" s="15" t="s">
        <v>513</v>
      </c>
      <c r="E1854" s="19">
        <v>149483</v>
      </c>
      <c r="F1854" s="19">
        <v>119217</v>
      </c>
      <c r="G1854" s="20">
        <f t="shared" si="28"/>
        <v>0.44368068477856343</v>
      </c>
      <c r="H1854" s="24" t="s">
        <v>583</v>
      </c>
      <c r="I1854" s="24" t="s">
        <v>569</v>
      </c>
      <c r="J1854" s="24" t="s">
        <v>593</v>
      </c>
      <c r="K1854" s="24" t="s">
        <v>598</v>
      </c>
    </row>
    <row r="1855" spans="1:11">
      <c r="A1855" s="12">
        <v>2017</v>
      </c>
      <c r="B1855" s="15" t="s">
        <v>488</v>
      </c>
      <c r="C1855" s="15" t="s">
        <v>514</v>
      </c>
      <c r="D1855" s="15" t="s">
        <v>515</v>
      </c>
      <c r="E1855" s="19">
        <v>169567</v>
      </c>
      <c r="F1855" s="19">
        <v>130225</v>
      </c>
      <c r="G1855" s="20">
        <f t="shared" si="28"/>
        <v>0.43438450659123656</v>
      </c>
      <c r="H1855" s="24" t="s">
        <v>583</v>
      </c>
      <c r="I1855" s="24" t="s">
        <v>569</v>
      </c>
      <c r="J1855" s="24" t="s">
        <v>593</v>
      </c>
      <c r="K1855" s="24" t="s">
        <v>598</v>
      </c>
    </row>
    <row r="1856" spans="1:11">
      <c r="A1856" s="12">
        <v>2017</v>
      </c>
      <c r="B1856" s="15" t="s">
        <v>488</v>
      </c>
      <c r="C1856" s="15" t="s">
        <v>516</v>
      </c>
      <c r="D1856" s="15" t="s">
        <v>517</v>
      </c>
      <c r="E1856" s="19">
        <v>191553</v>
      </c>
      <c r="F1856" s="19">
        <v>143828</v>
      </c>
      <c r="G1856" s="20">
        <f t="shared" si="28"/>
        <v>0.42884957704819293</v>
      </c>
      <c r="H1856" s="24" t="s">
        <v>583</v>
      </c>
      <c r="I1856" s="24" t="s">
        <v>569</v>
      </c>
      <c r="J1856" s="24" t="s">
        <v>593</v>
      </c>
      <c r="K1856" s="24" t="s">
        <v>598</v>
      </c>
    </row>
    <row r="1857" spans="1:11">
      <c r="A1857" s="12">
        <v>2017</v>
      </c>
      <c r="B1857" s="15" t="s">
        <v>488</v>
      </c>
      <c r="C1857" s="15" t="s">
        <v>518</v>
      </c>
      <c r="D1857" s="15" t="s">
        <v>519</v>
      </c>
      <c r="E1857" s="19">
        <v>200231</v>
      </c>
      <c r="F1857" s="19">
        <v>180272</v>
      </c>
      <c r="G1857" s="20">
        <f t="shared" si="28"/>
        <v>0.47377287432687787</v>
      </c>
      <c r="H1857" s="24" t="s">
        <v>583</v>
      </c>
      <c r="I1857" s="24" t="s">
        <v>569</v>
      </c>
      <c r="J1857" s="24" t="s">
        <v>593</v>
      </c>
      <c r="K1857" s="24" t="s">
        <v>598</v>
      </c>
    </row>
    <row r="1858" spans="1:11">
      <c r="A1858" s="12">
        <v>2017</v>
      </c>
      <c r="B1858" s="15" t="s">
        <v>488</v>
      </c>
      <c r="C1858" s="15" t="s">
        <v>520</v>
      </c>
      <c r="D1858" s="15" t="s">
        <v>521</v>
      </c>
      <c r="E1858" s="19">
        <v>162360</v>
      </c>
      <c r="F1858" s="19">
        <v>116348</v>
      </c>
      <c r="G1858" s="20">
        <f t="shared" si="28"/>
        <v>0.4174548272744234</v>
      </c>
      <c r="H1858" s="24" t="s">
        <v>583</v>
      </c>
      <c r="I1858" s="24" t="s">
        <v>569</v>
      </c>
      <c r="J1858" s="24" t="s">
        <v>593</v>
      </c>
      <c r="K1858" s="24" t="s">
        <v>598</v>
      </c>
    </row>
    <row r="1859" spans="1:11">
      <c r="A1859" s="12">
        <v>2017</v>
      </c>
      <c r="B1859" s="15" t="s">
        <v>488</v>
      </c>
      <c r="C1859" s="15" t="s">
        <v>522</v>
      </c>
      <c r="D1859" s="15" t="s">
        <v>523</v>
      </c>
      <c r="E1859" s="19">
        <v>120953</v>
      </c>
      <c r="F1859" s="19">
        <v>59901</v>
      </c>
      <c r="G1859" s="20">
        <f t="shared" si="28"/>
        <v>0.33121191679476264</v>
      </c>
      <c r="H1859" s="24" t="s">
        <v>583</v>
      </c>
      <c r="I1859" s="24" t="s">
        <v>569</v>
      </c>
      <c r="J1859" s="24" t="s">
        <v>593</v>
      </c>
      <c r="K1859" s="24" t="s">
        <v>598</v>
      </c>
    </row>
    <row r="1860" spans="1:11">
      <c r="A1860" s="12">
        <v>2017</v>
      </c>
      <c r="B1860" s="15" t="s">
        <v>488</v>
      </c>
      <c r="C1860" s="15" t="s">
        <v>524</v>
      </c>
      <c r="D1860" s="15" t="s">
        <v>525</v>
      </c>
      <c r="E1860" s="19">
        <v>35400</v>
      </c>
      <c r="F1860" s="19">
        <v>38112</v>
      </c>
      <c r="G1860" s="20">
        <f t="shared" si="28"/>
        <v>0.51844596800522369</v>
      </c>
      <c r="H1860" s="24" t="s">
        <v>583</v>
      </c>
      <c r="I1860" s="24" t="s">
        <v>569</v>
      </c>
      <c r="J1860" s="24" t="s">
        <v>593</v>
      </c>
      <c r="K1860" s="24" t="s">
        <v>598</v>
      </c>
    </row>
    <row r="1861" spans="1:11">
      <c r="A1861" s="12">
        <v>2017</v>
      </c>
      <c r="B1861" s="15" t="s">
        <v>488</v>
      </c>
      <c r="C1861" s="15" t="s">
        <v>526</v>
      </c>
      <c r="D1861" s="15" t="s">
        <v>527</v>
      </c>
      <c r="E1861" s="19">
        <v>48577</v>
      </c>
      <c r="F1861" s="19">
        <v>57481</v>
      </c>
      <c r="G1861" s="20">
        <f t="shared" si="28"/>
        <v>0.54197703143562959</v>
      </c>
      <c r="H1861" s="24" t="s">
        <v>583</v>
      </c>
      <c r="I1861" s="24" t="s">
        <v>569</v>
      </c>
      <c r="J1861" s="24" t="s">
        <v>593</v>
      </c>
      <c r="K1861" s="24" t="s">
        <v>598</v>
      </c>
    </row>
    <row r="1862" spans="1:11">
      <c r="A1862" s="12">
        <v>2017</v>
      </c>
      <c r="B1862" s="15" t="s">
        <v>488</v>
      </c>
      <c r="C1862" s="15" t="s">
        <v>528</v>
      </c>
      <c r="D1862" s="15" t="s">
        <v>529</v>
      </c>
      <c r="E1862" s="19">
        <v>32460</v>
      </c>
      <c r="F1862" s="19">
        <v>30449</v>
      </c>
      <c r="G1862" s="20">
        <f t="shared" ref="G1862:G1925" si="29">IFERROR(F1862/(E1862+F1862),"")</f>
        <v>0.48401659539970432</v>
      </c>
      <c r="H1862" s="24" t="s">
        <v>583</v>
      </c>
      <c r="I1862" s="24" t="s">
        <v>569</v>
      </c>
      <c r="J1862" s="24" t="s">
        <v>593</v>
      </c>
      <c r="K1862" s="24" t="s">
        <v>598</v>
      </c>
    </row>
    <row r="1863" spans="1:11">
      <c r="A1863" s="12">
        <v>2017</v>
      </c>
      <c r="B1863" s="15" t="s">
        <v>488</v>
      </c>
      <c r="C1863" s="15" t="s">
        <v>530</v>
      </c>
      <c r="D1863" s="15" t="s">
        <v>531</v>
      </c>
      <c r="E1863" s="19">
        <v>35724</v>
      </c>
      <c r="F1863" s="19">
        <v>35155</v>
      </c>
      <c r="G1863" s="20">
        <f t="shared" si="29"/>
        <v>0.49598611718562619</v>
      </c>
      <c r="H1863" s="24" t="s">
        <v>583</v>
      </c>
      <c r="I1863" s="24" t="s">
        <v>569</v>
      </c>
      <c r="J1863" s="24" t="s">
        <v>593</v>
      </c>
      <c r="K1863" s="24" t="s">
        <v>598</v>
      </c>
    </row>
    <row r="1864" spans="1:11">
      <c r="A1864" s="12">
        <v>2017</v>
      </c>
      <c r="B1864" s="15" t="s">
        <v>532</v>
      </c>
      <c r="C1864" s="15" t="s">
        <v>22</v>
      </c>
      <c r="D1864" s="15" t="s">
        <v>532</v>
      </c>
      <c r="E1864" s="19">
        <v>596193</v>
      </c>
      <c r="F1864" s="19">
        <v>129661</v>
      </c>
      <c r="G1864" s="20">
        <f t="shared" si="29"/>
        <v>0.17863234204123693</v>
      </c>
      <c r="H1864" s="24" t="s">
        <v>586</v>
      </c>
      <c r="I1864" s="24" t="s">
        <v>587</v>
      </c>
      <c r="J1864" s="24" t="s">
        <v>588</v>
      </c>
      <c r="K1864" s="24" t="s">
        <v>598</v>
      </c>
    </row>
    <row r="1865" spans="1:11">
      <c r="A1865" s="12">
        <v>2017</v>
      </c>
      <c r="B1865" s="15" t="s">
        <v>532</v>
      </c>
      <c r="C1865" s="15" t="s">
        <v>533</v>
      </c>
      <c r="D1865" s="15" t="s">
        <v>534</v>
      </c>
      <c r="E1865" s="19">
        <v>145498</v>
      </c>
      <c r="F1865" s="19">
        <v>109970</v>
      </c>
      <c r="G1865" s="20">
        <f t="shared" si="29"/>
        <v>0.43046487231277497</v>
      </c>
      <c r="H1865" s="24" t="s">
        <v>586</v>
      </c>
      <c r="I1865" s="24" t="s">
        <v>587</v>
      </c>
      <c r="J1865" s="24" t="s">
        <v>588</v>
      </c>
      <c r="K1865" s="24" t="s">
        <v>598</v>
      </c>
    </row>
    <row r="1866" spans="1:11">
      <c r="A1866" s="12">
        <v>2017</v>
      </c>
      <c r="B1866" s="15" t="s">
        <v>532</v>
      </c>
      <c r="C1866" s="15" t="s">
        <v>535</v>
      </c>
      <c r="D1866" s="15" t="s">
        <v>536</v>
      </c>
      <c r="E1866" s="19">
        <v>433886</v>
      </c>
      <c r="F1866" s="19">
        <v>105249</v>
      </c>
      <c r="G1866" s="20">
        <f t="shared" si="29"/>
        <v>0.19521826629693861</v>
      </c>
      <c r="H1866" s="24" t="s">
        <v>586</v>
      </c>
      <c r="I1866" s="24" t="s">
        <v>587</v>
      </c>
      <c r="J1866" s="24" t="s">
        <v>588</v>
      </c>
      <c r="K1866" s="24" t="s">
        <v>598</v>
      </c>
    </row>
    <row r="1867" spans="1:11">
      <c r="A1867" s="12">
        <v>2018</v>
      </c>
      <c r="B1867" s="15" t="s">
        <v>21</v>
      </c>
      <c r="C1867" s="15" t="s">
        <v>22</v>
      </c>
      <c r="D1867" s="15" t="s">
        <v>21</v>
      </c>
      <c r="E1867" s="19">
        <v>8894050</v>
      </c>
      <c r="F1867" s="19">
        <v>2216615</v>
      </c>
      <c r="G1867" s="20">
        <f t="shared" si="29"/>
        <v>0.1995033600599064</v>
      </c>
      <c r="H1867" s="24" t="s">
        <v>579</v>
      </c>
      <c r="I1867" s="24" t="s">
        <v>596</v>
      </c>
      <c r="J1867" s="24" t="s">
        <v>597</v>
      </c>
      <c r="K1867" s="24" t="s">
        <v>599</v>
      </c>
    </row>
    <row r="1868" spans="1:11">
      <c r="A1868" s="12">
        <v>2018</v>
      </c>
      <c r="B1868" s="15" t="s">
        <v>21</v>
      </c>
      <c r="C1868" s="15" t="s">
        <v>23</v>
      </c>
      <c r="D1868" s="15" t="s">
        <v>24</v>
      </c>
      <c r="E1868" s="19">
        <v>436901</v>
      </c>
      <c r="F1868" s="19">
        <v>366980</v>
      </c>
      <c r="G1868" s="20">
        <f t="shared" si="29"/>
        <v>0.45651035414445673</v>
      </c>
      <c r="H1868" s="24" t="s">
        <v>579</v>
      </c>
      <c r="I1868" s="24" t="s">
        <v>596</v>
      </c>
      <c r="J1868" s="24" t="s">
        <v>597</v>
      </c>
      <c r="K1868" s="24" t="s">
        <v>599</v>
      </c>
    </row>
    <row r="1869" spans="1:11">
      <c r="A1869" s="12">
        <v>2018</v>
      </c>
      <c r="B1869" s="15" t="s">
        <v>21</v>
      </c>
      <c r="C1869" s="15" t="s">
        <v>25</v>
      </c>
      <c r="D1869" s="15" t="s">
        <v>26</v>
      </c>
      <c r="E1869" s="19">
        <v>357366</v>
      </c>
      <c r="F1869" s="19">
        <v>241120</v>
      </c>
      <c r="G1869" s="20">
        <f t="shared" si="29"/>
        <v>0.40288327546509023</v>
      </c>
      <c r="H1869" s="24" t="s">
        <v>579</v>
      </c>
      <c r="I1869" s="24" t="s">
        <v>596</v>
      </c>
      <c r="J1869" s="24" t="s">
        <v>597</v>
      </c>
      <c r="K1869" s="24" t="s">
        <v>599</v>
      </c>
    </row>
    <row r="1870" spans="1:11">
      <c r="A1870" s="12">
        <v>2018</v>
      </c>
      <c r="B1870" s="15" t="s">
        <v>21</v>
      </c>
      <c r="C1870" s="15" t="s">
        <v>27</v>
      </c>
      <c r="D1870" s="15" t="s">
        <v>28</v>
      </c>
      <c r="E1870" s="19">
        <v>251276</v>
      </c>
      <c r="F1870" s="19">
        <v>221070</v>
      </c>
      <c r="G1870" s="20">
        <f t="shared" si="29"/>
        <v>0.46802555753621289</v>
      </c>
      <c r="H1870" s="24" t="s">
        <v>579</v>
      </c>
      <c r="I1870" s="24" t="s">
        <v>596</v>
      </c>
      <c r="J1870" s="24" t="s">
        <v>597</v>
      </c>
      <c r="K1870" s="24" t="s">
        <v>599</v>
      </c>
    </row>
    <row r="1871" spans="1:11">
      <c r="A1871" s="12">
        <v>2018</v>
      </c>
      <c r="B1871" s="15" t="s">
        <v>21</v>
      </c>
      <c r="C1871" s="15" t="s">
        <v>29</v>
      </c>
      <c r="D1871" s="15" t="s">
        <v>30</v>
      </c>
      <c r="E1871" s="19">
        <v>479964</v>
      </c>
      <c r="F1871" s="19">
        <v>403072</v>
      </c>
      <c r="G1871" s="20">
        <f t="shared" si="29"/>
        <v>0.4564615712156696</v>
      </c>
      <c r="H1871" s="24" t="s">
        <v>579</v>
      </c>
      <c r="I1871" s="24" t="s">
        <v>596</v>
      </c>
      <c r="J1871" s="24" t="s">
        <v>597</v>
      </c>
      <c r="K1871" s="24" t="s">
        <v>599</v>
      </c>
    </row>
    <row r="1872" spans="1:11">
      <c r="A1872" s="12">
        <v>2018</v>
      </c>
      <c r="B1872" s="15" t="s">
        <v>21</v>
      </c>
      <c r="C1872" s="15" t="s">
        <v>31</v>
      </c>
      <c r="D1872" s="15" t="s">
        <v>32</v>
      </c>
      <c r="E1872" s="19">
        <v>381601</v>
      </c>
      <c r="F1872" s="19">
        <v>359190</v>
      </c>
      <c r="G1872" s="20">
        <f t="shared" si="29"/>
        <v>0.48487360132615004</v>
      </c>
      <c r="H1872" s="24" t="s">
        <v>579</v>
      </c>
      <c r="I1872" s="24" t="s">
        <v>596</v>
      </c>
      <c r="J1872" s="24" t="s">
        <v>597</v>
      </c>
      <c r="K1872" s="24" t="s">
        <v>599</v>
      </c>
    </row>
    <row r="1873" spans="1:11">
      <c r="A1873" s="12">
        <v>2018</v>
      </c>
      <c r="B1873" s="15" t="s">
        <v>21</v>
      </c>
      <c r="C1873" s="15" t="s">
        <v>33</v>
      </c>
      <c r="D1873" s="15" t="s">
        <v>34</v>
      </c>
      <c r="E1873" s="19">
        <v>286311</v>
      </c>
      <c r="F1873" s="19">
        <v>232483</v>
      </c>
      <c r="G1873" s="20">
        <f t="shared" si="29"/>
        <v>0.44812199061669949</v>
      </c>
      <c r="H1873" s="24" t="s">
        <v>579</v>
      </c>
      <c r="I1873" s="24" t="s">
        <v>596</v>
      </c>
      <c r="J1873" s="24" t="s">
        <v>597</v>
      </c>
      <c r="K1873" s="24" t="s">
        <v>599</v>
      </c>
    </row>
    <row r="1874" spans="1:11">
      <c r="A1874" s="12">
        <v>2018</v>
      </c>
      <c r="B1874" s="15" t="s">
        <v>21</v>
      </c>
      <c r="C1874" s="15" t="s">
        <v>35</v>
      </c>
      <c r="D1874" s="15" t="s">
        <v>36</v>
      </c>
      <c r="E1874" s="19">
        <v>335956</v>
      </c>
      <c r="F1874" s="19">
        <v>287994</v>
      </c>
      <c r="G1874" s="20">
        <f t="shared" si="29"/>
        <v>0.46156583059540029</v>
      </c>
      <c r="H1874" s="24" t="s">
        <v>579</v>
      </c>
      <c r="I1874" s="24" t="s">
        <v>596</v>
      </c>
      <c r="J1874" s="24" t="s">
        <v>597</v>
      </c>
      <c r="K1874" s="24" t="s">
        <v>599</v>
      </c>
    </row>
    <row r="1875" spans="1:11">
      <c r="A1875" s="12">
        <v>2018</v>
      </c>
      <c r="B1875" s="15" t="s">
        <v>21</v>
      </c>
      <c r="C1875" s="15" t="s">
        <v>37</v>
      </c>
      <c r="D1875" s="15" t="s">
        <v>38</v>
      </c>
      <c r="E1875" s="19">
        <v>188441</v>
      </c>
      <c r="F1875" s="19">
        <v>173996</v>
      </c>
      <c r="G1875" s="20">
        <f t="shared" si="29"/>
        <v>0.48007239878930685</v>
      </c>
      <c r="H1875" s="24" t="s">
        <v>579</v>
      </c>
      <c r="I1875" s="24" t="s">
        <v>596</v>
      </c>
      <c r="J1875" s="24" t="s">
        <v>597</v>
      </c>
      <c r="K1875" s="24" t="s">
        <v>599</v>
      </c>
    </row>
    <row r="1876" spans="1:11">
      <c r="A1876" s="12">
        <v>2018</v>
      </c>
      <c r="B1876" s="15" t="s">
        <v>21</v>
      </c>
      <c r="C1876" s="15" t="s">
        <v>39</v>
      </c>
      <c r="D1876" s="15" t="s">
        <v>40</v>
      </c>
      <c r="E1876" s="19">
        <v>445059</v>
      </c>
      <c r="F1876" s="19">
        <v>324088</v>
      </c>
      <c r="G1876" s="20">
        <f t="shared" si="29"/>
        <v>0.42136028613516013</v>
      </c>
      <c r="H1876" s="24" t="s">
        <v>579</v>
      </c>
      <c r="I1876" s="24" t="s">
        <v>596</v>
      </c>
      <c r="J1876" s="24" t="s">
        <v>597</v>
      </c>
      <c r="K1876" s="24" t="s">
        <v>599</v>
      </c>
    </row>
    <row r="1877" spans="1:11">
      <c r="A1877" s="12">
        <v>2018</v>
      </c>
      <c r="B1877" s="15" t="s">
        <v>21</v>
      </c>
      <c r="C1877" s="15" t="s">
        <v>41</v>
      </c>
      <c r="D1877" s="15" t="s">
        <v>42</v>
      </c>
      <c r="E1877" s="19">
        <v>264738</v>
      </c>
      <c r="F1877" s="19">
        <v>240379</v>
      </c>
      <c r="G1877" s="20">
        <f t="shared" si="29"/>
        <v>0.47588776461691051</v>
      </c>
      <c r="H1877" s="24" t="s">
        <v>579</v>
      </c>
      <c r="I1877" s="24" t="s">
        <v>596</v>
      </c>
      <c r="J1877" s="24" t="s">
        <v>597</v>
      </c>
      <c r="K1877" s="24" t="s">
        <v>599</v>
      </c>
    </row>
    <row r="1878" spans="1:11">
      <c r="A1878" s="12">
        <v>2018</v>
      </c>
      <c r="B1878" s="15" t="s">
        <v>21</v>
      </c>
      <c r="C1878" s="15" t="s">
        <v>43</v>
      </c>
      <c r="D1878" s="15" t="s">
        <v>44</v>
      </c>
      <c r="E1878" s="19">
        <v>272991</v>
      </c>
      <c r="F1878" s="19">
        <v>225418</v>
      </c>
      <c r="G1878" s="20">
        <f t="shared" si="29"/>
        <v>0.45227513949386949</v>
      </c>
      <c r="H1878" s="24" t="s">
        <v>579</v>
      </c>
      <c r="I1878" s="24" t="s">
        <v>596</v>
      </c>
      <c r="J1878" s="24" t="s">
        <v>597</v>
      </c>
      <c r="K1878" s="24" t="s">
        <v>599</v>
      </c>
    </row>
    <row r="1879" spans="1:11">
      <c r="A1879" s="12">
        <v>2018</v>
      </c>
      <c r="B1879" s="15" t="s">
        <v>21</v>
      </c>
      <c r="C1879" s="15" t="s">
        <v>45</v>
      </c>
      <c r="D1879" s="15" t="s">
        <v>46</v>
      </c>
      <c r="E1879" s="19">
        <v>298355</v>
      </c>
      <c r="F1879" s="19">
        <v>291709</v>
      </c>
      <c r="G1879" s="20">
        <f t="shared" si="29"/>
        <v>0.49436840749478023</v>
      </c>
      <c r="H1879" s="24" t="s">
        <v>579</v>
      </c>
      <c r="I1879" s="24" t="s">
        <v>596</v>
      </c>
      <c r="J1879" s="24" t="s">
        <v>597</v>
      </c>
      <c r="K1879" s="24" t="s">
        <v>599</v>
      </c>
    </row>
    <row r="1880" spans="1:11">
      <c r="A1880" s="12">
        <v>2018</v>
      </c>
      <c r="B1880" s="15" t="s">
        <v>21</v>
      </c>
      <c r="C1880" s="15" t="s">
        <v>47</v>
      </c>
      <c r="D1880" s="15" t="s">
        <v>48</v>
      </c>
      <c r="E1880" s="19">
        <v>291732</v>
      </c>
      <c r="F1880" s="19">
        <v>274442</v>
      </c>
      <c r="G1880" s="20">
        <f t="shared" si="29"/>
        <v>0.48473084246185799</v>
      </c>
      <c r="H1880" s="24" t="s">
        <v>579</v>
      </c>
      <c r="I1880" s="24" t="s">
        <v>596</v>
      </c>
      <c r="J1880" s="24" t="s">
        <v>597</v>
      </c>
      <c r="K1880" s="24" t="s">
        <v>599</v>
      </c>
    </row>
    <row r="1881" spans="1:11">
      <c r="A1881" s="12">
        <v>2018</v>
      </c>
      <c r="B1881" s="15" t="s">
        <v>21</v>
      </c>
      <c r="C1881" s="15" t="s">
        <v>49</v>
      </c>
      <c r="D1881" s="15" t="s">
        <v>50</v>
      </c>
      <c r="E1881" s="19">
        <v>229982</v>
      </c>
      <c r="F1881" s="19">
        <v>229754</v>
      </c>
      <c r="G1881" s="20">
        <f t="shared" si="29"/>
        <v>0.49975203160074477</v>
      </c>
      <c r="H1881" s="24" t="s">
        <v>579</v>
      </c>
      <c r="I1881" s="24" t="s">
        <v>596</v>
      </c>
      <c r="J1881" s="24" t="s">
        <v>597</v>
      </c>
      <c r="K1881" s="24" t="s">
        <v>599</v>
      </c>
    </row>
    <row r="1882" spans="1:11">
      <c r="A1882" s="12">
        <v>2018</v>
      </c>
      <c r="B1882" s="15" t="s">
        <v>21</v>
      </c>
      <c r="C1882" s="15" t="s">
        <v>51</v>
      </c>
      <c r="D1882" s="15" t="s">
        <v>52</v>
      </c>
      <c r="E1882" s="19">
        <v>327460</v>
      </c>
      <c r="F1882" s="19">
        <v>328078</v>
      </c>
      <c r="G1882" s="20">
        <f t="shared" si="29"/>
        <v>0.50047136855529351</v>
      </c>
      <c r="H1882" s="24" t="s">
        <v>579</v>
      </c>
      <c r="I1882" s="24" t="s">
        <v>596</v>
      </c>
      <c r="J1882" s="24" t="s">
        <v>597</v>
      </c>
      <c r="K1882" s="24" t="s">
        <v>599</v>
      </c>
    </row>
    <row r="1883" spans="1:11">
      <c r="A1883" s="12">
        <v>2018</v>
      </c>
      <c r="B1883" s="15" t="s">
        <v>21</v>
      </c>
      <c r="C1883" s="15" t="s">
        <v>53</v>
      </c>
      <c r="D1883" s="15" t="s">
        <v>54</v>
      </c>
      <c r="E1883" s="19">
        <v>227816</v>
      </c>
      <c r="F1883" s="19">
        <v>229797</v>
      </c>
      <c r="G1883" s="20">
        <f t="shared" si="29"/>
        <v>0.50216449270453423</v>
      </c>
      <c r="H1883" s="24" t="s">
        <v>579</v>
      </c>
      <c r="I1883" s="24" t="s">
        <v>596</v>
      </c>
      <c r="J1883" s="24" t="s">
        <v>597</v>
      </c>
      <c r="K1883" s="24" t="s">
        <v>599</v>
      </c>
    </row>
    <row r="1884" spans="1:11">
      <c r="A1884" s="12">
        <v>2018</v>
      </c>
      <c r="B1884" s="15" t="s">
        <v>21</v>
      </c>
      <c r="C1884" s="15" t="s">
        <v>55</v>
      </c>
      <c r="D1884" s="15" t="s">
        <v>56</v>
      </c>
      <c r="E1884" s="19">
        <v>334576</v>
      </c>
      <c r="F1884" s="19">
        <v>309658</v>
      </c>
      <c r="G1884" s="20">
        <f t="shared" si="29"/>
        <v>0.48066075370129485</v>
      </c>
      <c r="H1884" s="24" t="s">
        <v>579</v>
      </c>
      <c r="I1884" s="24" t="s">
        <v>596</v>
      </c>
      <c r="J1884" s="24" t="s">
        <v>597</v>
      </c>
      <c r="K1884" s="24" t="s">
        <v>599</v>
      </c>
    </row>
    <row r="1885" spans="1:11">
      <c r="A1885" s="12">
        <v>2018</v>
      </c>
      <c r="B1885" s="15" t="s">
        <v>21</v>
      </c>
      <c r="C1885" s="15" t="s">
        <v>57</v>
      </c>
      <c r="D1885" s="15" t="s">
        <v>58</v>
      </c>
      <c r="E1885" s="19">
        <v>541163</v>
      </c>
      <c r="F1885" s="19">
        <v>431941</v>
      </c>
      <c r="G1885" s="20">
        <f t="shared" si="29"/>
        <v>0.44387958532695376</v>
      </c>
      <c r="H1885" s="24" t="s">
        <v>579</v>
      </c>
      <c r="I1885" s="24" t="s">
        <v>596</v>
      </c>
      <c r="J1885" s="24" t="s">
        <v>597</v>
      </c>
      <c r="K1885" s="24" t="s">
        <v>599</v>
      </c>
    </row>
    <row r="1886" spans="1:11">
      <c r="A1886" s="12">
        <v>2018</v>
      </c>
      <c r="B1886" s="15" t="s">
        <v>21</v>
      </c>
      <c r="C1886" s="15" t="s">
        <v>59</v>
      </c>
      <c r="D1886" s="15" t="s">
        <v>60</v>
      </c>
      <c r="E1886" s="19">
        <v>368319</v>
      </c>
      <c r="F1886" s="19">
        <v>323098</v>
      </c>
      <c r="G1886" s="20">
        <f t="shared" si="29"/>
        <v>0.46729831635612085</v>
      </c>
      <c r="H1886" s="24" t="s">
        <v>579</v>
      </c>
      <c r="I1886" s="24" t="s">
        <v>596</v>
      </c>
      <c r="J1886" s="24" t="s">
        <v>597</v>
      </c>
      <c r="K1886" s="24" t="s">
        <v>599</v>
      </c>
    </row>
    <row r="1887" spans="1:11">
      <c r="A1887" s="12">
        <v>2018</v>
      </c>
      <c r="B1887" s="15" t="s">
        <v>21</v>
      </c>
      <c r="C1887" s="15" t="s">
        <v>61</v>
      </c>
      <c r="D1887" s="15" t="s">
        <v>62</v>
      </c>
      <c r="E1887" s="19">
        <v>304330</v>
      </c>
      <c r="F1887" s="19">
        <v>270340</v>
      </c>
      <c r="G1887" s="20">
        <f t="shared" si="29"/>
        <v>0.47042650564671901</v>
      </c>
      <c r="H1887" s="24" t="s">
        <v>579</v>
      </c>
      <c r="I1887" s="24" t="s">
        <v>596</v>
      </c>
      <c r="J1887" s="24" t="s">
        <v>597</v>
      </c>
      <c r="K1887" s="24" t="s">
        <v>599</v>
      </c>
    </row>
    <row r="1888" spans="1:11">
      <c r="A1888" s="12">
        <v>2018</v>
      </c>
      <c r="B1888" s="15" t="s">
        <v>21</v>
      </c>
      <c r="C1888" s="15" t="s">
        <v>63</v>
      </c>
      <c r="D1888" s="15" t="s">
        <v>64</v>
      </c>
      <c r="E1888" s="19">
        <v>153444</v>
      </c>
      <c r="F1888" s="19">
        <v>176034</v>
      </c>
      <c r="G1888" s="20">
        <f t="shared" si="29"/>
        <v>0.53428149982699902</v>
      </c>
      <c r="H1888" s="24" t="s">
        <v>579</v>
      </c>
      <c r="I1888" s="24" t="s">
        <v>596</v>
      </c>
      <c r="J1888" s="24" t="s">
        <v>597</v>
      </c>
      <c r="K1888" s="24" t="s">
        <v>599</v>
      </c>
    </row>
    <row r="1889" spans="1:11">
      <c r="A1889" s="12">
        <v>2018</v>
      </c>
      <c r="B1889" s="15" t="s">
        <v>21</v>
      </c>
      <c r="C1889" s="15" t="s">
        <v>65</v>
      </c>
      <c r="D1889" s="15" t="s">
        <v>66</v>
      </c>
      <c r="E1889" s="19">
        <v>388190</v>
      </c>
      <c r="F1889" s="19">
        <v>309277</v>
      </c>
      <c r="G1889" s="20">
        <f t="shared" si="29"/>
        <v>0.44342886473481902</v>
      </c>
      <c r="H1889" s="24" t="s">
        <v>579</v>
      </c>
      <c r="I1889" s="24" t="s">
        <v>596</v>
      </c>
      <c r="J1889" s="24" t="s">
        <v>597</v>
      </c>
      <c r="K1889" s="24" t="s">
        <v>599</v>
      </c>
    </row>
    <row r="1890" spans="1:11">
      <c r="A1890" s="12">
        <v>2018</v>
      </c>
      <c r="B1890" s="15" t="s">
        <v>21</v>
      </c>
      <c r="C1890" s="15" t="s">
        <v>67</v>
      </c>
      <c r="D1890" s="15" t="s">
        <v>68</v>
      </c>
      <c r="E1890" s="19">
        <v>111444</v>
      </c>
      <c r="F1890" s="19">
        <v>116029</v>
      </c>
      <c r="G1890" s="20">
        <f t="shared" si="29"/>
        <v>0.510078119161395</v>
      </c>
      <c r="H1890" s="24" t="s">
        <v>579</v>
      </c>
      <c r="I1890" s="24" t="s">
        <v>596</v>
      </c>
      <c r="J1890" s="24" t="s">
        <v>597</v>
      </c>
      <c r="K1890" s="24" t="s">
        <v>599</v>
      </c>
    </row>
    <row r="1891" spans="1:11">
      <c r="A1891" s="12">
        <v>2018</v>
      </c>
      <c r="B1891" s="15" t="s">
        <v>21</v>
      </c>
      <c r="C1891" s="15" t="s">
        <v>69</v>
      </c>
      <c r="D1891" s="15" t="s">
        <v>70</v>
      </c>
      <c r="E1891" s="19">
        <v>95410</v>
      </c>
      <c r="F1891" s="19">
        <v>98664</v>
      </c>
      <c r="G1891" s="20">
        <f t="shared" si="29"/>
        <v>0.50838340014633598</v>
      </c>
      <c r="H1891" s="24" t="s">
        <v>579</v>
      </c>
      <c r="I1891" s="24" t="s">
        <v>596</v>
      </c>
      <c r="J1891" s="24" t="s">
        <v>597</v>
      </c>
      <c r="K1891" s="24" t="s">
        <v>599</v>
      </c>
    </row>
    <row r="1892" spans="1:11">
      <c r="A1892" s="12">
        <v>2018</v>
      </c>
      <c r="B1892" s="15" t="s">
        <v>21</v>
      </c>
      <c r="C1892" s="15" t="s">
        <v>71</v>
      </c>
      <c r="D1892" s="15" t="s">
        <v>72</v>
      </c>
      <c r="E1892" s="19">
        <v>320274</v>
      </c>
      <c r="F1892" s="19">
        <v>269487</v>
      </c>
      <c r="G1892" s="20">
        <f t="shared" si="29"/>
        <v>0.45694272764730121</v>
      </c>
      <c r="H1892" s="24" t="s">
        <v>579</v>
      </c>
      <c r="I1892" s="24" t="s">
        <v>596</v>
      </c>
      <c r="J1892" s="24" t="s">
        <v>597</v>
      </c>
      <c r="K1892" s="24" t="s">
        <v>599</v>
      </c>
    </row>
    <row r="1893" spans="1:11">
      <c r="A1893" s="12">
        <v>2018</v>
      </c>
      <c r="B1893" s="15" t="s">
        <v>73</v>
      </c>
      <c r="C1893" s="15" t="s">
        <v>22</v>
      </c>
      <c r="D1893" s="15" t="s">
        <v>73</v>
      </c>
      <c r="E1893" s="19">
        <v>3152603</v>
      </c>
      <c r="F1893" s="19">
        <v>661616</v>
      </c>
      <c r="G1893" s="20">
        <f t="shared" si="29"/>
        <v>0.17346041221020608</v>
      </c>
      <c r="H1893" s="24" t="s">
        <v>583</v>
      </c>
      <c r="I1893" s="24" t="s">
        <v>584</v>
      </c>
      <c r="J1893" s="24" t="s">
        <v>585</v>
      </c>
      <c r="K1893" s="24" t="s">
        <v>599</v>
      </c>
    </row>
    <row r="1894" spans="1:11">
      <c r="A1894" s="12">
        <v>2018</v>
      </c>
      <c r="B1894" s="15" t="s">
        <v>73</v>
      </c>
      <c r="C1894" s="15" t="s">
        <v>29</v>
      </c>
      <c r="D1894" s="15" t="s">
        <v>74</v>
      </c>
      <c r="E1894" s="19">
        <v>88621</v>
      </c>
      <c r="F1894" s="19">
        <v>104049</v>
      </c>
      <c r="G1894" s="20">
        <f t="shared" si="29"/>
        <v>0.54003736959568172</v>
      </c>
      <c r="H1894" s="24" t="s">
        <v>583</v>
      </c>
      <c r="I1894" s="24" t="s">
        <v>584</v>
      </c>
      <c r="J1894" s="24" t="s">
        <v>585</v>
      </c>
      <c r="K1894" s="24" t="s">
        <v>599</v>
      </c>
    </row>
    <row r="1895" spans="1:11">
      <c r="A1895" s="12">
        <v>2018</v>
      </c>
      <c r="B1895" s="15" t="s">
        <v>73</v>
      </c>
      <c r="C1895" s="15" t="s">
        <v>75</v>
      </c>
      <c r="D1895" s="15" t="s">
        <v>76</v>
      </c>
      <c r="E1895" s="19">
        <v>194620</v>
      </c>
      <c r="F1895" s="19">
        <v>175109</v>
      </c>
      <c r="G1895" s="20">
        <f t="shared" si="29"/>
        <v>0.47361445815719083</v>
      </c>
      <c r="H1895" s="24" t="s">
        <v>583</v>
      </c>
      <c r="I1895" s="24" t="s">
        <v>584</v>
      </c>
      <c r="J1895" s="24" t="s">
        <v>585</v>
      </c>
      <c r="K1895" s="24" t="s">
        <v>599</v>
      </c>
    </row>
    <row r="1896" spans="1:11">
      <c r="A1896" s="12">
        <v>2018</v>
      </c>
      <c r="B1896" s="15" t="s">
        <v>73</v>
      </c>
      <c r="C1896" s="15" t="s">
        <v>77</v>
      </c>
      <c r="D1896" s="15" t="s">
        <v>78</v>
      </c>
      <c r="E1896" s="19">
        <v>134044</v>
      </c>
      <c r="F1896" s="19">
        <v>109379</v>
      </c>
      <c r="G1896" s="20">
        <f t="shared" si="29"/>
        <v>0.44933716205946028</v>
      </c>
      <c r="H1896" s="24" t="s">
        <v>583</v>
      </c>
      <c r="I1896" s="24" t="s">
        <v>584</v>
      </c>
      <c r="J1896" s="24" t="s">
        <v>585</v>
      </c>
      <c r="K1896" s="24" t="s">
        <v>599</v>
      </c>
    </row>
    <row r="1897" spans="1:11">
      <c r="A1897" s="12">
        <v>2018</v>
      </c>
      <c r="B1897" s="15" t="s">
        <v>73</v>
      </c>
      <c r="C1897" s="15" t="s">
        <v>79</v>
      </c>
      <c r="D1897" s="15" t="s">
        <v>80</v>
      </c>
      <c r="E1897" s="19">
        <v>220936</v>
      </c>
      <c r="F1897" s="19">
        <v>201291</v>
      </c>
      <c r="G1897" s="20">
        <f t="shared" si="29"/>
        <v>0.47673644745598931</v>
      </c>
      <c r="H1897" s="24" t="s">
        <v>583</v>
      </c>
      <c r="I1897" s="24" t="s">
        <v>584</v>
      </c>
      <c r="J1897" s="24" t="s">
        <v>585</v>
      </c>
      <c r="K1897" s="24" t="s">
        <v>599</v>
      </c>
    </row>
    <row r="1898" spans="1:11">
      <c r="A1898" s="12">
        <v>2018</v>
      </c>
      <c r="B1898" s="15" t="s">
        <v>73</v>
      </c>
      <c r="C1898" s="15" t="s">
        <v>81</v>
      </c>
      <c r="D1898" s="15" t="s">
        <v>82</v>
      </c>
      <c r="E1898" s="19">
        <v>66473</v>
      </c>
      <c r="F1898" s="19">
        <v>64256</v>
      </c>
      <c r="G1898" s="20">
        <f t="shared" si="29"/>
        <v>0.49152062663984275</v>
      </c>
      <c r="H1898" s="24" t="s">
        <v>583</v>
      </c>
      <c r="I1898" s="24" t="s">
        <v>584</v>
      </c>
      <c r="J1898" s="24" t="s">
        <v>585</v>
      </c>
      <c r="K1898" s="24" t="s">
        <v>599</v>
      </c>
    </row>
    <row r="1899" spans="1:11">
      <c r="A1899" s="12">
        <v>2018</v>
      </c>
      <c r="B1899" s="15" t="s">
        <v>73</v>
      </c>
      <c r="C1899" s="15" t="s">
        <v>83</v>
      </c>
      <c r="D1899" s="15" t="s">
        <v>84</v>
      </c>
      <c r="E1899" s="19">
        <v>216085</v>
      </c>
      <c r="F1899" s="19">
        <v>188763</v>
      </c>
      <c r="G1899" s="20">
        <f t="shared" si="29"/>
        <v>0.46625647156463662</v>
      </c>
      <c r="H1899" s="24" t="s">
        <v>583</v>
      </c>
      <c r="I1899" s="24" t="s">
        <v>584</v>
      </c>
      <c r="J1899" s="24" t="s">
        <v>585</v>
      </c>
      <c r="K1899" s="24" t="s">
        <v>599</v>
      </c>
    </row>
    <row r="1900" spans="1:11">
      <c r="A1900" s="12">
        <v>2018</v>
      </c>
      <c r="B1900" s="15" t="s">
        <v>73</v>
      </c>
      <c r="C1900" s="15" t="s">
        <v>85</v>
      </c>
      <c r="D1900" s="15" t="s">
        <v>86</v>
      </c>
      <c r="E1900" s="19">
        <v>296436</v>
      </c>
      <c r="F1900" s="19">
        <v>234647</v>
      </c>
      <c r="G1900" s="20">
        <f t="shared" si="29"/>
        <v>0.44182736031844361</v>
      </c>
      <c r="H1900" s="24" t="s">
        <v>583</v>
      </c>
      <c r="I1900" s="24" t="s">
        <v>584</v>
      </c>
      <c r="J1900" s="24" t="s">
        <v>585</v>
      </c>
      <c r="K1900" s="24" t="s">
        <v>599</v>
      </c>
    </row>
    <row r="1901" spans="1:11">
      <c r="A1901" s="12">
        <v>2018</v>
      </c>
      <c r="B1901" s="15" t="s">
        <v>73</v>
      </c>
      <c r="C1901" s="15" t="s">
        <v>87</v>
      </c>
      <c r="D1901" s="15" t="s">
        <v>88</v>
      </c>
      <c r="E1901" s="19">
        <v>252479</v>
      </c>
      <c r="F1901" s="19">
        <v>179116</v>
      </c>
      <c r="G1901" s="20">
        <f t="shared" si="29"/>
        <v>0.41500944172198473</v>
      </c>
      <c r="H1901" s="24" t="s">
        <v>583</v>
      </c>
      <c r="I1901" s="24" t="s">
        <v>584</v>
      </c>
      <c r="J1901" s="24" t="s">
        <v>585</v>
      </c>
      <c r="K1901" s="24" t="s">
        <v>599</v>
      </c>
    </row>
    <row r="1902" spans="1:11">
      <c r="A1902" s="12">
        <v>2018</v>
      </c>
      <c r="B1902" s="15" t="s">
        <v>73</v>
      </c>
      <c r="C1902" s="15" t="s">
        <v>89</v>
      </c>
      <c r="D1902" s="15" t="s">
        <v>90</v>
      </c>
      <c r="E1902" s="19">
        <v>174964</v>
      </c>
      <c r="F1902" s="19">
        <v>165197</v>
      </c>
      <c r="G1902" s="20">
        <f t="shared" si="29"/>
        <v>0.48564356290109684</v>
      </c>
      <c r="H1902" s="24" t="s">
        <v>583</v>
      </c>
      <c r="I1902" s="24" t="s">
        <v>584</v>
      </c>
      <c r="J1902" s="24" t="s">
        <v>585</v>
      </c>
      <c r="K1902" s="24" t="s">
        <v>599</v>
      </c>
    </row>
    <row r="1903" spans="1:11">
      <c r="A1903" s="12">
        <v>2018</v>
      </c>
      <c r="B1903" s="15" t="s">
        <v>73</v>
      </c>
      <c r="C1903" s="15" t="s">
        <v>91</v>
      </c>
      <c r="D1903" s="15" t="s">
        <v>92</v>
      </c>
      <c r="E1903" s="19">
        <v>277436</v>
      </c>
      <c r="F1903" s="19">
        <v>202721</v>
      </c>
      <c r="G1903" s="20">
        <f t="shared" si="29"/>
        <v>0.42219732295894885</v>
      </c>
      <c r="H1903" s="24" t="s">
        <v>583</v>
      </c>
      <c r="I1903" s="24" t="s">
        <v>584</v>
      </c>
      <c r="J1903" s="24" t="s">
        <v>585</v>
      </c>
      <c r="K1903" s="24" t="s">
        <v>599</v>
      </c>
    </row>
    <row r="1904" spans="1:11">
      <c r="A1904" s="12">
        <v>2018</v>
      </c>
      <c r="B1904" s="15" t="s">
        <v>73</v>
      </c>
      <c r="C1904" s="15" t="s">
        <v>93</v>
      </c>
      <c r="D1904" s="15" t="s">
        <v>94</v>
      </c>
      <c r="E1904" s="19">
        <v>85503</v>
      </c>
      <c r="F1904" s="19">
        <v>83553</v>
      </c>
      <c r="G1904" s="20">
        <f t="shared" si="29"/>
        <v>0.49423268029528677</v>
      </c>
      <c r="H1904" s="24" t="s">
        <v>583</v>
      </c>
      <c r="I1904" s="24" t="s">
        <v>584</v>
      </c>
      <c r="J1904" s="24" t="s">
        <v>585</v>
      </c>
      <c r="K1904" s="24" t="s">
        <v>599</v>
      </c>
    </row>
    <row r="1905" spans="1:11">
      <c r="A1905" s="12">
        <v>2018</v>
      </c>
      <c r="B1905" s="15" t="s">
        <v>73</v>
      </c>
      <c r="C1905" s="15" t="s">
        <v>95</v>
      </c>
      <c r="D1905" s="15" t="s">
        <v>96</v>
      </c>
      <c r="E1905" s="19">
        <v>135319</v>
      </c>
      <c r="F1905" s="19">
        <v>129951</v>
      </c>
      <c r="G1905" s="20">
        <f t="shared" si="29"/>
        <v>0.48988200701172391</v>
      </c>
      <c r="H1905" s="24" t="s">
        <v>583</v>
      </c>
      <c r="I1905" s="24" t="s">
        <v>584</v>
      </c>
      <c r="J1905" s="24" t="s">
        <v>585</v>
      </c>
      <c r="K1905" s="24" t="s">
        <v>599</v>
      </c>
    </row>
    <row r="1906" spans="1:11">
      <c r="A1906" s="12">
        <v>2018</v>
      </c>
      <c r="B1906" s="15" t="s">
        <v>73</v>
      </c>
      <c r="C1906" s="15" t="s">
        <v>97</v>
      </c>
      <c r="D1906" s="15" t="s">
        <v>98</v>
      </c>
      <c r="E1906" s="19">
        <v>157986</v>
      </c>
      <c r="F1906" s="19">
        <v>162179</v>
      </c>
      <c r="G1906" s="20">
        <f t="shared" si="29"/>
        <v>0.5065481860915465</v>
      </c>
      <c r="H1906" s="24" t="s">
        <v>583</v>
      </c>
      <c r="I1906" s="24" t="s">
        <v>584</v>
      </c>
      <c r="J1906" s="24" t="s">
        <v>585</v>
      </c>
      <c r="K1906" s="24" t="s">
        <v>599</v>
      </c>
    </row>
    <row r="1907" spans="1:11">
      <c r="A1907" s="12">
        <v>2018</v>
      </c>
      <c r="B1907" s="15" t="s">
        <v>73</v>
      </c>
      <c r="C1907" s="15" t="s">
        <v>99</v>
      </c>
      <c r="D1907" s="15" t="s">
        <v>100</v>
      </c>
      <c r="E1907" s="19">
        <v>99079</v>
      </c>
      <c r="F1907" s="19">
        <v>80167</v>
      </c>
      <c r="G1907" s="20">
        <f t="shared" si="29"/>
        <v>0.44724568470147175</v>
      </c>
      <c r="H1907" s="24" t="s">
        <v>583</v>
      </c>
      <c r="I1907" s="24" t="s">
        <v>584</v>
      </c>
      <c r="J1907" s="24" t="s">
        <v>585</v>
      </c>
      <c r="K1907" s="24" t="s">
        <v>599</v>
      </c>
    </row>
    <row r="1908" spans="1:11">
      <c r="A1908" s="12">
        <v>2018</v>
      </c>
      <c r="B1908" s="15" t="s">
        <v>73</v>
      </c>
      <c r="C1908" s="15" t="s">
        <v>69</v>
      </c>
      <c r="D1908" s="15" t="s">
        <v>101</v>
      </c>
      <c r="E1908" s="19">
        <v>30592</v>
      </c>
      <c r="F1908" s="19">
        <v>32537</v>
      </c>
      <c r="G1908" s="20">
        <f t="shared" si="29"/>
        <v>0.51540496443789696</v>
      </c>
      <c r="H1908" s="24" t="s">
        <v>583</v>
      </c>
      <c r="I1908" s="24" t="s">
        <v>584</v>
      </c>
      <c r="J1908" s="24" t="s">
        <v>585</v>
      </c>
      <c r="K1908" s="24" t="s">
        <v>599</v>
      </c>
    </row>
    <row r="1909" spans="1:11">
      <c r="A1909" s="12">
        <v>2018</v>
      </c>
      <c r="B1909" s="15" t="s">
        <v>73</v>
      </c>
      <c r="C1909" s="15" t="s">
        <v>102</v>
      </c>
      <c r="D1909" s="15" t="s">
        <v>103</v>
      </c>
      <c r="E1909" s="19">
        <v>340752</v>
      </c>
      <c r="F1909" s="19">
        <v>259495</v>
      </c>
      <c r="G1909" s="20">
        <f t="shared" si="29"/>
        <v>0.43231369752785104</v>
      </c>
      <c r="H1909" s="24" t="s">
        <v>583</v>
      </c>
      <c r="I1909" s="24" t="s">
        <v>584</v>
      </c>
      <c r="J1909" s="24" t="s">
        <v>585</v>
      </c>
      <c r="K1909" s="24" t="s">
        <v>599</v>
      </c>
    </row>
    <row r="1910" spans="1:11">
      <c r="A1910" s="12">
        <v>2018</v>
      </c>
      <c r="B1910" s="15" t="s">
        <v>104</v>
      </c>
      <c r="C1910" s="15" t="s">
        <v>22</v>
      </c>
      <c r="D1910" s="15" t="s">
        <v>104</v>
      </c>
      <c r="E1910" s="19">
        <v>2275516</v>
      </c>
      <c r="F1910" s="19">
        <v>455969</v>
      </c>
      <c r="G1910" s="20">
        <f t="shared" si="29"/>
        <v>0.16693080869929727</v>
      </c>
      <c r="H1910" s="24" t="s">
        <v>583</v>
      </c>
      <c r="I1910" s="24" t="s">
        <v>584</v>
      </c>
      <c r="J1910" s="24" t="s">
        <v>585</v>
      </c>
      <c r="K1910" s="24" t="s">
        <v>599</v>
      </c>
    </row>
    <row r="1911" spans="1:11">
      <c r="A1911" s="12">
        <v>2018</v>
      </c>
      <c r="B1911" s="15" t="s">
        <v>104</v>
      </c>
      <c r="C1911" s="15" t="s">
        <v>79</v>
      </c>
      <c r="D1911" s="15" t="s">
        <v>107</v>
      </c>
      <c r="E1911" s="19">
        <v>110663</v>
      </c>
      <c r="F1911" s="19">
        <v>118475</v>
      </c>
      <c r="G1911" s="20">
        <f t="shared" si="29"/>
        <v>0.51704649599804486</v>
      </c>
      <c r="H1911" s="24" t="s">
        <v>583</v>
      </c>
      <c r="I1911" s="24" t="s">
        <v>584</v>
      </c>
      <c r="J1911" s="24" t="s">
        <v>585</v>
      </c>
      <c r="K1911" s="24" t="s">
        <v>599</v>
      </c>
    </row>
    <row r="1912" spans="1:11">
      <c r="A1912" s="12">
        <v>2018</v>
      </c>
      <c r="B1912" s="15" t="s">
        <v>104</v>
      </c>
      <c r="C1912" s="15" t="s">
        <v>108</v>
      </c>
      <c r="D1912" s="15" t="s">
        <v>109</v>
      </c>
      <c r="E1912" s="19">
        <v>492432</v>
      </c>
      <c r="F1912" s="19">
        <v>373236</v>
      </c>
      <c r="G1912" s="20">
        <f t="shared" si="29"/>
        <v>0.43115374485368524</v>
      </c>
      <c r="H1912" s="24" t="s">
        <v>583</v>
      </c>
      <c r="I1912" s="24" t="s">
        <v>584</v>
      </c>
      <c r="J1912" s="24" t="s">
        <v>585</v>
      </c>
      <c r="K1912" s="24" t="s">
        <v>599</v>
      </c>
    </row>
    <row r="1913" spans="1:11">
      <c r="A1913" s="12">
        <v>2018</v>
      </c>
      <c r="B1913" s="15" t="s">
        <v>104</v>
      </c>
      <c r="C1913" s="15" t="s">
        <v>110</v>
      </c>
      <c r="D1913" s="15" t="s">
        <v>111</v>
      </c>
      <c r="E1913" s="19">
        <v>201926</v>
      </c>
      <c r="F1913" s="19">
        <v>189019</v>
      </c>
      <c r="G1913" s="20">
        <f t="shared" si="29"/>
        <v>0.48349256289247849</v>
      </c>
      <c r="H1913" s="24" t="s">
        <v>583</v>
      </c>
      <c r="I1913" s="24" t="s">
        <v>584</v>
      </c>
      <c r="J1913" s="24" t="s">
        <v>585</v>
      </c>
      <c r="K1913" s="24" t="s">
        <v>599</v>
      </c>
    </row>
    <row r="1914" spans="1:11">
      <c r="A1914" s="12">
        <v>2018</v>
      </c>
      <c r="B1914" s="15" t="s">
        <v>104</v>
      </c>
      <c r="C1914" s="15" t="s">
        <v>81</v>
      </c>
      <c r="D1914" s="15" t="s">
        <v>112</v>
      </c>
      <c r="E1914" s="19">
        <v>288939</v>
      </c>
      <c r="F1914" s="19">
        <v>239941</v>
      </c>
      <c r="G1914" s="20">
        <f t="shared" si="29"/>
        <v>0.45367758281651793</v>
      </c>
      <c r="H1914" s="24" t="s">
        <v>583</v>
      </c>
      <c r="I1914" s="24" t="s">
        <v>584</v>
      </c>
      <c r="J1914" s="24" t="s">
        <v>585</v>
      </c>
      <c r="K1914" s="24" t="s">
        <v>599</v>
      </c>
    </row>
    <row r="1915" spans="1:11">
      <c r="A1915" s="12">
        <v>2018</v>
      </c>
      <c r="B1915" s="15" t="s">
        <v>104</v>
      </c>
      <c r="C1915" s="15" t="s">
        <v>87</v>
      </c>
      <c r="D1915" s="15" t="s">
        <v>113</v>
      </c>
      <c r="E1915" s="19">
        <v>372566</v>
      </c>
      <c r="F1915" s="19">
        <v>276336</v>
      </c>
      <c r="G1915" s="20">
        <f t="shared" si="29"/>
        <v>0.42585166943544633</v>
      </c>
      <c r="H1915" s="24" t="s">
        <v>583</v>
      </c>
      <c r="I1915" s="24" t="s">
        <v>584</v>
      </c>
      <c r="J1915" s="24" t="s">
        <v>585</v>
      </c>
      <c r="K1915" s="24" t="s">
        <v>599</v>
      </c>
    </row>
    <row r="1916" spans="1:11">
      <c r="A1916" s="12">
        <v>2018</v>
      </c>
      <c r="B1916" s="15" t="s">
        <v>104</v>
      </c>
      <c r="C1916" s="15" t="s">
        <v>93</v>
      </c>
      <c r="D1916" s="15" t="s">
        <v>114</v>
      </c>
      <c r="E1916" s="19">
        <v>140600</v>
      </c>
      <c r="F1916" s="19">
        <v>143443</v>
      </c>
      <c r="G1916" s="20">
        <f t="shared" si="29"/>
        <v>0.50500452396292106</v>
      </c>
      <c r="H1916" s="24" t="s">
        <v>583</v>
      </c>
      <c r="I1916" s="24" t="s">
        <v>584</v>
      </c>
      <c r="J1916" s="24" t="s">
        <v>585</v>
      </c>
      <c r="K1916" s="24" t="s">
        <v>599</v>
      </c>
    </row>
    <row r="1917" spans="1:11">
      <c r="A1917" s="12">
        <v>2018</v>
      </c>
      <c r="B1917" s="15" t="s">
        <v>104</v>
      </c>
      <c r="C1917" s="15" t="s">
        <v>115</v>
      </c>
      <c r="D1917" s="15" t="s">
        <v>116</v>
      </c>
      <c r="E1917" s="19">
        <v>363113</v>
      </c>
      <c r="F1917" s="19">
        <v>296453</v>
      </c>
      <c r="G1917" s="20">
        <f t="shared" si="29"/>
        <v>0.44946677057337703</v>
      </c>
      <c r="H1917" s="24" t="s">
        <v>583</v>
      </c>
      <c r="I1917" s="24" t="s">
        <v>584</v>
      </c>
      <c r="J1917" s="24" t="s">
        <v>585</v>
      </c>
      <c r="K1917" s="24" t="s">
        <v>599</v>
      </c>
    </row>
    <row r="1918" spans="1:11">
      <c r="A1918" s="12">
        <v>2018</v>
      </c>
      <c r="B1918" s="15" t="s">
        <v>104</v>
      </c>
      <c r="C1918" s="15" t="s">
        <v>69</v>
      </c>
      <c r="D1918" s="15" t="s">
        <v>117</v>
      </c>
      <c r="E1918" s="19">
        <v>60524</v>
      </c>
      <c r="F1918" s="19">
        <v>60667</v>
      </c>
      <c r="G1918" s="20">
        <f t="shared" si="29"/>
        <v>0.50058997780363224</v>
      </c>
      <c r="H1918" s="24" t="s">
        <v>583</v>
      </c>
      <c r="I1918" s="24" t="s">
        <v>584</v>
      </c>
      <c r="J1918" s="24" t="s">
        <v>585</v>
      </c>
      <c r="K1918" s="24" t="s">
        <v>599</v>
      </c>
    </row>
    <row r="1919" spans="1:11">
      <c r="A1919" s="12">
        <v>2018</v>
      </c>
      <c r="B1919" s="15" t="s">
        <v>118</v>
      </c>
      <c r="C1919" s="15" t="s">
        <v>22</v>
      </c>
      <c r="D1919" s="15" t="s">
        <v>118</v>
      </c>
      <c r="E1919" s="19">
        <v>2644366</v>
      </c>
      <c r="F1919" s="19">
        <v>1016386</v>
      </c>
      <c r="G1919" s="20">
        <f t="shared" si="29"/>
        <v>0.27764404690620942</v>
      </c>
      <c r="H1919" s="24" t="s">
        <v>579</v>
      </c>
      <c r="I1919" s="24" t="s">
        <v>596</v>
      </c>
      <c r="J1919" s="24" t="s">
        <v>597</v>
      </c>
      <c r="K1919" s="24" t="s">
        <v>599</v>
      </c>
    </row>
    <row r="1920" spans="1:11">
      <c r="A1920" s="12">
        <v>2018</v>
      </c>
      <c r="B1920" s="15" t="s">
        <v>118</v>
      </c>
      <c r="C1920" s="15" t="s">
        <v>119</v>
      </c>
      <c r="D1920" s="15" t="s">
        <v>120</v>
      </c>
      <c r="E1920" s="19">
        <v>51187</v>
      </c>
      <c r="F1920" s="19">
        <v>50418</v>
      </c>
      <c r="G1920" s="20">
        <f t="shared" si="29"/>
        <v>0.49621573741449732</v>
      </c>
      <c r="H1920" s="24" t="s">
        <v>579</v>
      </c>
      <c r="I1920" s="24" t="s">
        <v>596</v>
      </c>
      <c r="J1920" s="24" t="s">
        <v>597</v>
      </c>
      <c r="K1920" s="24" t="s">
        <v>599</v>
      </c>
    </row>
    <row r="1921" spans="1:11">
      <c r="A1921" s="12">
        <v>2018</v>
      </c>
      <c r="B1921" s="15" t="s">
        <v>118</v>
      </c>
      <c r="C1921" s="15" t="s">
        <v>121</v>
      </c>
      <c r="D1921" s="15" t="s">
        <v>122</v>
      </c>
      <c r="E1921" s="19">
        <v>260256</v>
      </c>
      <c r="F1921" s="19">
        <v>187952</v>
      </c>
      <c r="G1921" s="20">
        <f t="shared" si="29"/>
        <v>0.4193410202406026</v>
      </c>
      <c r="H1921" s="24" t="s">
        <v>579</v>
      </c>
      <c r="I1921" s="24" t="s">
        <v>596</v>
      </c>
      <c r="J1921" s="24" t="s">
        <v>597</v>
      </c>
      <c r="K1921" s="24" t="s">
        <v>599</v>
      </c>
    </row>
    <row r="1922" spans="1:11">
      <c r="A1922" s="12">
        <v>2018</v>
      </c>
      <c r="B1922" s="15" t="s">
        <v>118</v>
      </c>
      <c r="C1922" s="15" t="s">
        <v>124</v>
      </c>
      <c r="D1922" s="15" t="s">
        <v>125</v>
      </c>
      <c r="E1922" s="19">
        <v>456452</v>
      </c>
      <c r="F1922" s="19">
        <v>327589</v>
      </c>
      <c r="G1922" s="20">
        <f t="shared" si="29"/>
        <v>0.41782126189829361</v>
      </c>
      <c r="H1922" s="24" t="s">
        <v>579</v>
      </c>
      <c r="I1922" s="24" t="s">
        <v>596</v>
      </c>
      <c r="J1922" s="24" t="s">
        <v>597</v>
      </c>
      <c r="K1922" s="24" t="s">
        <v>599</v>
      </c>
    </row>
    <row r="1923" spans="1:11">
      <c r="A1923" s="12">
        <v>2018</v>
      </c>
      <c r="B1923" s="15" t="s">
        <v>118</v>
      </c>
      <c r="C1923" s="15" t="s">
        <v>81</v>
      </c>
      <c r="D1923" s="15" t="s">
        <v>126</v>
      </c>
      <c r="E1923" s="19">
        <v>50914</v>
      </c>
      <c r="F1923" s="19">
        <v>50642</v>
      </c>
      <c r="G1923" s="20">
        <f t="shared" si="29"/>
        <v>0.49866083737051481</v>
      </c>
      <c r="H1923" s="24" t="s">
        <v>579</v>
      </c>
      <c r="I1923" s="24" t="s">
        <v>596</v>
      </c>
      <c r="J1923" s="24" t="s">
        <v>597</v>
      </c>
      <c r="K1923" s="24" t="s">
        <v>599</v>
      </c>
    </row>
    <row r="1924" spans="1:11">
      <c r="A1924" s="12">
        <v>2018</v>
      </c>
      <c r="B1924" s="15" t="s">
        <v>118</v>
      </c>
      <c r="C1924" s="15" t="s">
        <v>127</v>
      </c>
      <c r="D1924" s="15" t="s">
        <v>128</v>
      </c>
      <c r="E1924" s="19">
        <v>327615</v>
      </c>
      <c r="F1924" s="19">
        <v>289786</v>
      </c>
      <c r="G1924" s="20">
        <f t="shared" si="29"/>
        <v>0.46936431913780507</v>
      </c>
      <c r="H1924" s="24" t="s">
        <v>579</v>
      </c>
      <c r="I1924" s="24" t="s">
        <v>596</v>
      </c>
      <c r="J1924" s="24" t="s">
        <v>597</v>
      </c>
      <c r="K1924" s="24" t="s">
        <v>599</v>
      </c>
    </row>
    <row r="1925" spans="1:11">
      <c r="A1925" s="12">
        <v>2018</v>
      </c>
      <c r="B1925" s="15" t="s">
        <v>118</v>
      </c>
      <c r="C1925" s="15" t="s">
        <v>129</v>
      </c>
      <c r="D1925" s="15" t="s">
        <v>130</v>
      </c>
      <c r="E1925" s="19">
        <v>436626</v>
      </c>
      <c r="F1925" s="19">
        <v>321642</v>
      </c>
      <c r="G1925" s="20">
        <f t="shared" si="29"/>
        <v>0.42417984142809667</v>
      </c>
      <c r="H1925" s="24" t="s">
        <v>579</v>
      </c>
      <c r="I1925" s="24" t="s">
        <v>596</v>
      </c>
      <c r="J1925" s="24" t="s">
        <v>597</v>
      </c>
      <c r="K1925" s="24" t="s">
        <v>599</v>
      </c>
    </row>
    <row r="1926" spans="1:11">
      <c r="A1926" s="12">
        <v>2018</v>
      </c>
      <c r="B1926" s="15" t="s">
        <v>118</v>
      </c>
      <c r="C1926" s="15" t="s">
        <v>93</v>
      </c>
      <c r="D1926" s="15" t="s">
        <v>131</v>
      </c>
      <c r="E1926" s="19">
        <v>458954</v>
      </c>
      <c r="F1926" s="19">
        <v>312453</v>
      </c>
      <c r="G1926" s="20">
        <f t="shared" ref="G1926:G1989" si="30">IFERROR(F1926/(E1926+F1926),"")</f>
        <v>0.40504299286887469</v>
      </c>
      <c r="H1926" s="24" t="s">
        <v>579</v>
      </c>
      <c r="I1926" s="24" t="s">
        <v>596</v>
      </c>
      <c r="J1926" s="24" t="s">
        <v>597</v>
      </c>
      <c r="K1926" s="24" t="s">
        <v>599</v>
      </c>
    </row>
    <row r="1927" spans="1:11">
      <c r="A1927" s="12">
        <v>2018</v>
      </c>
      <c r="B1927" s="15" t="s">
        <v>118</v>
      </c>
      <c r="C1927" s="15" t="s">
        <v>132</v>
      </c>
      <c r="D1927" s="15" t="s">
        <v>133</v>
      </c>
      <c r="E1927" s="19">
        <v>287680</v>
      </c>
      <c r="F1927" s="19">
        <v>221988</v>
      </c>
      <c r="G1927" s="20">
        <f t="shared" si="30"/>
        <v>0.43555412543067251</v>
      </c>
      <c r="H1927" s="24" t="s">
        <v>579</v>
      </c>
      <c r="I1927" s="24" t="s">
        <v>596</v>
      </c>
      <c r="J1927" s="24" t="s">
        <v>597</v>
      </c>
      <c r="K1927" s="24" t="s">
        <v>599</v>
      </c>
    </row>
    <row r="1928" spans="1:11">
      <c r="A1928" s="12">
        <v>2018</v>
      </c>
      <c r="B1928" s="15" t="s">
        <v>118</v>
      </c>
      <c r="C1928" s="15" t="s">
        <v>134</v>
      </c>
      <c r="D1928" s="15" t="s">
        <v>135</v>
      </c>
      <c r="E1928" s="19">
        <v>12327</v>
      </c>
      <c r="F1928" s="19">
        <v>18455</v>
      </c>
      <c r="G1928" s="20">
        <f t="shared" si="30"/>
        <v>0.59953869144305116</v>
      </c>
      <c r="H1928" s="24" t="s">
        <v>579</v>
      </c>
      <c r="I1928" s="24" t="s">
        <v>596</v>
      </c>
      <c r="J1928" s="24" t="s">
        <v>597</v>
      </c>
      <c r="K1928" s="24" t="s">
        <v>599</v>
      </c>
    </row>
    <row r="1929" spans="1:11">
      <c r="A1929" s="12">
        <v>2018</v>
      </c>
      <c r="B1929" s="15" t="s">
        <v>118</v>
      </c>
      <c r="C1929" s="15" t="s">
        <v>69</v>
      </c>
      <c r="D1929" s="15" t="s">
        <v>136</v>
      </c>
      <c r="E1929" s="19">
        <v>91887</v>
      </c>
      <c r="F1929" s="19">
        <v>90223</v>
      </c>
      <c r="G1929" s="20">
        <f t="shared" si="30"/>
        <v>0.49543133271099887</v>
      </c>
      <c r="H1929" s="24" t="s">
        <v>579</v>
      </c>
      <c r="I1929" s="24" t="s">
        <v>596</v>
      </c>
      <c r="J1929" s="24" t="s">
        <v>597</v>
      </c>
      <c r="K1929" s="24" t="s">
        <v>599</v>
      </c>
    </row>
    <row r="1930" spans="1:11">
      <c r="A1930" s="12">
        <v>2018</v>
      </c>
      <c r="B1930" s="15" t="s">
        <v>137</v>
      </c>
      <c r="C1930" s="15" t="s">
        <v>22</v>
      </c>
      <c r="D1930" s="15" t="s">
        <v>137</v>
      </c>
      <c r="E1930" s="19">
        <v>1349046</v>
      </c>
      <c r="F1930" s="19">
        <v>318867</v>
      </c>
      <c r="G1930" s="20">
        <f t="shared" si="30"/>
        <v>0.1911772376616766</v>
      </c>
      <c r="H1930" s="24" t="s">
        <v>586</v>
      </c>
      <c r="I1930" s="24" t="s">
        <v>587</v>
      </c>
      <c r="J1930" s="24" t="s">
        <v>588</v>
      </c>
      <c r="K1930" s="24" t="s">
        <v>599</v>
      </c>
    </row>
    <row r="1931" spans="1:11">
      <c r="A1931" s="12">
        <v>2018</v>
      </c>
      <c r="B1931" s="15" t="s">
        <v>137</v>
      </c>
      <c r="C1931" s="15" t="s">
        <v>138</v>
      </c>
      <c r="D1931" s="15" t="s">
        <v>139</v>
      </c>
      <c r="E1931" s="19">
        <v>355392</v>
      </c>
      <c r="F1931" s="19">
        <v>231209</v>
      </c>
      <c r="G1931" s="20">
        <f t="shared" si="30"/>
        <v>0.39415036796732361</v>
      </c>
      <c r="H1931" s="24" t="s">
        <v>586</v>
      </c>
      <c r="I1931" s="24" t="s">
        <v>587</v>
      </c>
      <c r="J1931" s="24" t="s">
        <v>588</v>
      </c>
      <c r="K1931" s="24" t="s">
        <v>599</v>
      </c>
    </row>
    <row r="1932" spans="1:11">
      <c r="A1932" s="12">
        <v>2018</v>
      </c>
      <c r="B1932" s="15" t="s">
        <v>137</v>
      </c>
      <c r="C1932" s="15" t="s">
        <v>79</v>
      </c>
      <c r="D1932" s="15" t="s">
        <v>140</v>
      </c>
      <c r="E1932" s="19">
        <v>174986</v>
      </c>
      <c r="F1932" s="19">
        <v>155708</v>
      </c>
      <c r="G1932" s="20">
        <f t="shared" si="30"/>
        <v>0.47085220778121162</v>
      </c>
      <c r="H1932" s="24" t="s">
        <v>586</v>
      </c>
      <c r="I1932" s="24" t="s">
        <v>587</v>
      </c>
      <c r="J1932" s="24" t="s">
        <v>588</v>
      </c>
      <c r="K1932" s="24" t="s">
        <v>599</v>
      </c>
    </row>
    <row r="1933" spans="1:11">
      <c r="A1933" s="12">
        <v>2018</v>
      </c>
      <c r="B1933" s="15" t="s">
        <v>137</v>
      </c>
      <c r="C1933" s="15" t="s">
        <v>81</v>
      </c>
      <c r="D1933" s="15" t="s">
        <v>141</v>
      </c>
      <c r="E1933" s="19">
        <v>70798</v>
      </c>
      <c r="F1933" s="19">
        <v>74295</v>
      </c>
      <c r="G1933" s="20">
        <f t="shared" si="30"/>
        <v>0.51205089149717764</v>
      </c>
      <c r="H1933" s="24" t="s">
        <v>586</v>
      </c>
      <c r="I1933" s="24" t="s">
        <v>587</v>
      </c>
      <c r="J1933" s="24" t="s">
        <v>588</v>
      </c>
      <c r="K1933" s="24" t="s">
        <v>599</v>
      </c>
    </row>
    <row r="1934" spans="1:11">
      <c r="A1934" s="12">
        <v>2018</v>
      </c>
      <c r="B1934" s="15" t="s">
        <v>137</v>
      </c>
      <c r="C1934" s="15" t="s">
        <v>87</v>
      </c>
      <c r="D1934" s="15" t="s">
        <v>142</v>
      </c>
      <c r="E1934" s="19">
        <v>368677</v>
      </c>
      <c r="F1934" s="19">
        <v>292546</v>
      </c>
      <c r="G1934" s="20">
        <f t="shared" si="30"/>
        <v>0.44243167584914622</v>
      </c>
      <c r="H1934" s="24" t="s">
        <v>586</v>
      </c>
      <c r="I1934" s="24" t="s">
        <v>587</v>
      </c>
      <c r="J1934" s="24" t="s">
        <v>588</v>
      </c>
      <c r="K1934" s="24" t="s">
        <v>599</v>
      </c>
    </row>
    <row r="1935" spans="1:11">
      <c r="A1935" s="12">
        <v>2018</v>
      </c>
      <c r="B1935" s="15" t="s">
        <v>137</v>
      </c>
      <c r="C1935" s="15" t="s">
        <v>93</v>
      </c>
      <c r="D1935" s="15" t="s">
        <v>143</v>
      </c>
      <c r="E1935" s="19">
        <v>255643</v>
      </c>
      <c r="F1935" s="19">
        <v>205731</v>
      </c>
      <c r="G1935" s="20">
        <f t="shared" si="30"/>
        <v>0.44590939238015148</v>
      </c>
      <c r="H1935" s="24" t="s">
        <v>586</v>
      </c>
      <c r="I1935" s="24" t="s">
        <v>587</v>
      </c>
      <c r="J1935" s="24" t="s">
        <v>588</v>
      </c>
      <c r="K1935" s="24" t="s">
        <v>599</v>
      </c>
    </row>
    <row r="1936" spans="1:11">
      <c r="A1936" s="12">
        <v>2018</v>
      </c>
      <c r="B1936" s="15" t="s">
        <v>144</v>
      </c>
      <c r="C1936" s="15" t="s">
        <v>22</v>
      </c>
      <c r="D1936" s="15" t="s">
        <v>144</v>
      </c>
      <c r="E1936" s="19">
        <v>1372121</v>
      </c>
      <c r="F1936" s="19">
        <v>347520</v>
      </c>
      <c r="G1936" s="20">
        <f t="shared" si="30"/>
        <v>0.20208869176764219</v>
      </c>
      <c r="H1936" s="24" t="s">
        <v>589</v>
      </c>
      <c r="I1936" s="24" t="s">
        <v>560</v>
      </c>
      <c r="J1936" s="24" t="s">
        <v>590</v>
      </c>
      <c r="K1936" s="24" t="s">
        <v>599</v>
      </c>
    </row>
    <row r="1937" spans="1:11">
      <c r="A1937" s="12">
        <v>2018</v>
      </c>
      <c r="B1937" s="15" t="s">
        <v>144</v>
      </c>
      <c r="C1937" s="15" t="s">
        <v>145</v>
      </c>
      <c r="D1937" s="15" t="s">
        <v>146</v>
      </c>
      <c r="E1937" s="19">
        <v>150717</v>
      </c>
      <c r="F1937" s="19">
        <v>134138</v>
      </c>
      <c r="G1937" s="20">
        <f t="shared" si="30"/>
        <v>0.47089922943251827</v>
      </c>
      <c r="H1937" s="24" t="s">
        <v>589</v>
      </c>
      <c r="I1937" s="24" t="s">
        <v>560</v>
      </c>
      <c r="J1937" s="24" t="s">
        <v>590</v>
      </c>
      <c r="K1937" s="24" t="s">
        <v>599</v>
      </c>
    </row>
    <row r="1938" spans="1:11">
      <c r="A1938" s="12">
        <v>2018</v>
      </c>
      <c r="B1938" s="15" t="s">
        <v>144</v>
      </c>
      <c r="C1938" s="15" t="s">
        <v>81</v>
      </c>
      <c r="D1938" s="15" t="s">
        <v>147</v>
      </c>
      <c r="E1938" s="19">
        <v>180402</v>
      </c>
      <c r="F1938" s="19">
        <v>179280</v>
      </c>
      <c r="G1938" s="20">
        <f t="shared" si="30"/>
        <v>0.49844028892188097</v>
      </c>
      <c r="H1938" s="24" t="s">
        <v>589</v>
      </c>
      <c r="I1938" s="24" t="s">
        <v>560</v>
      </c>
      <c r="J1938" s="24" t="s">
        <v>590</v>
      </c>
      <c r="K1938" s="24" t="s">
        <v>599</v>
      </c>
    </row>
    <row r="1939" spans="1:11">
      <c r="A1939" s="12">
        <v>2018</v>
      </c>
      <c r="B1939" s="15" t="s">
        <v>144</v>
      </c>
      <c r="C1939" s="15" t="s">
        <v>93</v>
      </c>
      <c r="D1939" s="15" t="s">
        <v>148</v>
      </c>
      <c r="E1939" s="19">
        <v>424349</v>
      </c>
      <c r="F1939" s="19">
        <v>289108</v>
      </c>
      <c r="G1939" s="20">
        <f t="shared" si="30"/>
        <v>0.40522133779611103</v>
      </c>
      <c r="H1939" s="24" t="s">
        <v>589</v>
      </c>
      <c r="I1939" s="24" t="s">
        <v>560</v>
      </c>
      <c r="J1939" s="24" t="s">
        <v>590</v>
      </c>
      <c r="K1939" s="24" t="s">
        <v>599</v>
      </c>
    </row>
    <row r="1940" spans="1:11">
      <c r="A1940" s="12">
        <v>2018</v>
      </c>
      <c r="B1940" s="15" t="s">
        <v>144</v>
      </c>
      <c r="C1940" s="15" t="s">
        <v>149</v>
      </c>
      <c r="D1940" s="15" t="s">
        <v>150</v>
      </c>
      <c r="E1940" s="19">
        <v>291185</v>
      </c>
      <c r="F1940" s="19">
        <v>253198</v>
      </c>
      <c r="G1940" s="20">
        <f t="shared" si="30"/>
        <v>0.4651100420108637</v>
      </c>
      <c r="H1940" s="24" t="s">
        <v>589</v>
      </c>
      <c r="I1940" s="24" t="s">
        <v>560</v>
      </c>
      <c r="J1940" s="24" t="s">
        <v>590</v>
      </c>
      <c r="K1940" s="24" t="s">
        <v>599</v>
      </c>
    </row>
    <row r="1941" spans="1:11">
      <c r="A1941" s="12">
        <v>2018</v>
      </c>
      <c r="B1941" s="15" t="s">
        <v>144</v>
      </c>
      <c r="C1941" s="15" t="s">
        <v>69</v>
      </c>
      <c r="D1941" s="15" t="s">
        <v>151</v>
      </c>
      <c r="E1941" s="19">
        <v>202890</v>
      </c>
      <c r="F1941" s="19">
        <v>174333</v>
      </c>
      <c r="G1941" s="20">
        <f t="shared" si="30"/>
        <v>0.46214838437741074</v>
      </c>
      <c r="H1941" s="24" t="s">
        <v>589</v>
      </c>
      <c r="I1941" s="24" t="s">
        <v>560</v>
      </c>
      <c r="J1941" s="24" t="s">
        <v>590</v>
      </c>
      <c r="K1941" s="24" t="s">
        <v>599</v>
      </c>
    </row>
    <row r="1942" spans="1:11">
      <c r="A1942" s="12">
        <v>2018</v>
      </c>
      <c r="B1942" s="15" t="s">
        <v>152</v>
      </c>
      <c r="C1942" s="15" t="s">
        <v>22</v>
      </c>
      <c r="D1942" s="15" t="s">
        <v>152</v>
      </c>
      <c r="E1942" s="19">
        <v>1065821</v>
      </c>
      <c r="F1942" s="19">
        <v>268252</v>
      </c>
      <c r="G1942" s="20">
        <f t="shared" si="30"/>
        <v>0.20107745228334581</v>
      </c>
      <c r="H1942" s="24" t="s">
        <v>583</v>
      </c>
      <c r="I1942" s="24" t="s">
        <v>584</v>
      </c>
      <c r="J1942" s="24" t="s">
        <v>585</v>
      </c>
      <c r="K1942" s="24" t="s">
        <v>599</v>
      </c>
    </row>
    <row r="1943" spans="1:11">
      <c r="A1943" s="12">
        <v>2018</v>
      </c>
      <c r="B1943" s="15" t="s">
        <v>152</v>
      </c>
      <c r="C1943" s="15" t="s">
        <v>79</v>
      </c>
      <c r="D1943" s="15" t="s">
        <v>153</v>
      </c>
      <c r="E1943" s="19">
        <v>294092</v>
      </c>
      <c r="F1943" s="19">
        <v>167216</v>
      </c>
      <c r="G1943" s="20">
        <f t="shared" si="30"/>
        <v>0.36248233284486719</v>
      </c>
      <c r="H1943" s="24" t="s">
        <v>583</v>
      </c>
      <c r="I1943" s="24" t="s">
        <v>584</v>
      </c>
      <c r="J1943" s="24" t="s">
        <v>585</v>
      </c>
      <c r="K1943" s="24" t="s">
        <v>599</v>
      </c>
    </row>
    <row r="1944" spans="1:11">
      <c r="A1944" s="12">
        <v>2018</v>
      </c>
      <c r="B1944" s="15" t="s">
        <v>152</v>
      </c>
      <c r="C1944" s="15" t="s">
        <v>81</v>
      </c>
      <c r="D1944" s="15" t="s">
        <v>154</v>
      </c>
      <c r="E1944" s="19">
        <v>147651</v>
      </c>
      <c r="F1944" s="19">
        <v>82634</v>
      </c>
      <c r="G1944" s="20">
        <f t="shared" si="30"/>
        <v>0.35883361921097773</v>
      </c>
      <c r="H1944" s="24" t="s">
        <v>583</v>
      </c>
      <c r="I1944" s="24" t="s">
        <v>584</v>
      </c>
      <c r="J1944" s="24" t="s">
        <v>585</v>
      </c>
      <c r="K1944" s="24" t="s">
        <v>599</v>
      </c>
    </row>
    <row r="1945" spans="1:11">
      <c r="A1945" s="12">
        <v>2018</v>
      </c>
      <c r="B1945" s="15" t="s">
        <v>152</v>
      </c>
      <c r="C1945" s="15" t="s">
        <v>87</v>
      </c>
      <c r="D1945" s="15" t="s">
        <v>155</v>
      </c>
      <c r="E1945" s="19">
        <v>168387</v>
      </c>
      <c r="F1945" s="19">
        <v>147724</v>
      </c>
      <c r="G1945" s="20">
        <f t="shared" si="30"/>
        <v>0.46731686021682256</v>
      </c>
      <c r="H1945" s="24" t="s">
        <v>583</v>
      </c>
      <c r="I1945" s="24" t="s">
        <v>584</v>
      </c>
      <c r="J1945" s="24" t="s">
        <v>585</v>
      </c>
      <c r="K1945" s="24" t="s">
        <v>599</v>
      </c>
    </row>
    <row r="1946" spans="1:11">
      <c r="A1946" s="12">
        <v>2018</v>
      </c>
      <c r="B1946" s="15" t="s">
        <v>152</v>
      </c>
      <c r="C1946" s="15" t="s">
        <v>156</v>
      </c>
      <c r="D1946" s="15" t="s">
        <v>157</v>
      </c>
      <c r="E1946" s="19">
        <v>166012</v>
      </c>
      <c r="F1946" s="19">
        <v>171883</v>
      </c>
      <c r="G1946" s="20">
        <f t="shared" si="30"/>
        <v>0.50868761005637841</v>
      </c>
      <c r="H1946" s="24" t="s">
        <v>583</v>
      </c>
      <c r="I1946" s="24" t="s">
        <v>584</v>
      </c>
      <c r="J1946" s="24" t="s">
        <v>585</v>
      </c>
      <c r="K1946" s="24" t="s">
        <v>599</v>
      </c>
    </row>
    <row r="1947" spans="1:11">
      <c r="A1947" s="12">
        <v>2018</v>
      </c>
      <c r="B1947" s="15" t="s">
        <v>152</v>
      </c>
      <c r="C1947" s="15" t="s">
        <v>69</v>
      </c>
      <c r="D1947" s="15" t="s">
        <v>158</v>
      </c>
      <c r="E1947" s="19">
        <v>188869</v>
      </c>
      <c r="F1947" s="19">
        <v>168367</v>
      </c>
      <c r="G1947" s="20">
        <f t="shared" si="30"/>
        <v>0.471304683738481</v>
      </c>
      <c r="H1947" s="24" t="s">
        <v>583</v>
      </c>
      <c r="I1947" s="24" t="s">
        <v>584</v>
      </c>
      <c r="J1947" s="24" t="s">
        <v>585</v>
      </c>
      <c r="K1947" s="24" t="s">
        <v>599</v>
      </c>
    </row>
    <row r="1948" spans="1:11">
      <c r="A1948" s="12">
        <v>2018</v>
      </c>
      <c r="B1948" s="15" t="s">
        <v>159</v>
      </c>
      <c r="C1948" s="15" t="s">
        <v>22</v>
      </c>
      <c r="D1948" s="15" t="s">
        <v>159</v>
      </c>
      <c r="E1948" s="19">
        <v>258771</v>
      </c>
      <c r="F1948" s="19">
        <v>214052</v>
      </c>
      <c r="G1948" s="20">
        <f t="shared" si="30"/>
        <v>0.45271063378896542</v>
      </c>
      <c r="H1948" s="24" t="s">
        <v>589</v>
      </c>
      <c r="I1948" s="24" t="s">
        <v>560</v>
      </c>
      <c r="J1948" s="24" t="s">
        <v>590</v>
      </c>
      <c r="K1948" s="24" t="s">
        <v>599</v>
      </c>
    </row>
    <row r="1949" spans="1:11">
      <c r="A1949" s="12">
        <v>2018</v>
      </c>
      <c r="B1949" s="15" t="s">
        <v>160</v>
      </c>
      <c r="C1949" s="15" t="s">
        <v>22</v>
      </c>
      <c r="D1949" s="15" t="s">
        <v>160</v>
      </c>
      <c r="E1949" s="19">
        <v>11875621</v>
      </c>
      <c r="F1949" s="19">
        <v>4635785</v>
      </c>
      <c r="G1949" s="20">
        <f t="shared" si="30"/>
        <v>0.28076258315009639</v>
      </c>
      <c r="H1949" s="24" t="s">
        <v>579</v>
      </c>
      <c r="I1949" s="24" t="s">
        <v>596</v>
      </c>
      <c r="J1949" s="24" t="s">
        <v>597</v>
      </c>
      <c r="K1949" s="24" t="s">
        <v>599</v>
      </c>
    </row>
    <row r="1950" spans="1:11">
      <c r="A1950" s="12">
        <v>2018</v>
      </c>
      <c r="B1950" s="15" t="s">
        <v>160</v>
      </c>
      <c r="C1950" s="15" t="s">
        <v>161</v>
      </c>
      <c r="D1950" s="15" t="s">
        <v>162</v>
      </c>
      <c r="E1950" s="19">
        <v>47820</v>
      </c>
      <c r="F1950" s="19">
        <v>47678</v>
      </c>
      <c r="G1950" s="20">
        <f t="shared" si="30"/>
        <v>0.49925652893254308</v>
      </c>
      <c r="H1950" s="24" t="s">
        <v>579</v>
      </c>
      <c r="I1950" s="24" t="s">
        <v>591</v>
      </c>
      <c r="J1950" s="24" t="s">
        <v>592</v>
      </c>
      <c r="K1950" s="24" t="s">
        <v>599</v>
      </c>
    </row>
    <row r="1951" spans="1:11">
      <c r="A1951" s="12">
        <v>2018</v>
      </c>
      <c r="B1951" s="15" t="s">
        <v>160</v>
      </c>
      <c r="C1951" s="15" t="s">
        <v>163</v>
      </c>
      <c r="D1951" s="15" t="s">
        <v>164</v>
      </c>
      <c r="E1951" s="19">
        <v>361458</v>
      </c>
      <c r="F1951" s="19">
        <v>293588</v>
      </c>
      <c r="G1951" s="20">
        <f t="shared" si="30"/>
        <v>0.44819447794506034</v>
      </c>
      <c r="H1951" s="24" t="s">
        <v>579</v>
      </c>
      <c r="I1951" s="24" t="s">
        <v>591</v>
      </c>
      <c r="J1951" s="24" t="s">
        <v>592</v>
      </c>
      <c r="K1951" s="24" t="s">
        <v>599</v>
      </c>
    </row>
    <row r="1952" spans="1:11">
      <c r="A1952" s="12">
        <v>2018</v>
      </c>
      <c r="B1952" s="15" t="s">
        <v>160</v>
      </c>
      <c r="C1952" s="15" t="s">
        <v>167</v>
      </c>
      <c r="D1952" s="15" t="s">
        <v>168</v>
      </c>
      <c r="E1952" s="19">
        <v>234980</v>
      </c>
      <c r="F1952" s="19">
        <v>201767</v>
      </c>
      <c r="G1952" s="20">
        <f t="shared" si="30"/>
        <v>0.46197684242822501</v>
      </c>
      <c r="H1952" s="24" t="s">
        <v>579</v>
      </c>
      <c r="I1952" s="24" t="s">
        <v>591</v>
      </c>
      <c r="J1952" s="24" t="s">
        <v>592</v>
      </c>
      <c r="K1952" s="24" t="s">
        <v>599</v>
      </c>
    </row>
    <row r="1953" spans="1:11">
      <c r="A1953" s="12">
        <v>2018</v>
      </c>
      <c r="B1953" s="15" t="s">
        <v>160</v>
      </c>
      <c r="C1953" s="15" t="s">
        <v>169</v>
      </c>
      <c r="D1953" s="15" t="s">
        <v>170</v>
      </c>
      <c r="E1953" s="19">
        <v>240465</v>
      </c>
      <c r="F1953" s="19">
        <v>209281</v>
      </c>
      <c r="G1953" s="20">
        <f t="shared" si="30"/>
        <v>0.46533154269298671</v>
      </c>
      <c r="H1953" s="24" t="s">
        <v>579</v>
      </c>
      <c r="I1953" s="24" t="s">
        <v>591</v>
      </c>
      <c r="J1953" s="24" t="s">
        <v>592</v>
      </c>
      <c r="K1953" s="24" t="s">
        <v>599</v>
      </c>
    </row>
    <row r="1954" spans="1:11">
      <c r="A1954" s="12">
        <v>2018</v>
      </c>
      <c r="B1954" s="15" t="s">
        <v>160</v>
      </c>
      <c r="C1954" s="15" t="s">
        <v>171</v>
      </c>
      <c r="D1954" s="15" t="s">
        <v>172</v>
      </c>
      <c r="E1954" s="19">
        <v>41772</v>
      </c>
      <c r="F1954" s="19">
        <v>44557</v>
      </c>
      <c r="G1954" s="20">
        <f t="shared" si="30"/>
        <v>0.51613015325093536</v>
      </c>
      <c r="H1954" s="24" t="s">
        <v>579</v>
      </c>
      <c r="I1954" s="24" t="s">
        <v>591</v>
      </c>
      <c r="J1954" s="24" t="s">
        <v>592</v>
      </c>
      <c r="K1954" s="24" t="s">
        <v>599</v>
      </c>
    </row>
    <row r="1955" spans="1:11">
      <c r="A1955" s="12">
        <v>2018</v>
      </c>
      <c r="B1955" s="15" t="s">
        <v>160</v>
      </c>
      <c r="C1955" s="15" t="s">
        <v>173</v>
      </c>
      <c r="D1955" s="15" t="s">
        <v>174</v>
      </c>
      <c r="E1955" s="19">
        <v>276324</v>
      </c>
      <c r="F1955" s="19">
        <v>197902</v>
      </c>
      <c r="G1955" s="20">
        <f t="shared" si="30"/>
        <v>0.41731579457895601</v>
      </c>
      <c r="H1955" s="24" t="s">
        <v>579</v>
      </c>
      <c r="I1955" s="24" t="s">
        <v>591</v>
      </c>
      <c r="J1955" s="24" t="s">
        <v>592</v>
      </c>
      <c r="K1955" s="24" t="s">
        <v>599</v>
      </c>
    </row>
    <row r="1956" spans="1:11">
      <c r="A1956" s="12">
        <v>2018</v>
      </c>
      <c r="B1956" s="15" t="s">
        <v>160</v>
      </c>
      <c r="C1956" s="15" t="s">
        <v>175</v>
      </c>
      <c r="D1956" s="15" t="s">
        <v>176</v>
      </c>
      <c r="E1956" s="19">
        <v>275986</v>
      </c>
      <c r="F1956" s="19">
        <v>253810</v>
      </c>
      <c r="G1956" s="20">
        <f t="shared" si="30"/>
        <v>0.47907118966545614</v>
      </c>
      <c r="H1956" s="24" t="s">
        <v>579</v>
      </c>
      <c r="I1956" s="24" t="s">
        <v>591</v>
      </c>
      <c r="J1956" s="24" t="s">
        <v>592</v>
      </c>
      <c r="K1956" s="24" t="s">
        <v>599</v>
      </c>
    </row>
    <row r="1957" spans="1:11">
      <c r="A1957" s="12">
        <v>2018</v>
      </c>
      <c r="B1957" s="15" t="s">
        <v>160</v>
      </c>
      <c r="C1957" s="15" t="s">
        <v>177</v>
      </c>
      <c r="D1957" s="15" t="s">
        <v>178</v>
      </c>
      <c r="E1957" s="19">
        <v>167579</v>
      </c>
      <c r="F1957" s="19">
        <v>124175</v>
      </c>
      <c r="G1957" s="20">
        <f t="shared" si="30"/>
        <v>0.42561541572694805</v>
      </c>
      <c r="H1957" s="24" t="s">
        <v>579</v>
      </c>
      <c r="I1957" s="24" t="s">
        <v>591</v>
      </c>
      <c r="J1957" s="24" t="s">
        <v>592</v>
      </c>
      <c r="K1957" s="24" t="s">
        <v>599</v>
      </c>
    </row>
    <row r="1958" spans="1:11">
      <c r="A1958" s="12">
        <v>2018</v>
      </c>
      <c r="B1958" s="15" t="s">
        <v>160</v>
      </c>
      <c r="C1958" s="15" t="s">
        <v>179</v>
      </c>
      <c r="D1958" s="15" t="s">
        <v>180</v>
      </c>
      <c r="E1958" s="19">
        <v>234180</v>
      </c>
      <c r="F1958" s="19">
        <v>173231</v>
      </c>
      <c r="G1958" s="20">
        <f t="shared" si="30"/>
        <v>0.42519961414885704</v>
      </c>
      <c r="H1958" s="24" t="s">
        <v>579</v>
      </c>
      <c r="I1958" s="24" t="s">
        <v>591</v>
      </c>
      <c r="J1958" s="24" t="s">
        <v>592</v>
      </c>
      <c r="K1958" s="24" t="s">
        <v>599</v>
      </c>
    </row>
    <row r="1959" spans="1:11">
      <c r="A1959" s="12">
        <v>2018</v>
      </c>
      <c r="B1959" s="15" t="s">
        <v>160</v>
      </c>
      <c r="C1959" s="15" t="s">
        <v>181</v>
      </c>
      <c r="D1959" s="15" t="s">
        <v>182</v>
      </c>
      <c r="E1959" s="19">
        <v>361728</v>
      </c>
      <c r="F1959" s="19">
        <v>256315</v>
      </c>
      <c r="G1959" s="20">
        <f t="shared" si="30"/>
        <v>0.41472033499287264</v>
      </c>
      <c r="H1959" s="24" t="s">
        <v>579</v>
      </c>
      <c r="I1959" s="24" t="s">
        <v>591</v>
      </c>
      <c r="J1959" s="24" t="s">
        <v>592</v>
      </c>
      <c r="K1959" s="24" t="s">
        <v>599</v>
      </c>
    </row>
    <row r="1960" spans="1:11">
      <c r="A1960" s="12">
        <v>2018</v>
      </c>
      <c r="B1960" s="15" t="s">
        <v>160</v>
      </c>
      <c r="C1960" s="15" t="s">
        <v>183</v>
      </c>
      <c r="D1960" s="15" t="s">
        <v>184</v>
      </c>
      <c r="E1960" s="19">
        <v>558463</v>
      </c>
      <c r="F1960" s="19">
        <v>431467</v>
      </c>
      <c r="G1960" s="20">
        <f t="shared" si="30"/>
        <v>0.43585607063125675</v>
      </c>
      <c r="H1960" s="24" t="s">
        <v>579</v>
      </c>
      <c r="I1960" s="24" t="s">
        <v>591</v>
      </c>
      <c r="J1960" s="24" t="s">
        <v>592</v>
      </c>
      <c r="K1960" s="24" t="s">
        <v>599</v>
      </c>
    </row>
    <row r="1961" spans="1:11">
      <c r="A1961" s="12">
        <v>2018</v>
      </c>
      <c r="B1961" s="15" t="s">
        <v>160</v>
      </c>
      <c r="C1961" s="15" t="s">
        <v>185</v>
      </c>
      <c r="D1961" s="15" t="s">
        <v>186</v>
      </c>
      <c r="E1961" s="19">
        <v>80280</v>
      </c>
      <c r="F1961" s="19">
        <v>57997</v>
      </c>
      <c r="G1961" s="20">
        <f t="shared" si="30"/>
        <v>0.41942622417321751</v>
      </c>
      <c r="H1961" s="24" t="s">
        <v>579</v>
      </c>
      <c r="I1961" s="24" t="s">
        <v>591</v>
      </c>
      <c r="J1961" s="24" t="s">
        <v>592</v>
      </c>
      <c r="K1961" s="24" t="s">
        <v>599</v>
      </c>
    </row>
    <row r="1962" spans="1:11">
      <c r="A1962" s="12">
        <v>2018</v>
      </c>
      <c r="B1962" s="15" t="s">
        <v>160</v>
      </c>
      <c r="C1962" s="15" t="s">
        <v>187</v>
      </c>
      <c r="D1962" s="15" t="s">
        <v>188</v>
      </c>
      <c r="E1962" s="19">
        <v>736351</v>
      </c>
      <c r="F1962" s="19">
        <v>403337</v>
      </c>
      <c r="G1962" s="20">
        <f t="shared" si="30"/>
        <v>0.3539012431472473</v>
      </c>
      <c r="H1962" s="24" t="s">
        <v>579</v>
      </c>
      <c r="I1962" s="24" t="s">
        <v>596</v>
      </c>
      <c r="J1962" s="24" t="s">
        <v>597</v>
      </c>
      <c r="K1962" s="24" t="s">
        <v>599</v>
      </c>
    </row>
    <row r="1963" spans="1:11">
      <c r="A1963" s="12">
        <v>2018</v>
      </c>
      <c r="B1963" s="15" t="s">
        <v>160</v>
      </c>
      <c r="C1963" s="15" t="s">
        <v>195</v>
      </c>
      <c r="D1963" s="15" t="s">
        <v>196</v>
      </c>
      <c r="E1963" s="19">
        <v>422830</v>
      </c>
      <c r="F1963" s="19">
        <v>278452</v>
      </c>
      <c r="G1963" s="20">
        <f t="shared" si="30"/>
        <v>0.39706138186920525</v>
      </c>
      <c r="H1963" s="24" t="s">
        <v>579</v>
      </c>
      <c r="I1963" s="24" t="s">
        <v>596</v>
      </c>
      <c r="J1963" s="24" t="s">
        <v>597</v>
      </c>
      <c r="K1963" s="24" t="s">
        <v>599</v>
      </c>
    </row>
    <row r="1964" spans="1:11">
      <c r="A1964" s="12">
        <v>2018</v>
      </c>
      <c r="B1964" s="15" t="s">
        <v>160</v>
      </c>
      <c r="C1964" s="15" t="s">
        <v>197</v>
      </c>
      <c r="D1964" s="15" t="s">
        <v>198</v>
      </c>
      <c r="E1964" s="19">
        <v>172676</v>
      </c>
      <c r="F1964" s="19">
        <v>180399</v>
      </c>
      <c r="G1964" s="20">
        <f t="shared" si="30"/>
        <v>0.51093676980811442</v>
      </c>
      <c r="H1964" s="24" t="s">
        <v>579</v>
      </c>
      <c r="I1964" s="24" t="s">
        <v>596</v>
      </c>
      <c r="J1964" s="24" t="s">
        <v>597</v>
      </c>
      <c r="K1964" s="24" t="s">
        <v>599</v>
      </c>
    </row>
    <row r="1965" spans="1:11">
      <c r="A1965" s="12">
        <v>2018</v>
      </c>
      <c r="B1965" s="15" t="s">
        <v>160</v>
      </c>
      <c r="C1965" s="15" t="s">
        <v>199</v>
      </c>
      <c r="D1965" s="15" t="s">
        <v>200</v>
      </c>
      <c r="E1965" s="19">
        <v>168893</v>
      </c>
      <c r="F1965" s="19">
        <v>173855</v>
      </c>
      <c r="G1965" s="20">
        <f t="shared" si="30"/>
        <v>0.50723855427311026</v>
      </c>
      <c r="H1965" s="24" t="s">
        <v>579</v>
      </c>
      <c r="I1965" s="24" t="s">
        <v>596</v>
      </c>
      <c r="J1965" s="24" t="s">
        <v>597</v>
      </c>
      <c r="K1965" s="24" t="s">
        <v>599</v>
      </c>
    </row>
    <row r="1966" spans="1:11">
      <c r="A1966" s="12">
        <v>2018</v>
      </c>
      <c r="B1966" s="15" t="s">
        <v>160</v>
      </c>
      <c r="C1966" s="15" t="s">
        <v>201</v>
      </c>
      <c r="D1966" s="15" t="s">
        <v>202</v>
      </c>
      <c r="E1966" s="19">
        <v>291476</v>
      </c>
      <c r="F1966" s="19">
        <v>292312</v>
      </c>
      <c r="G1966" s="20">
        <f t="shared" si="30"/>
        <v>0.50071601334731097</v>
      </c>
      <c r="H1966" s="24" t="s">
        <v>579</v>
      </c>
      <c r="I1966" s="24" t="s">
        <v>596</v>
      </c>
      <c r="J1966" s="24" t="s">
        <v>597</v>
      </c>
      <c r="K1966" s="24" t="s">
        <v>599</v>
      </c>
    </row>
    <row r="1967" spans="1:11">
      <c r="A1967" s="12">
        <v>2018</v>
      </c>
      <c r="B1967" s="15" t="s">
        <v>160</v>
      </c>
      <c r="C1967" s="15" t="s">
        <v>203</v>
      </c>
      <c r="D1967" s="15" t="s">
        <v>204</v>
      </c>
      <c r="E1967" s="19">
        <v>287528</v>
      </c>
      <c r="F1967" s="19">
        <v>255252</v>
      </c>
      <c r="G1967" s="20">
        <f t="shared" si="30"/>
        <v>0.47026788017244558</v>
      </c>
      <c r="H1967" s="24" t="s">
        <v>579</v>
      </c>
      <c r="I1967" s="24" t="s">
        <v>596</v>
      </c>
      <c r="J1967" s="24" t="s">
        <v>597</v>
      </c>
      <c r="K1967" s="24" t="s">
        <v>599</v>
      </c>
    </row>
    <row r="1968" spans="1:11">
      <c r="A1968" s="12">
        <v>2018</v>
      </c>
      <c r="B1968" s="15" t="s">
        <v>160</v>
      </c>
      <c r="C1968" s="15" t="s">
        <v>205</v>
      </c>
      <c r="D1968" s="15" t="s">
        <v>206</v>
      </c>
      <c r="E1968" s="19">
        <v>234605</v>
      </c>
      <c r="F1968" s="19">
        <v>197918</v>
      </c>
      <c r="G1968" s="20">
        <f t="shared" si="30"/>
        <v>0.45758953859101137</v>
      </c>
      <c r="H1968" s="24" t="s">
        <v>579</v>
      </c>
      <c r="I1968" s="24" t="s">
        <v>596</v>
      </c>
      <c r="J1968" s="24" t="s">
        <v>597</v>
      </c>
      <c r="K1968" s="24" t="s">
        <v>599</v>
      </c>
    </row>
    <row r="1969" spans="1:11">
      <c r="A1969" s="12">
        <v>2018</v>
      </c>
      <c r="B1969" s="15" t="s">
        <v>160</v>
      </c>
      <c r="C1969" s="15" t="s">
        <v>207</v>
      </c>
      <c r="D1969" s="15" t="s">
        <v>208</v>
      </c>
      <c r="E1969" s="19">
        <v>144521</v>
      </c>
      <c r="F1969" s="19">
        <v>137609</v>
      </c>
      <c r="G1969" s="20">
        <f t="shared" si="30"/>
        <v>0.48775032786304184</v>
      </c>
      <c r="H1969" s="24" t="s">
        <v>579</v>
      </c>
      <c r="I1969" s="24" t="s">
        <v>596</v>
      </c>
      <c r="J1969" s="24" t="s">
        <v>597</v>
      </c>
      <c r="K1969" s="24" t="s">
        <v>599</v>
      </c>
    </row>
    <row r="1970" spans="1:11">
      <c r="A1970" s="12">
        <v>2018</v>
      </c>
      <c r="B1970" s="15" t="s">
        <v>160</v>
      </c>
      <c r="C1970" s="15" t="s">
        <v>209</v>
      </c>
      <c r="D1970" s="15" t="s">
        <v>210</v>
      </c>
      <c r="E1970" s="19">
        <v>385924</v>
      </c>
      <c r="F1970" s="19">
        <v>282607</v>
      </c>
      <c r="G1970" s="20">
        <f t="shared" si="30"/>
        <v>0.42272834019664007</v>
      </c>
      <c r="H1970" s="24" t="s">
        <v>579</v>
      </c>
      <c r="I1970" s="24" t="s">
        <v>591</v>
      </c>
      <c r="J1970" s="24" t="s">
        <v>592</v>
      </c>
      <c r="K1970" s="24" t="s">
        <v>599</v>
      </c>
    </row>
    <row r="1971" spans="1:11">
      <c r="A1971" s="12">
        <v>2018</v>
      </c>
      <c r="B1971" s="15" t="s">
        <v>160</v>
      </c>
      <c r="C1971" s="15" t="s">
        <v>211</v>
      </c>
      <c r="D1971" s="15" t="s">
        <v>212</v>
      </c>
      <c r="E1971" s="19">
        <v>279809</v>
      </c>
      <c r="F1971" s="19">
        <v>167781</v>
      </c>
      <c r="G1971" s="20">
        <f t="shared" si="30"/>
        <v>0.37485421926316492</v>
      </c>
      <c r="H1971" s="24" t="s">
        <v>579</v>
      </c>
      <c r="I1971" s="24" t="s">
        <v>591</v>
      </c>
      <c r="J1971" s="24" t="s">
        <v>592</v>
      </c>
      <c r="K1971" s="24" t="s">
        <v>599</v>
      </c>
    </row>
    <row r="1972" spans="1:11">
      <c r="A1972" s="12">
        <v>2018</v>
      </c>
      <c r="B1972" s="15" t="s">
        <v>160</v>
      </c>
      <c r="C1972" s="15" t="s">
        <v>213</v>
      </c>
      <c r="D1972" s="15" t="s">
        <v>214</v>
      </c>
      <c r="E1972" s="19">
        <v>280733</v>
      </c>
      <c r="F1972" s="19">
        <v>254267</v>
      </c>
      <c r="G1972" s="20">
        <f t="shared" si="30"/>
        <v>0.47526542056074766</v>
      </c>
      <c r="H1972" s="24" t="s">
        <v>579</v>
      </c>
      <c r="I1972" s="24" t="s">
        <v>591</v>
      </c>
      <c r="J1972" s="24" t="s">
        <v>592</v>
      </c>
      <c r="K1972" s="24" t="s">
        <v>599</v>
      </c>
    </row>
    <row r="1973" spans="1:11">
      <c r="A1973" s="12">
        <v>2018</v>
      </c>
      <c r="B1973" s="15" t="s">
        <v>160</v>
      </c>
      <c r="C1973" s="15" t="s">
        <v>215</v>
      </c>
      <c r="D1973" s="15" t="s">
        <v>216</v>
      </c>
      <c r="E1973" s="19">
        <v>156151</v>
      </c>
      <c r="F1973" s="19">
        <v>116036</v>
      </c>
      <c r="G1973" s="20">
        <f t="shared" si="30"/>
        <v>0.42630985315242831</v>
      </c>
      <c r="H1973" s="24" t="s">
        <v>579</v>
      </c>
      <c r="I1973" s="24" t="s">
        <v>591</v>
      </c>
      <c r="J1973" s="24" t="s">
        <v>592</v>
      </c>
      <c r="K1973" s="24" t="s">
        <v>599</v>
      </c>
    </row>
    <row r="1974" spans="1:11">
      <c r="A1974" s="12">
        <v>2018</v>
      </c>
      <c r="B1974" s="15" t="s">
        <v>160</v>
      </c>
      <c r="C1974" s="15" t="s">
        <v>217</v>
      </c>
      <c r="D1974" s="15" t="s">
        <v>218</v>
      </c>
      <c r="E1974" s="19">
        <v>274602</v>
      </c>
      <c r="F1974" s="19">
        <v>198920</v>
      </c>
      <c r="G1974" s="20">
        <f t="shared" si="30"/>
        <v>0.42008607836594708</v>
      </c>
      <c r="H1974" s="24" t="s">
        <v>579</v>
      </c>
      <c r="I1974" s="24" t="s">
        <v>596</v>
      </c>
      <c r="J1974" s="24" t="s">
        <v>597</v>
      </c>
      <c r="K1974" s="24" t="s">
        <v>599</v>
      </c>
    </row>
    <row r="1975" spans="1:11">
      <c r="A1975" s="12">
        <v>2018</v>
      </c>
      <c r="B1975" s="15" t="s">
        <v>160</v>
      </c>
      <c r="C1975" s="15" t="s">
        <v>219</v>
      </c>
      <c r="D1975" s="15" t="s">
        <v>220</v>
      </c>
      <c r="E1975" s="19">
        <v>197706</v>
      </c>
      <c r="F1975" s="19">
        <v>178030</v>
      </c>
      <c r="G1975" s="20">
        <f t="shared" si="30"/>
        <v>0.47381672237954309</v>
      </c>
      <c r="H1975" s="24" t="s">
        <v>579</v>
      </c>
      <c r="I1975" s="24" t="s">
        <v>596</v>
      </c>
      <c r="J1975" s="24" t="s">
        <v>597</v>
      </c>
      <c r="K1975" s="24" t="s">
        <v>599</v>
      </c>
    </row>
    <row r="1976" spans="1:11">
      <c r="A1976" s="12">
        <v>2018</v>
      </c>
      <c r="B1976" s="15" t="s">
        <v>160</v>
      </c>
      <c r="C1976" s="15" t="s">
        <v>221</v>
      </c>
      <c r="D1976" s="15" t="s">
        <v>222</v>
      </c>
      <c r="E1976" s="19">
        <v>167409</v>
      </c>
      <c r="F1976" s="19">
        <v>157537</v>
      </c>
      <c r="G1976" s="20">
        <f t="shared" si="30"/>
        <v>0.48480978377945871</v>
      </c>
      <c r="H1976" s="24" t="s">
        <v>579</v>
      </c>
      <c r="I1976" s="24" t="s">
        <v>591</v>
      </c>
      <c r="J1976" s="24" t="s">
        <v>592</v>
      </c>
      <c r="K1976" s="24" t="s">
        <v>599</v>
      </c>
    </row>
    <row r="1977" spans="1:11">
      <c r="A1977" s="12">
        <v>2018</v>
      </c>
      <c r="B1977" s="15" t="s">
        <v>160</v>
      </c>
      <c r="C1977" s="15" t="s">
        <v>223</v>
      </c>
      <c r="D1977" s="15" t="s">
        <v>224</v>
      </c>
      <c r="E1977" s="19">
        <v>86747</v>
      </c>
      <c r="F1977" s="19">
        <v>78339</v>
      </c>
      <c r="G1977" s="20">
        <f t="shared" si="30"/>
        <v>0.47453448505627371</v>
      </c>
      <c r="H1977" s="24" t="s">
        <v>579</v>
      </c>
      <c r="I1977" s="24" t="s">
        <v>591</v>
      </c>
      <c r="J1977" s="24" t="s">
        <v>592</v>
      </c>
      <c r="K1977" s="24" t="s">
        <v>599</v>
      </c>
    </row>
    <row r="1978" spans="1:11">
      <c r="A1978" s="12">
        <v>2018</v>
      </c>
      <c r="B1978" s="15" t="s">
        <v>160</v>
      </c>
      <c r="C1978" s="15" t="s">
        <v>227</v>
      </c>
      <c r="D1978" s="15" t="s">
        <v>228</v>
      </c>
      <c r="E1978" s="19">
        <v>87879</v>
      </c>
      <c r="F1978" s="19">
        <v>69916</v>
      </c>
      <c r="G1978" s="20">
        <f t="shared" si="30"/>
        <v>0.4430812129661903</v>
      </c>
      <c r="H1978" s="24" t="s">
        <v>579</v>
      </c>
      <c r="I1978" s="24" t="s">
        <v>591</v>
      </c>
      <c r="J1978" s="24" t="s">
        <v>592</v>
      </c>
      <c r="K1978" s="24" t="s">
        <v>599</v>
      </c>
    </row>
    <row r="1979" spans="1:11">
      <c r="A1979" s="12">
        <v>2018</v>
      </c>
      <c r="B1979" s="15" t="s">
        <v>160</v>
      </c>
      <c r="C1979" s="15" t="s">
        <v>229</v>
      </c>
      <c r="D1979" s="15" t="s">
        <v>230</v>
      </c>
      <c r="E1979" s="19">
        <v>32628</v>
      </c>
      <c r="F1979" s="19">
        <v>33619</v>
      </c>
      <c r="G1979" s="20">
        <f t="shared" si="30"/>
        <v>0.50747958398116144</v>
      </c>
      <c r="H1979" s="24" t="s">
        <v>579</v>
      </c>
      <c r="I1979" s="24" t="s">
        <v>591</v>
      </c>
      <c r="J1979" s="24" t="s">
        <v>592</v>
      </c>
      <c r="K1979" s="24" t="s">
        <v>599</v>
      </c>
    </row>
    <row r="1980" spans="1:11">
      <c r="A1980" s="12">
        <v>2018</v>
      </c>
      <c r="B1980" s="15" t="s">
        <v>160</v>
      </c>
      <c r="C1980" s="15" t="s">
        <v>231</v>
      </c>
      <c r="D1980" s="15" t="s">
        <v>232</v>
      </c>
      <c r="E1980" s="19">
        <v>187311</v>
      </c>
      <c r="F1980" s="19">
        <v>133365</v>
      </c>
      <c r="G1980" s="20">
        <f t="shared" si="30"/>
        <v>0.41588706357819105</v>
      </c>
      <c r="H1980" s="24" t="s">
        <v>579</v>
      </c>
      <c r="I1980" s="24" t="s">
        <v>591</v>
      </c>
      <c r="J1980" s="24" t="s">
        <v>592</v>
      </c>
      <c r="K1980" s="24" t="s">
        <v>599</v>
      </c>
    </row>
    <row r="1981" spans="1:11">
      <c r="A1981" s="12">
        <v>2018</v>
      </c>
      <c r="B1981" s="15" t="s">
        <v>160</v>
      </c>
      <c r="C1981" s="15" t="s">
        <v>235</v>
      </c>
      <c r="D1981" s="15" t="s">
        <v>236</v>
      </c>
      <c r="E1981" s="19">
        <v>325961</v>
      </c>
      <c r="F1981" s="19">
        <v>316137</v>
      </c>
      <c r="G1981" s="20">
        <f t="shared" si="30"/>
        <v>0.49235007740251491</v>
      </c>
      <c r="H1981" s="24" t="s">
        <v>579</v>
      </c>
      <c r="I1981" s="24" t="s">
        <v>591</v>
      </c>
      <c r="J1981" s="24" t="s">
        <v>592</v>
      </c>
      <c r="K1981" s="24" t="s">
        <v>599</v>
      </c>
    </row>
    <row r="1982" spans="1:11">
      <c r="A1982" s="12">
        <v>2018</v>
      </c>
      <c r="B1982" s="15" t="s">
        <v>160</v>
      </c>
      <c r="C1982" s="15" t="s">
        <v>237</v>
      </c>
      <c r="D1982" s="15" t="s">
        <v>238</v>
      </c>
      <c r="E1982" s="19">
        <v>275054</v>
      </c>
      <c r="F1982" s="19">
        <v>271559</v>
      </c>
      <c r="G1982" s="20">
        <f t="shared" si="30"/>
        <v>0.49680303981061558</v>
      </c>
      <c r="H1982" s="24" t="s">
        <v>579</v>
      </c>
      <c r="I1982" s="24" t="s">
        <v>591</v>
      </c>
      <c r="J1982" s="24" t="s">
        <v>592</v>
      </c>
      <c r="K1982" s="24" t="s">
        <v>599</v>
      </c>
    </row>
    <row r="1983" spans="1:11">
      <c r="A1983" s="12">
        <v>2018</v>
      </c>
      <c r="B1983" s="15" t="s">
        <v>160</v>
      </c>
      <c r="C1983" s="15" t="s">
        <v>239</v>
      </c>
      <c r="D1983" s="15" t="s">
        <v>240</v>
      </c>
      <c r="E1983" s="19">
        <v>195934</v>
      </c>
      <c r="F1983" s="19">
        <v>154299</v>
      </c>
      <c r="G1983" s="20">
        <f t="shared" si="30"/>
        <v>0.44056099796421239</v>
      </c>
      <c r="H1983" s="24" t="s">
        <v>579</v>
      </c>
      <c r="I1983" s="24" t="s">
        <v>591</v>
      </c>
      <c r="J1983" s="24" t="s">
        <v>592</v>
      </c>
      <c r="K1983" s="24" t="s">
        <v>599</v>
      </c>
    </row>
    <row r="1984" spans="1:11">
      <c r="A1984" s="12">
        <v>2018</v>
      </c>
      <c r="B1984" s="15" t="s">
        <v>160</v>
      </c>
      <c r="C1984" s="15" t="s">
        <v>241</v>
      </c>
      <c r="D1984" s="15" t="s">
        <v>242</v>
      </c>
      <c r="E1984" s="19">
        <v>107467</v>
      </c>
      <c r="F1984" s="19">
        <v>127236</v>
      </c>
      <c r="G1984" s="20">
        <f t="shared" si="30"/>
        <v>0.54211492822844187</v>
      </c>
      <c r="H1984" s="24" t="s">
        <v>579</v>
      </c>
      <c r="I1984" s="24" t="s">
        <v>591</v>
      </c>
      <c r="J1984" s="24" t="s">
        <v>592</v>
      </c>
      <c r="K1984" s="24" t="s">
        <v>599</v>
      </c>
    </row>
    <row r="1985" spans="1:11">
      <c r="A1985" s="12">
        <v>2018</v>
      </c>
      <c r="B1985" s="15" t="s">
        <v>160</v>
      </c>
      <c r="C1985" s="15" t="s">
        <v>243</v>
      </c>
      <c r="D1985" s="15" t="s">
        <v>244</v>
      </c>
      <c r="E1985" s="19">
        <v>378224</v>
      </c>
      <c r="F1985" s="19">
        <v>224431</v>
      </c>
      <c r="G1985" s="20">
        <f t="shared" si="30"/>
        <v>0.37240377994043028</v>
      </c>
      <c r="H1985" s="24" t="s">
        <v>579</v>
      </c>
      <c r="I1985" s="24" t="s">
        <v>596</v>
      </c>
      <c r="J1985" s="24" t="s">
        <v>597</v>
      </c>
      <c r="K1985" s="24" t="s">
        <v>599</v>
      </c>
    </row>
    <row r="1986" spans="1:11">
      <c r="A1986" s="12">
        <v>2018</v>
      </c>
      <c r="B1986" s="15" t="s">
        <v>160</v>
      </c>
      <c r="C1986" s="15" t="s">
        <v>245</v>
      </c>
      <c r="D1986" s="15" t="s">
        <v>246</v>
      </c>
      <c r="E1986" s="19">
        <v>186518</v>
      </c>
      <c r="F1986" s="19">
        <v>112117</v>
      </c>
      <c r="G1986" s="20">
        <f t="shared" si="30"/>
        <v>0.37543154687159913</v>
      </c>
      <c r="H1986" s="24" t="s">
        <v>579</v>
      </c>
      <c r="I1986" s="24" t="s">
        <v>591</v>
      </c>
      <c r="J1986" s="24" t="s">
        <v>592</v>
      </c>
      <c r="K1986" s="24" t="s">
        <v>599</v>
      </c>
    </row>
    <row r="1987" spans="1:11">
      <c r="A1987" s="12">
        <v>2018</v>
      </c>
      <c r="B1987" s="15" t="s">
        <v>160</v>
      </c>
      <c r="C1987" s="15" t="s">
        <v>247</v>
      </c>
      <c r="D1987" s="15" t="s">
        <v>248</v>
      </c>
      <c r="E1987" s="19">
        <v>377700</v>
      </c>
      <c r="F1987" s="19">
        <v>274695</v>
      </c>
      <c r="G1987" s="20">
        <f t="shared" si="30"/>
        <v>0.42105626192720669</v>
      </c>
      <c r="H1987" s="24" t="s">
        <v>579</v>
      </c>
      <c r="I1987" s="24" t="s">
        <v>591</v>
      </c>
      <c r="J1987" s="24" t="s">
        <v>592</v>
      </c>
      <c r="K1987" s="24" t="s">
        <v>599</v>
      </c>
    </row>
    <row r="1988" spans="1:11">
      <c r="A1988" s="12">
        <v>2018</v>
      </c>
      <c r="B1988" s="15" t="s">
        <v>160</v>
      </c>
      <c r="C1988" s="15" t="s">
        <v>249</v>
      </c>
      <c r="D1988" s="15" t="s">
        <v>250</v>
      </c>
      <c r="E1988" s="19">
        <v>433255</v>
      </c>
      <c r="F1988" s="19">
        <v>244501</v>
      </c>
      <c r="G1988" s="20">
        <f t="shared" si="30"/>
        <v>0.36075077166413871</v>
      </c>
      <c r="H1988" s="24" t="s">
        <v>579</v>
      </c>
      <c r="I1988" s="24" t="s">
        <v>591</v>
      </c>
      <c r="J1988" s="24" t="s">
        <v>592</v>
      </c>
      <c r="K1988" s="24" t="s">
        <v>599</v>
      </c>
    </row>
    <row r="1989" spans="1:11">
      <c r="A1989" s="12">
        <v>2018</v>
      </c>
      <c r="B1989" s="15" t="s">
        <v>160</v>
      </c>
      <c r="C1989" s="15" t="s">
        <v>251</v>
      </c>
      <c r="D1989" s="15" t="s">
        <v>252</v>
      </c>
      <c r="E1989" s="19">
        <v>125897</v>
      </c>
      <c r="F1989" s="19">
        <v>93828</v>
      </c>
      <c r="G1989" s="20">
        <f t="shared" si="30"/>
        <v>0.4270246899533508</v>
      </c>
      <c r="H1989" s="24" t="s">
        <v>579</v>
      </c>
      <c r="I1989" s="24" t="s">
        <v>591</v>
      </c>
      <c r="J1989" s="24" t="s">
        <v>592</v>
      </c>
      <c r="K1989" s="24" t="s">
        <v>599</v>
      </c>
    </row>
    <row r="1990" spans="1:11">
      <c r="A1990" s="12">
        <v>2018</v>
      </c>
      <c r="B1990" s="15" t="s">
        <v>160</v>
      </c>
      <c r="C1990" s="15" t="s">
        <v>253</v>
      </c>
      <c r="D1990" s="15" t="s">
        <v>254</v>
      </c>
      <c r="E1990" s="19">
        <v>178716</v>
      </c>
      <c r="F1990" s="19">
        <v>189463</v>
      </c>
      <c r="G1990" s="20">
        <f t="shared" ref="G1990:G2053" si="31">IFERROR(F1990/(E1990+F1990),"")</f>
        <v>0.5145948030713321</v>
      </c>
      <c r="H1990" s="24" t="s">
        <v>579</v>
      </c>
      <c r="I1990" s="24" t="s">
        <v>591</v>
      </c>
      <c r="J1990" s="24" t="s">
        <v>592</v>
      </c>
      <c r="K1990" s="24" t="s">
        <v>599</v>
      </c>
    </row>
    <row r="1991" spans="1:11">
      <c r="A1991" s="12">
        <v>2018</v>
      </c>
      <c r="B1991" s="15" t="s">
        <v>160</v>
      </c>
      <c r="C1991" s="15" t="s">
        <v>255</v>
      </c>
      <c r="D1991" s="15" t="s">
        <v>256</v>
      </c>
      <c r="E1991" s="19">
        <v>636932</v>
      </c>
      <c r="F1991" s="19">
        <v>499148</v>
      </c>
      <c r="G1991" s="20">
        <f t="shared" si="31"/>
        <v>0.43935990423209631</v>
      </c>
      <c r="H1991" s="24" t="s">
        <v>579</v>
      </c>
      <c r="I1991" s="24" t="s">
        <v>591</v>
      </c>
      <c r="J1991" s="24" t="s">
        <v>592</v>
      </c>
      <c r="K1991" s="24" t="s">
        <v>599</v>
      </c>
    </row>
    <row r="1992" spans="1:11">
      <c r="A1992" s="12">
        <v>2018</v>
      </c>
      <c r="B1992" s="15" t="s">
        <v>257</v>
      </c>
      <c r="C1992" s="15" t="s">
        <v>22</v>
      </c>
      <c r="D1992" s="15" t="s">
        <v>257</v>
      </c>
      <c r="E1992" s="19">
        <v>1365309</v>
      </c>
      <c r="F1992" s="19">
        <v>446446</v>
      </c>
      <c r="G1992" s="20">
        <f t="shared" si="31"/>
        <v>0.24641632008742903</v>
      </c>
      <c r="H1992" s="24" t="s">
        <v>579</v>
      </c>
      <c r="I1992" s="24" t="s">
        <v>591</v>
      </c>
      <c r="J1992" s="24" t="s">
        <v>592</v>
      </c>
      <c r="K1992" s="24" t="s">
        <v>599</v>
      </c>
    </row>
    <row r="1993" spans="1:11">
      <c r="A1993" s="12">
        <v>2018</v>
      </c>
      <c r="B1993" s="15" t="s">
        <v>257</v>
      </c>
      <c r="C1993" s="15" t="s">
        <v>258</v>
      </c>
      <c r="D1993" s="15" t="s">
        <v>259</v>
      </c>
      <c r="E1993" s="19">
        <v>188241</v>
      </c>
      <c r="F1993" s="19">
        <v>58408</v>
      </c>
      <c r="G1993" s="20">
        <f t="shared" si="31"/>
        <v>0.23680614962963564</v>
      </c>
      <c r="H1993" s="24" t="s">
        <v>579</v>
      </c>
      <c r="I1993" s="24" t="s">
        <v>591</v>
      </c>
      <c r="J1993" s="24" t="s">
        <v>592</v>
      </c>
      <c r="K1993" s="24" t="s">
        <v>599</v>
      </c>
    </row>
    <row r="1994" spans="1:11">
      <c r="A1994" s="12">
        <v>2018</v>
      </c>
      <c r="B1994" s="15" t="s">
        <v>257</v>
      </c>
      <c r="C1994" s="15" t="s">
        <v>260</v>
      </c>
      <c r="D1994" s="15" t="s">
        <v>261</v>
      </c>
      <c r="E1994" s="19">
        <v>16055</v>
      </c>
      <c r="F1994" s="19">
        <v>23866</v>
      </c>
      <c r="G1994" s="20">
        <f t="shared" si="31"/>
        <v>0.59783071566343526</v>
      </c>
      <c r="H1994" s="24" t="s">
        <v>579</v>
      </c>
      <c r="I1994" s="24" t="s">
        <v>591</v>
      </c>
      <c r="J1994" s="24" t="s">
        <v>592</v>
      </c>
      <c r="K1994" s="24" t="s">
        <v>599</v>
      </c>
    </row>
    <row r="1995" spans="1:11">
      <c r="A1995" s="12">
        <v>2018</v>
      </c>
      <c r="B1995" s="15" t="s">
        <v>257</v>
      </c>
      <c r="C1995" s="15" t="s">
        <v>262</v>
      </c>
      <c r="D1995" s="15" t="s">
        <v>263</v>
      </c>
      <c r="E1995" s="19">
        <v>80231</v>
      </c>
      <c r="F1995" s="19">
        <v>44517</v>
      </c>
      <c r="G1995" s="20">
        <f t="shared" si="31"/>
        <v>0.35685542052778402</v>
      </c>
      <c r="H1995" s="24" t="s">
        <v>579</v>
      </c>
      <c r="I1995" s="24" t="s">
        <v>591</v>
      </c>
      <c r="J1995" s="24" t="s">
        <v>592</v>
      </c>
      <c r="K1995" s="24" t="s">
        <v>599</v>
      </c>
    </row>
    <row r="1996" spans="1:11">
      <c r="A1996" s="12">
        <v>2018</v>
      </c>
      <c r="B1996" s="15" t="s">
        <v>257</v>
      </c>
      <c r="C1996" s="15" t="s">
        <v>264</v>
      </c>
      <c r="D1996" s="15" t="s">
        <v>265</v>
      </c>
      <c r="E1996" s="19">
        <v>56379</v>
      </c>
      <c r="F1996" s="19">
        <v>42573</v>
      </c>
      <c r="G1996" s="20">
        <f t="shared" si="31"/>
        <v>0.43023890371089013</v>
      </c>
      <c r="H1996" s="24" t="s">
        <v>579</v>
      </c>
      <c r="I1996" s="24" t="s">
        <v>591</v>
      </c>
      <c r="J1996" s="24" t="s">
        <v>592</v>
      </c>
      <c r="K1996" s="24" t="s">
        <v>599</v>
      </c>
    </row>
    <row r="1997" spans="1:11">
      <c r="A1997" s="12">
        <v>2018</v>
      </c>
      <c r="B1997" s="15" t="s">
        <v>257</v>
      </c>
      <c r="C1997" s="15" t="s">
        <v>266</v>
      </c>
      <c r="D1997" s="15" t="s">
        <v>267</v>
      </c>
      <c r="E1997" s="19">
        <v>70509</v>
      </c>
      <c r="F1997" s="19">
        <v>38042</v>
      </c>
      <c r="G1997" s="20">
        <f t="shared" si="31"/>
        <v>0.35045278256303486</v>
      </c>
      <c r="H1997" s="24" t="s">
        <v>579</v>
      </c>
      <c r="I1997" s="24" t="s">
        <v>591</v>
      </c>
      <c r="J1997" s="24" t="s">
        <v>592</v>
      </c>
      <c r="K1997" s="24" t="s">
        <v>599</v>
      </c>
    </row>
    <row r="1998" spans="1:11">
      <c r="A1998" s="12">
        <v>2018</v>
      </c>
      <c r="B1998" s="15" t="s">
        <v>257</v>
      </c>
      <c r="C1998" s="15" t="s">
        <v>268</v>
      </c>
      <c r="D1998" s="15" t="s">
        <v>269</v>
      </c>
      <c r="E1998" s="19">
        <v>18044</v>
      </c>
      <c r="F1998" s="19">
        <v>18056</v>
      </c>
      <c r="G1998" s="20">
        <f t="shared" si="31"/>
        <v>0.50016620498614961</v>
      </c>
      <c r="H1998" s="24" t="s">
        <v>579</v>
      </c>
      <c r="I1998" s="24" t="s">
        <v>591</v>
      </c>
      <c r="J1998" s="24" t="s">
        <v>592</v>
      </c>
      <c r="K1998" s="24" t="s">
        <v>599</v>
      </c>
    </row>
    <row r="1999" spans="1:11">
      <c r="A1999" s="12">
        <v>2018</v>
      </c>
      <c r="B1999" s="15" t="s">
        <v>257</v>
      </c>
      <c r="C1999" s="15" t="s">
        <v>270</v>
      </c>
      <c r="D1999" s="15" t="s">
        <v>271</v>
      </c>
      <c r="E1999" s="19">
        <v>17932</v>
      </c>
      <c r="F1999" s="19">
        <v>22998</v>
      </c>
      <c r="G1999" s="20">
        <f t="shared" si="31"/>
        <v>0.56188614708038109</v>
      </c>
      <c r="H1999" s="24" t="s">
        <v>579</v>
      </c>
      <c r="I1999" s="24" t="s">
        <v>591</v>
      </c>
      <c r="J1999" s="24" t="s">
        <v>592</v>
      </c>
      <c r="K1999" s="24" t="s">
        <v>599</v>
      </c>
    </row>
    <row r="2000" spans="1:11">
      <c r="A2000" s="12">
        <v>2018</v>
      </c>
      <c r="B2000" s="15" t="s">
        <v>257</v>
      </c>
      <c r="C2000" s="15" t="s">
        <v>272</v>
      </c>
      <c r="D2000" s="15" t="s">
        <v>273</v>
      </c>
      <c r="E2000" s="19">
        <v>29555</v>
      </c>
      <c r="F2000" s="19">
        <v>28943</v>
      </c>
      <c r="G2000" s="20">
        <f t="shared" si="31"/>
        <v>0.49476905193339943</v>
      </c>
      <c r="H2000" s="24" t="s">
        <v>579</v>
      </c>
      <c r="I2000" s="24" t="s">
        <v>591</v>
      </c>
      <c r="J2000" s="24" t="s">
        <v>592</v>
      </c>
      <c r="K2000" s="24" t="s">
        <v>599</v>
      </c>
    </row>
    <row r="2001" spans="1:11">
      <c r="A2001" s="12">
        <v>2018</v>
      </c>
      <c r="B2001" s="15" t="s">
        <v>257</v>
      </c>
      <c r="C2001" s="15" t="s">
        <v>274</v>
      </c>
      <c r="D2001" s="15" t="s">
        <v>275</v>
      </c>
      <c r="E2001" s="19">
        <v>306646</v>
      </c>
      <c r="F2001" s="19">
        <v>100934</v>
      </c>
      <c r="G2001" s="20">
        <f t="shared" si="31"/>
        <v>0.24764218067618626</v>
      </c>
      <c r="H2001" s="24" t="s">
        <v>579</v>
      </c>
      <c r="I2001" s="24" t="s">
        <v>591</v>
      </c>
      <c r="J2001" s="24" t="s">
        <v>592</v>
      </c>
      <c r="K2001" s="24" t="s">
        <v>599</v>
      </c>
    </row>
    <row r="2002" spans="1:11">
      <c r="A2002" s="12">
        <v>2018</v>
      </c>
      <c r="B2002" s="15" t="s">
        <v>257</v>
      </c>
      <c r="C2002" s="15" t="s">
        <v>276</v>
      </c>
      <c r="D2002" s="15" t="s">
        <v>277</v>
      </c>
      <c r="E2002" s="19">
        <v>24544</v>
      </c>
      <c r="F2002" s="19">
        <v>24496</v>
      </c>
      <c r="G2002" s="20">
        <f t="shared" si="31"/>
        <v>0.49951060358890703</v>
      </c>
      <c r="H2002" s="24" t="s">
        <v>579</v>
      </c>
      <c r="I2002" s="24" t="s">
        <v>591</v>
      </c>
      <c r="J2002" s="24" t="s">
        <v>592</v>
      </c>
      <c r="K2002" s="24" t="s">
        <v>599</v>
      </c>
    </row>
    <row r="2003" spans="1:11">
      <c r="A2003" s="12">
        <v>2018</v>
      </c>
      <c r="B2003" s="15" t="s">
        <v>257</v>
      </c>
      <c r="C2003" s="15" t="s">
        <v>278</v>
      </c>
      <c r="D2003" s="15" t="s">
        <v>279</v>
      </c>
      <c r="E2003" s="19">
        <v>26939</v>
      </c>
      <c r="F2003" s="19">
        <v>29205</v>
      </c>
      <c r="G2003" s="20">
        <f t="shared" si="31"/>
        <v>0.52018025078369901</v>
      </c>
      <c r="H2003" s="24" t="s">
        <v>579</v>
      </c>
      <c r="I2003" s="24" t="s">
        <v>591</v>
      </c>
      <c r="J2003" s="24" t="s">
        <v>592</v>
      </c>
      <c r="K2003" s="24" t="s">
        <v>599</v>
      </c>
    </row>
    <row r="2004" spans="1:11">
      <c r="A2004" s="12">
        <v>2018</v>
      </c>
      <c r="B2004" s="15" t="s">
        <v>257</v>
      </c>
      <c r="C2004" s="15" t="s">
        <v>280</v>
      </c>
      <c r="D2004" s="15" t="s">
        <v>281</v>
      </c>
      <c r="E2004" s="19">
        <v>36936</v>
      </c>
      <c r="F2004" s="19">
        <v>33665</v>
      </c>
      <c r="G2004" s="20">
        <f t="shared" si="31"/>
        <v>0.47683460574212833</v>
      </c>
      <c r="H2004" s="24" t="s">
        <v>579</v>
      </c>
      <c r="I2004" s="24" t="s">
        <v>591</v>
      </c>
      <c r="J2004" s="24" t="s">
        <v>592</v>
      </c>
      <c r="K2004" s="24" t="s">
        <v>599</v>
      </c>
    </row>
    <row r="2005" spans="1:11">
      <c r="A2005" s="12">
        <v>2018</v>
      </c>
      <c r="B2005" s="15" t="s">
        <v>257</v>
      </c>
      <c r="C2005" s="15" t="s">
        <v>282</v>
      </c>
      <c r="D2005" s="15" t="s">
        <v>283</v>
      </c>
      <c r="E2005" s="19">
        <v>250745</v>
      </c>
      <c r="F2005" s="19">
        <v>77667</v>
      </c>
      <c r="G2005" s="20">
        <f t="shared" si="31"/>
        <v>0.23649257639793916</v>
      </c>
      <c r="H2005" s="24" t="s">
        <v>579</v>
      </c>
      <c r="I2005" s="24" t="s">
        <v>591</v>
      </c>
      <c r="J2005" s="24" t="s">
        <v>592</v>
      </c>
      <c r="K2005" s="24" t="s">
        <v>599</v>
      </c>
    </row>
    <row r="2006" spans="1:11">
      <c r="A2006" s="12">
        <v>2018</v>
      </c>
      <c r="B2006" s="15" t="s">
        <v>257</v>
      </c>
      <c r="C2006" s="15" t="s">
        <v>284</v>
      </c>
      <c r="D2006" s="15" t="s">
        <v>285</v>
      </c>
      <c r="E2006" s="19">
        <v>37393</v>
      </c>
      <c r="F2006" s="19">
        <v>26175</v>
      </c>
      <c r="G2006" s="20">
        <f t="shared" si="31"/>
        <v>0.41176378051849988</v>
      </c>
      <c r="H2006" s="24" t="s">
        <v>579</v>
      </c>
      <c r="I2006" s="24" t="s">
        <v>591</v>
      </c>
      <c r="J2006" s="24" t="s">
        <v>592</v>
      </c>
      <c r="K2006" s="24" t="s">
        <v>599</v>
      </c>
    </row>
    <row r="2007" spans="1:11">
      <c r="A2007" s="12">
        <v>2018</v>
      </c>
      <c r="B2007" s="15" t="s">
        <v>257</v>
      </c>
      <c r="C2007" s="15" t="s">
        <v>286</v>
      </c>
      <c r="D2007" s="15" t="s">
        <v>287</v>
      </c>
      <c r="E2007" s="19">
        <v>31337</v>
      </c>
      <c r="F2007" s="19">
        <v>33953</v>
      </c>
      <c r="G2007" s="20">
        <f t="shared" si="31"/>
        <v>0.52003369581865522</v>
      </c>
      <c r="H2007" s="24" t="s">
        <v>579</v>
      </c>
      <c r="I2007" s="24" t="s">
        <v>591</v>
      </c>
      <c r="J2007" s="24" t="s">
        <v>592</v>
      </c>
      <c r="K2007" s="24" t="s">
        <v>599</v>
      </c>
    </row>
    <row r="2008" spans="1:11">
      <c r="A2008" s="12">
        <v>2018</v>
      </c>
      <c r="B2008" s="15" t="s">
        <v>257</v>
      </c>
      <c r="C2008" s="15" t="s">
        <v>288</v>
      </c>
      <c r="D2008" s="15" t="s">
        <v>289</v>
      </c>
      <c r="E2008" s="19">
        <v>56144</v>
      </c>
      <c r="F2008" s="19">
        <v>44449</v>
      </c>
      <c r="G2008" s="20">
        <f t="shared" si="31"/>
        <v>0.44186971260425678</v>
      </c>
      <c r="H2008" s="24" t="s">
        <v>579</v>
      </c>
      <c r="I2008" s="24" t="s">
        <v>591</v>
      </c>
      <c r="J2008" s="24" t="s">
        <v>592</v>
      </c>
      <c r="K2008" s="24" t="s">
        <v>599</v>
      </c>
    </row>
    <row r="2009" spans="1:11">
      <c r="A2009" s="12">
        <v>2018</v>
      </c>
      <c r="B2009" s="15" t="s">
        <v>257</v>
      </c>
      <c r="C2009" s="15" t="s">
        <v>290</v>
      </c>
      <c r="D2009" s="15" t="s">
        <v>291</v>
      </c>
      <c r="E2009" s="19">
        <v>17910</v>
      </c>
      <c r="F2009" s="19">
        <v>20405</v>
      </c>
      <c r="G2009" s="20">
        <f t="shared" si="31"/>
        <v>0.53255904998042547</v>
      </c>
      <c r="H2009" s="24" t="s">
        <v>579</v>
      </c>
      <c r="I2009" s="24" t="s">
        <v>591</v>
      </c>
      <c r="J2009" s="24" t="s">
        <v>592</v>
      </c>
      <c r="K2009" s="24" t="s">
        <v>599</v>
      </c>
    </row>
    <row r="2010" spans="1:11">
      <c r="A2010" s="12">
        <v>2018</v>
      </c>
      <c r="B2010" s="15" t="s">
        <v>257</v>
      </c>
      <c r="C2010" s="15" t="s">
        <v>292</v>
      </c>
      <c r="D2010" s="15" t="s">
        <v>293</v>
      </c>
      <c r="E2010" s="19">
        <v>35029</v>
      </c>
      <c r="F2010" s="19">
        <v>36276</v>
      </c>
      <c r="G2010" s="20">
        <f t="shared" si="31"/>
        <v>0.50874412734029872</v>
      </c>
      <c r="H2010" s="24" t="s">
        <v>579</v>
      </c>
      <c r="I2010" s="24" t="s">
        <v>591</v>
      </c>
      <c r="J2010" s="24" t="s">
        <v>592</v>
      </c>
      <c r="K2010" s="24" t="s">
        <v>599</v>
      </c>
    </row>
    <row r="2011" spans="1:11">
      <c r="A2011" s="12">
        <v>2018</v>
      </c>
      <c r="B2011" s="15" t="s">
        <v>294</v>
      </c>
      <c r="C2011" s="15" t="s">
        <v>22</v>
      </c>
      <c r="D2011" s="15" t="s">
        <v>294</v>
      </c>
      <c r="E2011" s="19">
        <v>1457645</v>
      </c>
      <c r="F2011" s="19">
        <v>505231</v>
      </c>
      <c r="G2011" s="20">
        <f t="shared" si="31"/>
        <v>0.25739323319455737</v>
      </c>
      <c r="H2011" s="24" t="s">
        <v>589</v>
      </c>
      <c r="I2011" s="24" t="s">
        <v>560</v>
      </c>
      <c r="J2011" s="24" t="s">
        <v>590</v>
      </c>
      <c r="K2011" s="24" t="s">
        <v>599</v>
      </c>
    </row>
    <row r="2012" spans="1:11">
      <c r="A2012" s="12">
        <v>2018</v>
      </c>
      <c r="B2012" s="15" t="s">
        <v>294</v>
      </c>
      <c r="C2012" s="15" t="s">
        <v>295</v>
      </c>
      <c r="D2012" s="15" t="s">
        <v>296</v>
      </c>
      <c r="E2012" s="19">
        <v>26154</v>
      </c>
      <c r="F2012" s="19">
        <v>32775</v>
      </c>
      <c r="G2012" s="20">
        <f t="shared" si="31"/>
        <v>0.55617777325255813</v>
      </c>
      <c r="H2012" s="24" t="s">
        <v>589</v>
      </c>
      <c r="I2012" s="24" t="s">
        <v>560</v>
      </c>
      <c r="J2012" s="24" t="s">
        <v>590</v>
      </c>
      <c r="K2012" s="24" t="s">
        <v>599</v>
      </c>
    </row>
    <row r="2013" spans="1:11">
      <c r="A2013" s="12">
        <v>2018</v>
      </c>
      <c r="B2013" s="15" t="s">
        <v>294</v>
      </c>
      <c r="C2013" s="15" t="s">
        <v>297</v>
      </c>
      <c r="D2013" s="15" t="s">
        <v>298</v>
      </c>
      <c r="E2013" s="19">
        <v>22236</v>
      </c>
      <c r="F2013" s="19">
        <v>24999</v>
      </c>
      <c r="G2013" s="20">
        <f t="shared" si="31"/>
        <v>0.52924738012067318</v>
      </c>
      <c r="H2013" s="24" t="s">
        <v>589</v>
      </c>
      <c r="I2013" s="24" t="s">
        <v>560</v>
      </c>
      <c r="J2013" s="24" t="s">
        <v>590</v>
      </c>
      <c r="K2013" s="24" t="s">
        <v>599</v>
      </c>
    </row>
    <row r="2014" spans="1:11">
      <c r="A2014" s="12">
        <v>2018</v>
      </c>
      <c r="B2014" s="15" t="s">
        <v>294</v>
      </c>
      <c r="C2014" s="15" t="s">
        <v>299</v>
      </c>
      <c r="D2014" s="15" t="s">
        <v>300</v>
      </c>
      <c r="E2014" s="19">
        <v>26794</v>
      </c>
      <c r="F2014" s="19">
        <v>24534</v>
      </c>
      <c r="G2014" s="20">
        <f t="shared" si="31"/>
        <v>0.47798472568578554</v>
      </c>
      <c r="H2014" s="24" t="s">
        <v>589</v>
      </c>
      <c r="I2014" s="24" t="s">
        <v>560</v>
      </c>
      <c r="J2014" s="24" t="s">
        <v>590</v>
      </c>
      <c r="K2014" s="24" t="s">
        <v>599</v>
      </c>
    </row>
    <row r="2015" spans="1:11">
      <c r="A2015" s="12">
        <v>2018</v>
      </c>
      <c r="B2015" s="15" t="s">
        <v>294</v>
      </c>
      <c r="C2015" s="15" t="s">
        <v>301</v>
      </c>
      <c r="D2015" s="15" t="s">
        <v>302</v>
      </c>
      <c r="E2015" s="19">
        <v>39885</v>
      </c>
      <c r="F2015" s="19">
        <v>34617</v>
      </c>
      <c r="G2015" s="20">
        <f t="shared" si="31"/>
        <v>0.46464524442296851</v>
      </c>
      <c r="H2015" s="24" t="s">
        <v>589</v>
      </c>
      <c r="I2015" s="24" t="s">
        <v>560</v>
      </c>
      <c r="J2015" s="24" t="s">
        <v>590</v>
      </c>
      <c r="K2015" s="24" t="s">
        <v>599</v>
      </c>
    </row>
    <row r="2016" spans="1:11">
      <c r="A2016" s="12">
        <v>2018</v>
      </c>
      <c r="B2016" s="15" t="s">
        <v>294</v>
      </c>
      <c r="C2016" s="15" t="s">
        <v>303</v>
      </c>
      <c r="D2016" s="15" t="s">
        <v>304</v>
      </c>
      <c r="E2016" s="19">
        <v>42631</v>
      </c>
      <c r="F2016" s="19">
        <v>36204</v>
      </c>
      <c r="G2016" s="20">
        <f t="shared" si="31"/>
        <v>0.45923764825267965</v>
      </c>
      <c r="H2016" s="24" t="s">
        <v>589</v>
      </c>
      <c r="I2016" s="24" t="s">
        <v>560</v>
      </c>
      <c r="J2016" s="24" t="s">
        <v>590</v>
      </c>
      <c r="K2016" s="24" t="s">
        <v>599</v>
      </c>
    </row>
    <row r="2017" spans="1:11">
      <c r="A2017" s="12">
        <v>2018</v>
      </c>
      <c r="B2017" s="15" t="s">
        <v>294</v>
      </c>
      <c r="C2017" s="15" t="s">
        <v>305</v>
      </c>
      <c r="D2017" s="15" t="s">
        <v>306</v>
      </c>
      <c r="E2017" s="19">
        <v>81933</v>
      </c>
      <c r="F2017" s="19">
        <v>74105</v>
      </c>
      <c r="G2017" s="20">
        <f t="shared" si="31"/>
        <v>0.47491636652610264</v>
      </c>
      <c r="H2017" s="24" t="s">
        <v>589</v>
      </c>
      <c r="I2017" s="24" t="s">
        <v>560</v>
      </c>
      <c r="J2017" s="24" t="s">
        <v>590</v>
      </c>
      <c r="K2017" s="24" t="s">
        <v>599</v>
      </c>
    </row>
    <row r="2018" spans="1:11">
      <c r="A2018" s="12">
        <v>2018</v>
      </c>
      <c r="B2018" s="15" t="s">
        <v>294</v>
      </c>
      <c r="C2018" s="15" t="s">
        <v>307</v>
      </c>
      <c r="D2018" s="15" t="s">
        <v>308</v>
      </c>
      <c r="E2018" s="19">
        <v>119030</v>
      </c>
      <c r="F2018" s="19">
        <v>60600</v>
      </c>
      <c r="G2018" s="20">
        <f t="shared" si="31"/>
        <v>0.33736012915437286</v>
      </c>
      <c r="H2018" s="24" t="s">
        <v>589</v>
      </c>
      <c r="I2018" s="24" t="s">
        <v>560</v>
      </c>
      <c r="J2018" s="24" t="s">
        <v>590</v>
      </c>
      <c r="K2018" s="24" t="s">
        <v>599</v>
      </c>
    </row>
    <row r="2019" spans="1:11">
      <c r="A2019" s="12">
        <v>2018</v>
      </c>
      <c r="B2019" s="15" t="s">
        <v>294</v>
      </c>
      <c r="C2019" s="15" t="s">
        <v>309</v>
      </c>
      <c r="D2019" s="15" t="s">
        <v>310</v>
      </c>
      <c r="E2019" s="19">
        <v>30705</v>
      </c>
      <c r="F2019" s="19">
        <v>27852</v>
      </c>
      <c r="G2019" s="20">
        <f t="shared" si="31"/>
        <v>0.47563912085660126</v>
      </c>
      <c r="H2019" s="24" t="s">
        <v>589</v>
      </c>
      <c r="I2019" s="24" t="s">
        <v>560</v>
      </c>
      <c r="J2019" s="24" t="s">
        <v>590</v>
      </c>
      <c r="K2019" s="24" t="s">
        <v>599</v>
      </c>
    </row>
    <row r="2020" spans="1:11">
      <c r="A2020" s="12">
        <v>2018</v>
      </c>
      <c r="B2020" s="15" t="s">
        <v>294</v>
      </c>
      <c r="C2020" s="15" t="s">
        <v>311</v>
      </c>
      <c r="D2020" s="15" t="s">
        <v>312</v>
      </c>
      <c r="E2020" s="19">
        <v>64795</v>
      </c>
      <c r="F2020" s="19">
        <v>56385</v>
      </c>
      <c r="G2020" s="20">
        <f t="shared" si="31"/>
        <v>0.46529955438191123</v>
      </c>
      <c r="H2020" s="24" t="s">
        <v>589</v>
      </c>
      <c r="I2020" s="24" t="s">
        <v>560</v>
      </c>
      <c r="J2020" s="24" t="s">
        <v>590</v>
      </c>
      <c r="K2020" s="24" t="s">
        <v>599</v>
      </c>
    </row>
    <row r="2021" spans="1:11">
      <c r="A2021" s="12">
        <v>2018</v>
      </c>
      <c r="B2021" s="15" t="s">
        <v>294</v>
      </c>
      <c r="C2021" s="15" t="s">
        <v>315</v>
      </c>
      <c r="D2021" s="15" t="s">
        <v>316</v>
      </c>
      <c r="E2021" s="19">
        <v>146701</v>
      </c>
      <c r="F2021" s="19">
        <v>120708</v>
      </c>
      <c r="G2021" s="20">
        <f t="shared" si="31"/>
        <v>0.45139841964930127</v>
      </c>
      <c r="H2021" s="24" t="s">
        <v>589</v>
      </c>
      <c r="I2021" s="24" t="s">
        <v>560</v>
      </c>
      <c r="J2021" s="24" t="s">
        <v>590</v>
      </c>
      <c r="K2021" s="24" t="s">
        <v>599</v>
      </c>
    </row>
    <row r="2022" spans="1:11">
      <c r="A2022" s="12">
        <v>2018</v>
      </c>
      <c r="B2022" s="15" t="s">
        <v>294</v>
      </c>
      <c r="C2022" s="15" t="s">
        <v>317</v>
      </c>
      <c r="D2022" s="15" t="s">
        <v>318</v>
      </c>
      <c r="E2022" s="19">
        <v>168710</v>
      </c>
      <c r="F2022" s="19">
        <v>163358</v>
      </c>
      <c r="G2022" s="20">
        <f t="shared" si="31"/>
        <v>0.49194140959080668</v>
      </c>
      <c r="H2022" s="24" t="s">
        <v>589</v>
      </c>
      <c r="I2022" s="24" t="s">
        <v>560</v>
      </c>
      <c r="J2022" s="24" t="s">
        <v>590</v>
      </c>
      <c r="K2022" s="24" t="s">
        <v>599</v>
      </c>
    </row>
    <row r="2023" spans="1:11">
      <c r="A2023" s="12">
        <v>2018</v>
      </c>
      <c r="B2023" s="15" t="s">
        <v>294</v>
      </c>
      <c r="C2023" s="15" t="s">
        <v>319</v>
      </c>
      <c r="D2023" s="15" t="s">
        <v>320</v>
      </c>
      <c r="E2023" s="19">
        <v>168464</v>
      </c>
      <c r="F2023" s="19">
        <v>131673</v>
      </c>
      <c r="G2023" s="20">
        <f t="shared" si="31"/>
        <v>0.43870965592379479</v>
      </c>
      <c r="H2023" s="24" t="s">
        <v>589</v>
      </c>
      <c r="I2023" s="24" t="s">
        <v>560</v>
      </c>
      <c r="J2023" s="24" t="s">
        <v>590</v>
      </c>
      <c r="K2023" s="24" t="s">
        <v>599</v>
      </c>
    </row>
    <row r="2024" spans="1:11">
      <c r="A2024" s="12">
        <v>2018</v>
      </c>
      <c r="B2024" s="15" t="s">
        <v>294</v>
      </c>
      <c r="C2024" s="15" t="s">
        <v>321</v>
      </c>
      <c r="D2024" s="15" t="s">
        <v>322</v>
      </c>
      <c r="E2024" s="19">
        <v>212477</v>
      </c>
      <c r="F2024" s="19">
        <v>177660</v>
      </c>
      <c r="G2024" s="20">
        <f t="shared" si="31"/>
        <v>0.45537849524654161</v>
      </c>
      <c r="H2024" s="24" t="s">
        <v>589</v>
      </c>
      <c r="I2024" s="24" t="s">
        <v>560</v>
      </c>
      <c r="J2024" s="24" t="s">
        <v>590</v>
      </c>
      <c r="K2024" s="24" t="s">
        <v>599</v>
      </c>
    </row>
    <row r="2025" spans="1:11">
      <c r="A2025" s="12">
        <v>2018</v>
      </c>
      <c r="B2025" s="15" t="s">
        <v>294</v>
      </c>
      <c r="C2025" s="15" t="s">
        <v>323</v>
      </c>
      <c r="D2025" s="15" t="s">
        <v>324</v>
      </c>
      <c r="E2025" s="19">
        <v>188716</v>
      </c>
      <c r="F2025" s="19">
        <v>82722</v>
      </c>
      <c r="G2025" s="20">
        <f t="shared" si="31"/>
        <v>0.30475467694280095</v>
      </c>
      <c r="H2025" s="24" t="s">
        <v>589</v>
      </c>
      <c r="I2025" s="24" t="s">
        <v>560</v>
      </c>
      <c r="J2025" s="24" t="s">
        <v>590</v>
      </c>
      <c r="K2025" s="24" t="s">
        <v>599</v>
      </c>
    </row>
    <row r="2026" spans="1:11">
      <c r="A2026" s="12">
        <v>2018</v>
      </c>
      <c r="B2026" s="15" t="s">
        <v>325</v>
      </c>
      <c r="C2026" s="15" t="s">
        <v>22</v>
      </c>
      <c r="D2026" s="15" t="s">
        <v>325</v>
      </c>
      <c r="E2026" s="19">
        <v>1923458</v>
      </c>
      <c r="F2026" s="19">
        <v>828090</v>
      </c>
      <c r="G2026" s="20">
        <f t="shared" si="31"/>
        <v>0.3009542264935956</v>
      </c>
      <c r="H2026" s="24" t="s">
        <v>589</v>
      </c>
      <c r="I2026" s="24" t="s">
        <v>560</v>
      </c>
      <c r="J2026" s="24" t="s">
        <v>590</v>
      </c>
      <c r="K2026" s="24" t="s">
        <v>599</v>
      </c>
    </row>
    <row r="2027" spans="1:11">
      <c r="A2027" s="12">
        <v>2018</v>
      </c>
      <c r="B2027" s="15" t="s">
        <v>325</v>
      </c>
      <c r="C2027" s="15" t="s">
        <v>326</v>
      </c>
      <c r="D2027" s="15" t="s">
        <v>327</v>
      </c>
      <c r="E2027" s="19">
        <v>34989</v>
      </c>
      <c r="F2027" s="19">
        <v>34143</v>
      </c>
      <c r="G2027" s="20">
        <f t="shared" si="31"/>
        <v>0.49388127061274084</v>
      </c>
      <c r="H2027" s="24" t="s">
        <v>589</v>
      </c>
      <c r="I2027" s="24" t="s">
        <v>560</v>
      </c>
      <c r="J2027" s="24" t="s">
        <v>590</v>
      </c>
      <c r="K2027" s="24" t="s">
        <v>599</v>
      </c>
    </row>
    <row r="2028" spans="1:11">
      <c r="A2028" s="12">
        <v>2018</v>
      </c>
      <c r="B2028" s="15" t="s">
        <v>325</v>
      </c>
      <c r="C2028" s="15" t="s">
        <v>328</v>
      </c>
      <c r="D2028" s="15" t="s">
        <v>329</v>
      </c>
      <c r="E2028" s="19">
        <v>89152</v>
      </c>
      <c r="F2028" s="19">
        <v>66331</v>
      </c>
      <c r="G2028" s="20">
        <f t="shared" si="31"/>
        <v>0.42661255571348639</v>
      </c>
      <c r="H2028" s="24" t="s">
        <v>589</v>
      </c>
      <c r="I2028" s="24" t="s">
        <v>560</v>
      </c>
      <c r="J2028" s="24" t="s">
        <v>590</v>
      </c>
      <c r="K2028" s="24" t="s">
        <v>599</v>
      </c>
    </row>
    <row r="2029" spans="1:11">
      <c r="A2029" s="12">
        <v>2018</v>
      </c>
      <c r="B2029" s="15" t="s">
        <v>325</v>
      </c>
      <c r="C2029" s="15" t="s">
        <v>330</v>
      </c>
      <c r="D2029" s="15" t="s">
        <v>331</v>
      </c>
      <c r="E2029" s="19">
        <v>42784</v>
      </c>
      <c r="F2029" s="19">
        <v>40741</v>
      </c>
      <c r="G2029" s="20">
        <f t="shared" si="31"/>
        <v>0.48777012870398084</v>
      </c>
      <c r="H2029" s="24" t="s">
        <v>589</v>
      </c>
      <c r="I2029" s="24" t="s">
        <v>560</v>
      </c>
      <c r="J2029" s="24" t="s">
        <v>590</v>
      </c>
      <c r="K2029" s="24" t="s">
        <v>599</v>
      </c>
    </row>
    <row r="2030" spans="1:11">
      <c r="A2030" s="12">
        <v>2018</v>
      </c>
      <c r="B2030" s="15" t="s">
        <v>325</v>
      </c>
      <c r="C2030" s="15" t="s">
        <v>332</v>
      </c>
      <c r="D2030" s="15" t="s">
        <v>333</v>
      </c>
      <c r="E2030" s="19">
        <v>102963</v>
      </c>
      <c r="F2030" s="19">
        <v>69194</v>
      </c>
      <c r="G2030" s="20">
        <f t="shared" si="31"/>
        <v>0.40192382534546955</v>
      </c>
      <c r="H2030" s="24" t="s">
        <v>589</v>
      </c>
      <c r="I2030" s="24" t="s">
        <v>560</v>
      </c>
      <c r="J2030" s="24" t="s">
        <v>590</v>
      </c>
      <c r="K2030" s="24" t="s">
        <v>599</v>
      </c>
    </row>
    <row r="2031" spans="1:11">
      <c r="A2031" s="12">
        <v>2018</v>
      </c>
      <c r="B2031" s="15" t="s">
        <v>325</v>
      </c>
      <c r="C2031" s="15" t="s">
        <v>336</v>
      </c>
      <c r="D2031" s="15" t="s">
        <v>337</v>
      </c>
      <c r="E2031" s="19">
        <v>149127</v>
      </c>
      <c r="F2031" s="19">
        <v>90390</v>
      </c>
      <c r="G2031" s="20">
        <f t="shared" si="31"/>
        <v>0.37738448627863574</v>
      </c>
      <c r="H2031" s="24" t="s">
        <v>589</v>
      </c>
      <c r="I2031" s="24" t="s">
        <v>560</v>
      </c>
      <c r="J2031" s="24" t="s">
        <v>590</v>
      </c>
      <c r="K2031" s="24" t="s">
        <v>599</v>
      </c>
    </row>
    <row r="2032" spans="1:11">
      <c r="A2032" s="12">
        <v>2018</v>
      </c>
      <c r="B2032" s="15" t="s">
        <v>325</v>
      </c>
      <c r="C2032" s="15" t="s">
        <v>338</v>
      </c>
      <c r="D2032" s="15" t="s">
        <v>339</v>
      </c>
      <c r="E2032" s="19">
        <v>87916</v>
      </c>
      <c r="F2032" s="19">
        <v>57508</v>
      </c>
      <c r="G2032" s="20">
        <f t="shared" si="31"/>
        <v>0.39545054461436902</v>
      </c>
      <c r="H2032" s="24" t="s">
        <v>589</v>
      </c>
      <c r="I2032" s="24" t="s">
        <v>560</v>
      </c>
      <c r="J2032" s="24" t="s">
        <v>590</v>
      </c>
      <c r="K2032" s="24" t="s">
        <v>599</v>
      </c>
    </row>
    <row r="2033" spans="1:11">
      <c r="A2033" s="12">
        <v>2018</v>
      </c>
      <c r="B2033" s="15" t="s">
        <v>325</v>
      </c>
      <c r="C2033" s="15" t="s">
        <v>340</v>
      </c>
      <c r="D2033" s="15" t="s">
        <v>341</v>
      </c>
      <c r="E2033" s="19">
        <v>55053</v>
      </c>
      <c r="F2033" s="19">
        <v>49595</v>
      </c>
      <c r="G2033" s="20">
        <f t="shared" si="31"/>
        <v>0.47392210075682289</v>
      </c>
      <c r="H2033" s="24" t="s">
        <v>589</v>
      </c>
      <c r="I2033" s="24" t="s">
        <v>560</v>
      </c>
      <c r="J2033" s="24" t="s">
        <v>590</v>
      </c>
      <c r="K2033" s="24" t="s">
        <v>599</v>
      </c>
    </row>
    <row r="2034" spans="1:11">
      <c r="A2034" s="12">
        <v>2018</v>
      </c>
      <c r="B2034" s="15" t="s">
        <v>325</v>
      </c>
      <c r="C2034" s="15" t="s">
        <v>342</v>
      </c>
      <c r="D2034" s="15" t="s">
        <v>343</v>
      </c>
      <c r="E2034" s="19">
        <v>154388</v>
      </c>
      <c r="F2034" s="19">
        <v>85894</v>
      </c>
      <c r="G2034" s="20">
        <f t="shared" si="31"/>
        <v>0.35747163749261285</v>
      </c>
      <c r="H2034" s="24" t="s">
        <v>589</v>
      </c>
      <c r="I2034" s="24" t="s">
        <v>560</v>
      </c>
      <c r="J2034" s="24" t="s">
        <v>590</v>
      </c>
      <c r="K2034" s="24" t="s">
        <v>599</v>
      </c>
    </row>
    <row r="2035" spans="1:11">
      <c r="A2035" s="12">
        <v>2018</v>
      </c>
      <c r="B2035" s="15" t="s">
        <v>325</v>
      </c>
      <c r="C2035" s="15" t="s">
        <v>344</v>
      </c>
      <c r="D2035" s="15" t="s">
        <v>345</v>
      </c>
      <c r="E2035" s="19">
        <v>45751</v>
      </c>
      <c r="F2035" s="19">
        <v>37930</v>
      </c>
      <c r="G2035" s="20">
        <f t="shared" si="31"/>
        <v>0.45326896189099081</v>
      </c>
      <c r="H2035" s="24" t="s">
        <v>589</v>
      </c>
      <c r="I2035" s="24" t="s">
        <v>560</v>
      </c>
      <c r="J2035" s="24" t="s">
        <v>590</v>
      </c>
      <c r="K2035" s="24" t="s">
        <v>599</v>
      </c>
    </row>
    <row r="2036" spans="1:11">
      <c r="A2036" s="12">
        <v>2018</v>
      </c>
      <c r="B2036" s="15" t="s">
        <v>325</v>
      </c>
      <c r="C2036" s="15" t="s">
        <v>346</v>
      </c>
      <c r="D2036" s="15" t="s">
        <v>347</v>
      </c>
      <c r="E2036" s="19">
        <v>270007</v>
      </c>
      <c r="F2036" s="19">
        <v>197391</v>
      </c>
      <c r="G2036" s="20">
        <f t="shared" si="31"/>
        <v>0.42231888026906406</v>
      </c>
      <c r="H2036" s="24" t="s">
        <v>589</v>
      </c>
      <c r="I2036" s="24" t="s">
        <v>560</v>
      </c>
      <c r="J2036" s="24" t="s">
        <v>590</v>
      </c>
      <c r="K2036" s="24" t="s">
        <v>599</v>
      </c>
    </row>
    <row r="2037" spans="1:11">
      <c r="A2037" s="12">
        <v>2018</v>
      </c>
      <c r="B2037" s="15" t="s">
        <v>325</v>
      </c>
      <c r="C2037" s="15" t="s">
        <v>350</v>
      </c>
      <c r="D2037" s="15" t="s">
        <v>351</v>
      </c>
      <c r="E2037" s="19">
        <v>65423</v>
      </c>
      <c r="F2037" s="19">
        <v>55800</v>
      </c>
      <c r="G2037" s="20">
        <f t="shared" si="31"/>
        <v>0.46030868729531527</v>
      </c>
      <c r="H2037" s="24" t="s">
        <v>589</v>
      </c>
      <c r="I2037" s="24" t="s">
        <v>560</v>
      </c>
      <c r="J2037" s="24" t="s">
        <v>590</v>
      </c>
      <c r="K2037" s="24" t="s">
        <v>599</v>
      </c>
    </row>
    <row r="2038" spans="1:11">
      <c r="A2038" s="12">
        <v>2018</v>
      </c>
      <c r="B2038" s="15" t="s">
        <v>325</v>
      </c>
      <c r="C2038" s="15" t="s">
        <v>354</v>
      </c>
      <c r="D2038" s="15" t="s">
        <v>355</v>
      </c>
      <c r="E2038" s="19">
        <v>207044</v>
      </c>
      <c r="F2038" s="19">
        <v>195499</v>
      </c>
      <c r="G2038" s="20">
        <f t="shared" si="31"/>
        <v>0.48565991707718181</v>
      </c>
      <c r="H2038" s="24" t="s">
        <v>589</v>
      </c>
      <c r="I2038" s="24" t="s">
        <v>560</v>
      </c>
      <c r="J2038" s="24" t="s">
        <v>590</v>
      </c>
      <c r="K2038" s="24" t="s">
        <v>599</v>
      </c>
    </row>
    <row r="2039" spans="1:11">
      <c r="A2039" s="12">
        <v>2018</v>
      </c>
      <c r="B2039" s="15" t="s">
        <v>325</v>
      </c>
      <c r="C2039" s="15" t="s">
        <v>356</v>
      </c>
      <c r="D2039" s="15" t="s">
        <v>357</v>
      </c>
      <c r="E2039" s="19">
        <v>337221</v>
      </c>
      <c r="F2039" s="19">
        <v>256502</v>
      </c>
      <c r="G2039" s="20">
        <f t="shared" si="31"/>
        <v>0.43202301409916744</v>
      </c>
      <c r="H2039" s="24" t="s">
        <v>589</v>
      </c>
      <c r="I2039" s="24" t="s">
        <v>560</v>
      </c>
      <c r="J2039" s="24" t="s">
        <v>590</v>
      </c>
      <c r="K2039" s="24" t="s">
        <v>599</v>
      </c>
    </row>
    <row r="2040" spans="1:11">
      <c r="A2040" s="12">
        <v>2018</v>
      </c>
      <c r="B2040" s="15" t="s">
        <v>325</v>
      </c>
      <c r="C2040" s="15" t="s">
        <v>358</v>
      </c>
      <c r="D2040" s="15" t="s">
        <v>359</v>
      </c>
      <c r="E2040" s="19">
        <v>23532</v>
      </c>
      <c r="F2040" s="19">
        <v>27240</v>
      </c>
      <c r="G2040" s="20">
        <f t="shared" si="31"/>
        <v>0.5365161900259986</v>
      </c>
      <c r="H2040" s="24" t="s">
        <v>589</v>
      </c>
      <c r="I2040" s="24" t="s">
        <v>560</v>
      </c>
      <c r="J2040" s="24" t="s">
        <v>590</v>
      </c>
      <c r="K2040" s="24" t="s">
        <v>599</v>
      </c>
    </row>
    <row r="2041" spans="1:11">
      <c r="A2041" s="12">
        <v>2018</v>
      </c>
      <c r="B2041" s="15" t="s">
        <v>325</v>
      </c>
      <c r="C2041" s="15" t="s">
        <v>360</v>
      </c>
      <c r="D2041" s="15" t="s">
        <v>361</v>
      </c>
      <c r="E2041" s="19">
        <v>51989</v>
      </c>
      <c r="F2041" s="19">
        <v>45526</v>
      </c>
      <c r="G2041" s="20">
        <f t="shared" si="31"/>
        <v>0.46686150848587399</v>
      </c>
      <c r="H2041" s="24" t="s">
        <v>589</v>
      </c>
      <c r="I2041" s="24" t="s">
        <v>560</v>
      </c>
      <c r="J2041" s="24" t="s">
        <v>590</v>
      </c>
      <c r="K2041" s="24" t="s">
        <v>599</v>
      </c>
    </row>
    <row r="2042" spans="1:11">
      <c r="A2042" s="12">
        <v>2018</v>
      </c>
      <c r="B2042" s="15" t="s">
        <v>325</v>
      </c>
      <c r="C2042" s="15" t="s">
        <v>362</v>
      </c>
      <c r="D2042" s="15" t="s">
        <v>363</v>
      </c>
      <c r="E2042" s="19">
        <v>88499</v>
      </c>
      <c r="F2042" s="19">
        <v>56077</v>
      </c>
      <c r="G2042" s="20">
        <f t="shared" si="31"/>
        <v>0.38787212262062859</v>
      </c>
      <c r="H2042" s="24" t="s">
        <v>589</v>
      </c>
      <c r="I2042" s="24" t="s">
        <v>560</v>
      </c>
      <c r="J2042" s="24" t="s">
        <v>590</v>
      </c>
      <c r="K2042" s="24" t="s">
        <v>599</v>
      </c>
    </row>
    <row r="2043" spans="1:11">
      <c r="A2043" s="12">
        <v>2018</v>
      </c>
      <c r="B2043" s="15" t="s">
        <v>364</v>
      </c>
      <c r="C2043" s="15" t="s">
        <v>22</v>
      </c>
      <c r="D2043" s="15" t="s">
        <v>364</v>
      </c>
      <c r="E2043" s="19">
        <v>1691666</v>
      </c>
      <c r="F2043" s="19">
        <v>412533</v>
      </c>
      <c r="G2043" s="20">
        <f t="shared" si="31"/>
        <v>0.19605227452346474</v>
      </c>
      <c r="H2043" s="24" t="s">
        <v>586</v>
      </c>
      <c r="I2043" s="24" t="s">
        <v>587</v>
      </c>
      <c r="J2043" s="24" t="s">
        <v>588</v>
      </c>
      <c r="K2043" s="24" t="s">
        <v>599</v>
      </c>
    </row>
    <row r="2044" spans="1:11">
      <c r="A2044" s="12">
        <v>2018</v>
      </c>
      <c r="B2044" s="15" t="s">
        <v>364</v>
      </c>
      <c r="C2044" s="15" t="s">
        <v>365</v>
      </c>
      <c r="D2044" s="15" t="s">
        <v>366</v>
      </c>
      <c r="E2044" s="19">
        <v>46577</v>
      </c>
      <c r="F2044" s="19">
        <v>39921</v>
      </c>
      <c r="G2044" s="20">
        <f t="shared" si="31"/>
        <v>0.461525121968138</v>
      </c>
      <c r="H2044" s="24" t="s">
        <v>586</v>
      </c>
      <c r="I2044" s="24" t="s">
        <v>587</v>
      </c>
      <c r="J2044" s="24" t="s">
        <v>588</v>
      </c>
      <c r="K2044" s="24" t="s">
        <v>599</v>
      </c>
    </row>
    <row r="2045" spans="1:11">
      <c r="A2045" s="12">
        <v>2018</v>
      </c>
      <c r="B2045" s="15" t="s">
        <v>364</v>
      </c>
      <c r="C2045" s="15" t="s">
        <v>367</v>
      </c>
      <c r="D2045" s="15" t="s">
        <v>368</v>
      </c>
      <c r="E2045" s="19">
        <v>245691</v>
      </c>
      <c r="F2045" s="19">
        <v>106110</v>
      </c>
      <c r="G2045" s="20">
        <f t="shared" si="31"/>
        <v>0.30161938141165034</v>
      </c>
      <c r="H2045" s="24" t="s">
        <v>586</v>
      </c>
      <c r="I2045" s="24" t="s">
        <v>587</v>
      </c>
      <c r="J2045" s="24" t="s">
        <v>588</v>
      </c>
      <c r="K2045" s="24" t="s">
        <v>599</v>
      </c>
    </row>
    <row r="2046" spans="1:11">
      <c r="A2046" s="12">
        <v>2018</v>
      </c>
      <c r="B2046" s="15" t="s">
        <v>364</v>
      </c>
      <c r="C2046" s="15" t="s">
        <v>369</v>
      </c>
      <c r="D2046" s="15" t="s">
        <v>370</v>
      </c>
      <c r="E2046" s="19">
        <v>66998</v>
      </c>
      <c r="F2046" s="19">
        <v>58270</v>
      </c>
      <c r="G2046" s="20">
        <f t="shared" si="31"/>
        <v>0.46516269119008846</v>
      </c>
      <c r="H2046" s="24" t="s">
        <v>586</v>
      </c>
      <c r="I2046" s="24" t="s">
        <v>587</v>
      </c>
      <c r="J2046" s="24" t="s">
        <v>588</v>
      </c>
      <c r="K2046" s="24" t="s">
        <v>599</v>
      </c>
    </row>
    <row r="2047" spans="1:11">
      <c r="A2047" s="12">
        <v>2018</v>
      </c>
      <c r="B2047" s="15" t="s">
        <v>364</v>
      </c>
      <c r="C2047" s="15" t="s">
        <v>371</v>
      </c>
      <c r="D2047" s="15" t="s">
        <v>372</v>
      </c>
      <c r="E2047" s="19">
        <v>72700</v>
      </c>
      <c r="F2047" s="19">
        <v>43114</v>
      </c>
      <c r="G2047" s="20">
        <f t="shared" si="31"/>
        <v>0.37226932840589222</v>
      </c>
      <c r="H2047" s="24" t="s">
        <v>586</v>
      </c>
      <c r="I2047" s="24" t="s">
        <v>587</v>
      </c>
      <c r="J2047" s="24" t="s">
        <v>588</v>
      </c>
      <c r="K2047" s="24" t="s">
        <v>599</v>
      </c>
    </row>
    <row r="2048" spans="1:11">
      <c r="A2048" s="12">
        <v>2018</v>
      </c>
      <c r="B2048" s="15" t="s">
        <v>364</v>
      </c>
      <c r="C2048" s="15" t="s">
        <v>373</v>
      </c>
      <c r="D2048" s="15" t="s">
        <v>374</v>
      </c>
      <c r="E2048" s="19">
        <v>19736</v>
      </c>
      <c r="F2048" s="19">
        <v>19712</v>
      </c>
      <c r="G2048" s="20">
        <f t="shared" si="31"/>
        <v>0.49969580206854591</v>
      </c>
      <c r="H2048" s="24" t="s">
        <v>586</v>
      </c>
      <c r="I2048" s="24" t="s">
        <v>587</v>
      </c>
      <c r="J2048" s="24" t="s">
        <v>588</v>
      </c>
      <c r="K2048" s="24" t="s">
        <v>599</v>
      </c>
    </row>
    <row r="2049" spans="1:11">
      <c r="A2049" s="12">
        <v>2018</v>
      </c>
      <c r="B2049" s="15" t="s">
        <v>364</v>
      </c>
      <c r="C2049" s="15" t="s">
        <v>375</v>
      </c>
      <c r="D2049" s="15" t="s">
        <v>376</v>
      </c>
      <c r="E2049" s="19">
        <v>45248</v>
      </c>
      <c r="F2049" s="19">
        <v>34802</v>
      </c>
      <c r="G2049" s="20">
        <f t="shared" si="31"/>
        <v>0.43475327920049966</v>
      </c>
      <c r="H2049" s="24" t="s">
        <v>586</v>
      </c>
      <c r="I2049" s="24" t="s">
        <v>587</v>
      </c>
      <c r="J2049" s="24" t="s">
        <v>588</v>
      </c>
      <c r="K2049" s="24" t="s">
        <v>599</v>
      </c>
    </row>
    <row r="2050" spans="1:11">
      <c r="A2050" s="12">
        <v>2018</v>
      </c>
      <c r="B2050" s="15" t="s">
        <v>364</v>
      </c>
      <c r="C2050" s="15" t="s">
        <v>377</v>
      </c>
      <c r="D2050" s="15" t="s">
        <v>378</v>
      </c>
      <c r="E2050" s="19">
        <v>21964</v>
      </c>
      <c r="F2050" s="19">
        <v>23889</v>
      </c>
      <c r="G2050" s="20">
        <f t="shared" si="31"/>
        <v>0.52099099295574991</v>
      </c>
      <c r="H2050" s="24" t="s">
        <v>586</v>
      </c>
      <c r="I2050" s="24" t="s">
        <v>587</v>
      </c>
      <c r="J2050" s="24" t="s">
        <v>588</v>
      </c>
      <c r="K2050" s="24" t="s">
        <v>599</v>
      </c>
    </row>
    <row r="2051" spans="1:11">
      <c r="A2051" s="12">
        <v>2018</v>
      </c>
      <c r="B2051" s="15" t="s">
        <v>364</v>
      </c>
      <c r="C2051" s="15" t="s">
        <v>379</v>
      </c>
      <c r="D2051" s="15" t="s">
        <v>380</v>
      </c>
      <c r="E2051" s="19">
        <v>64228</v>
      </c>
      <c r="F2051" s="19">
        <v>81783</v>
      </c>
      <c r="G2051" s="20">
        <f t="shared" si="31"/>
        <v>0.56011533377622236</v>
      </c>
      <c r="H2051" s="24" t="s">
        <v>586</v>
      </c>
      <c r="I2051" s="24" t="s">
        <v>587</v>
      </c>
      <c r="J2051" s="24" t="s">
        <v>588</v>
      </c>
      <c r="K2051" s="24" t="s">
        <v>599</v>
      </c>
    </row>
    <row r="2052" spans="1:11">
      <c r="A2052" s="12">
        <v>2018</v>
      </c>
      <c r="B2052" s="15" t="s">
        <v>364</v>
      </c>
      <c r="C2052" s="15" t="s">
        <v>381</v>
      </c>
      <c r="D2052" s="15" t="s">
        <v>382</v>
      </c>
      <c r="E2052" s="19">
        <v>261564</v>
      </c>
      <c r="F2052" s="19">
        <v>105506</v>
      </c>
      <c r="G2052" s="20">
        <f t="shared" si="31"/>
        <v>0.28742746615087039</v>
      </c>
      <c r="H2052" s="24" t="s">
        <v>586</v>
      </c>
      <c r="I2052" s="24" t="s">
        <v>587</v>
      </c>
      <c r="J2052" s="24" t="s">
        <v>588</v>
      </c>
      <c r="K2052" s="24" t="s">
        <v>599</v>
      </c>
    </row>
    <row r="2053" spans="1:11">
      <c r="A2053" s="12">
        <v>2018</v>
      </c>
      <c r="B2053" s="15" t="s">
        <v>364</v>
      </c>
      <c r="C2053" s="15" t="s">
        <v>383</v>
      </c>
      <c r="D2053" s="15" t="s">
        <v>384</v>
      </c>
      <c r="E2053" s="19">
        <v>20568</v>
      </c>
      <c r="F2053" s="19">
        <v>25840</v>
      </c>
      <c r="G2053" s="20">
        <f t="shared" si="31"/>
        <v>0.55680055162902953</v>
      </c>
      <c r="H2053" s="24" t="s">
        <v>586</v>
      </c>
      <c r="I2053" s="24" t="s">
        <v>587</v>
      </c>
      <c r="J2053" s="24" t="s">
        <v>588</v>
      </c>
      <c r="K2053" s="24" t="s">
        <v>599</v>
      </c>
    </row>
    <row r="2054" spans="1:11">
      <c r="A2054" s="12">
        <v>2018</v>
      </c>
      <c r="B2054" s="15" t="s">
        <v>364</v>
      </c>
      <c r="C2054" s="15" t="s">
        <v>385</v>
      </c>
      <c r="D2054" s="15" t="s">
        <v>386</v>
      </c>
      <c r="E2054" s="19">
        <v>16798</v>
      </c>
      <c r="F2054" s="19">
        <v>19833</v>
      </c>
      <c r="G2054" s="20">
        <f t="shared" ref="G2054:G2117" si="32">IFERROR(F2054/(E2054+F2054),"")</f>
        <v>0.54142666047882937</v>
      </c>
      <c r="H2054" s="24" t="s">
        <v>586</v>
      </c>
      <c r="I2054" s="24" t="s">
        <v>587</v>
      </c>
      <c r="J2054" s="24" t="s">
        <v>588</v>
      </c>
      <c r="K2054" s="24" t="s">
        <v>599</v>
      </c>
    </row>
    <row r="2055" spans="1:11">
      <c r="A2055" s="12">
        <v>2018</v>
      </c>
      <c r="B2055" s="15" t="s">
        <v>364</v>
      </c>
      <c r="C2055" s="15" t="s">
        <v>387</v>
      </c>
      <c r="D2055" s="15" t="s">
        <v>388</v>
      </c>
      <c r="E2055" s="19">
        <v>260678</v>
      </c>
      <c r="F2055" s="19">
        <v>199169</v>
      </c>
      <c r="G2055" s="20">
        <f t="shared" si="32"/>
        <v>0.43312014648350428</v>
      </c>
      <c r="H2055" s="24" t="s">
        <v>586</v>
      </c>
      <c r="I2055" s="24" t="s">
        <v>587</v>
      </c>
      <c r="J2055" s="24" t="s">
        <v>588</v>
      </c>
      <c r="K2055" s="24" t="s">
        <v>599</v>
      </c>
    </row>
    <row r="2056" spans="1:11">
      <c r="A2056" s="12">
        <v>2018</v>
      </c>
      <c r="B2056" s="15" t="s">
        <v>364</v>
      </c>
      <c r="C2056" s="15" t="s">
        <v>389</v>
      </c>
      <c r="D2056" s="15" t="s">
        <v>390</v>
      </c>
      <c r="E2056" s="19">
        <v>303672</v>
      </c>
      <c r="F2056" s="19">
        <v>190050</v>
      </c>
      <c r="G2056" s="20">
        <f t="shared" si="32"/>
        <v>0.38493322152952469</v>
      </c>
      <c r="H2056" s="24" t="s">
        <v>586</v>
      </c>
      <c r="I2056" s="24" t="s">
        <v>587</v>
      </c>
      <c r="J2056" s="24" t="s">
        <v>588</v>
      </c>
      <c r="K2056" s="24" t="s">
        <v>599</v>
      </c>
    </row>
    <row r="2057" spans="1:11">
      <c r="A2057" s="12">
        <v>2018</v>
      </c>
      <c r="B2057" s="15" t="s">
        <v>364</v>
      </c>
      <c r="C2057" s="15" t="s">
        <v>391</v>
      </c>
      <c r="D2057" s="15" t="s">
        <v>392</v>
      </c>
      <c r="E2057" s="19">
        <v>97474</v>
      </c>
      <c r="F2057" s="19">
        <v>61150</v>
      </c>
      <c r="G2057" s="20">
        <f t="shared" si="32"/>
        <v>0.38550282428888438</v>
      </c>
      <c r="H2057" s="24" t="s">
        <v>586</v>
      </c>
      <c r="I2057" s="24" t="s">
        <v>587</v>
      </c>
      <c r="J2057" s="24" t="s">
        <v>588</v>
      </c>
      <c r="K2057" s="24" t="s">
        <v>599</v>
      </c>
    </row>
    <row r="2058" spans="1:11">
      <c r="A2058" s="12">
        <v>2018</v>
      </c>
      <c r="B2058" s="15" t="s">
        <v>364</v>
      </c>
      <c r="C2058" s="15" t="s">
        <v>393</v>
      </c>
      <c r="D2058" s="15" t="s">
        <v>394</v>
      </c>
      <c r="E2058" s="19">
        <v>18578</v>
      </c>
      <c r="F2058" s="19">
        <v>21482</v>
      </c>
      <c r="G2058" s="20">
        <f t="shared" si="32"/>
        <v>0.53624563155267102</v>
      </c>
      <c r="H2058" s="24" t="s">
        <v>586</v>
      </c>
      <c r="I2058" s="24" t="s">
        <v>587</v>
      </c>
      <c r="J2058" s="24" t="s">
        <v>588</v>
      </c>
      <c r="K2058" s="24" t="s">
        <v>599</v>
      </c>
    </row>
    <row r="2059" spans="1:11">
      <c r="A2059" s="12">
        <v>2018</v>
      </c>
      <c r="B2059" s="15" t="s">
        <v>395</v>
      </c>
      <c r="C2059" s="15" t="s">
        <v>22</v>
      </c>
      <c r="D2059" s="15" t="s">
        <v>395</v>
      </c>
      <c r="E2059" s="19">
        <v>1658536</v>
      </c>
      <c r="F2059" s="19">
        <v>779421</v>
      </c>
      <c r="G2059" s="20">
        <f t="shared" si="32"/>
        <v>0.31970252141444661</v>
      </c>
      <c r="H2059" s="24" t="s">
        <v>586</v>
      </c>
      <c r="I2059" s="24" t="s">
        <v>587</v>
      </c>
      <c r="J2059" s="24" t="s">
        <v>588</v>
      </c>
      <c r="K2059" s="24" t="s">
        <v>599</v>
      </c>
    </row>
    <row r="2060" spans="1:11">
      <c r="A2060" s="12">
        <v>2018</v>
      </c>
      <c r="B2060" s="15" t="s">
        <v>395</v>
      </c>
      <c r="C2060" s="15" t="s">
        <v>396</v>
      </c>
      <c r="D2060" s="15" t="s">
        <v>397</v>
      </c>
      <c r="E2060" s="19">
        <v>29249</v>
      </c>
      <c r="F2060" s="19">
        <v>25711</v>
      </c>
      <c r="G2060" s="20">
        <f t="shared" si="32"/>
        <v>0.46781295487627367</v>
      </c>
      <c r="H2060" s="24" t="s">
        <v>586</v>
      </c>
      <c r="I2060" s="24" t="s">
        <v>587</v>
      </c>
      <c r="J2060" s="24" t="s">
        <v>588</v>
      </c>
      <c r="K2060" s="24" t="s">
        <v>599</v>
      </c>
    </row>
    <row r="2061" spans="1:11">
      <c r="A2061" s="12">
        <v>2018</v>
      </c>
      <c r="B2061" s="15" t="s">
        <v>395</v>
      </c>
      <c r="C2061" s="15" t="s">
        <v>398</v>
      </c>
      <c r="D2061" s="15" t="s">
        <v>399</v>
      </c>
      <c r="E2061" s="19">
        <v>54512</v>
      </c>
      <c r="F2061" s="19">
        <v>45364</v>
      </c>
      <c r="G2061" s="20">
        <f t="shared" si="32"/>
        <v>0.45420321198285873</v>
      </c>
      <c r="H2061" s="24" t="s">
        <v>586</v>
      </c>
      <c r="I2061" s="24" t="s">
        <v>587</v>
      </c>
      <c r="J2061" s="24" t="s">
        <v>588</v>
      </c>
      <c r="K2061" s="24" t="s">
        <v>599</v>
      </c>
    </row>
    <row r="2062" spans="1:11">
      <c r="A2062" s="12">
        <v>2018</v>
      </c>
      <c r="B2062" s="15" t="s">
        <v>395</v>
      </c>
      <c r="C2062" s="15" t="s">
        <v>400</v>
      </c>
      <c r="D2062" s="15" t="s">
        <v>401</v>
      </c>
      <c r="E2062" s="19">
        <v>21919</v>
      </c>
      <c r="F2062" s="19">
        <v>24759</v>
      </c>
      <c r="G2062" s="20">
        <f t="shared" si="32"/>
        <v>0.53042118342688205</v>
      </c>
      <c r="H2062" s="24" t="s">
        <v>586</v>
      </c>
      <c r="I2062" s="24" t="s">
        <v>587</v>
      </c>
      <c r="J2062" s="24" t="s">
        <v>588</v>
      </c>
      <c r="K2062" s="24" t="s">
        <v>599</v>
      </c>
    </row>
    <row r="2063" spans="1:11">
      <c r="A2063" s="12">
        <v>2018</v>
      </c>
      <c r="B2063" s="15" t="s">
        <v>395</v>
      </c>
      <c r="C2063" s="15" t="s">
        <v>402</v>
      </c>
      <c r="D2063" s="15" t="s">
        <v>403</v>
      </c>
      <c r="E2063" s="19">
        <v>128473</v>
      </c>
      <c r="F2063" s="19">
        <v>98623</v>
      </c>
      <c r="G2063" s="20">
        <f t="shared" si="32"/>
        <v>0.43427889526896113</v>
      </c>
      <c r="H2063" s="24" t="s">
        <v>586</v>
      </c>
      <c r="I2063" s="24" t="s">
        <v>587</v>
      </c>
      <c r="J2063" s="24" t="s">
        <v>588</v>
      </c>
      <c r="K2063" s="24" t="s">
        <v>599</v>
      </c>
    </row>
    <row r="2064" spans="1:11">
      <c r="A2064" s="12">
        <v>2018</v>
      </c>
      <c r="B2064" s="15" t="s">
        <v>395</v>
      </c>
      <c r="C2064" s="15" t="s">
        <v>404</v>
      </c>
      <c r="D2064" s="15" t="s">
        <v>405</v>
      </c>
      <c r="E2064" s="19">
        <v>20843</v>
      </c>
      <c r="F2064" s="19">
        <v>21626</v>
      </c>
      <c r="G2064" s="20">
        <f t="shared" si="32"/>
        <v>0.50921848878005138</v>
      </c>
      <c r="H2064" s="24" t="s">
        <v>586</v>
      </c>
      <c r="I2064" s="24" t="s">
        <v>587</v>
      </c>
      <c r="J2064" s="24" t="s">
        <v>588</v>
      </c>
      <c r="K2064" s="24" t="s">
        <v>599</v>
      </c>
    </row>
    <row r="2065" spans="1:11">
      <c r="A2065" s="12">
        <v>2018</v>
      </c>
      <c r="B2065" s="15" t="s">
        <v>395</v>
      </c>
      <c r="C2065" s="15" t="s">
        <v>406</v>
      </c>
      <c r="D2065" s="15" t="s">
        <v>407</v>
      </c>
      <c r="E2065" s="19">
        <v>88797</v>
      </c>
      <c r="F2065" s="19">
        <v>81876</v>
      </c>
      <c r="G2065" s="20">
        <f t="shared" si="32"/>
        <v>0.47972438522789196</v>
      </c>
      <c r="H2065" s="24" t="s">
        <v>586</v>
      </c>
      <c r="I2065" s="24" t="s">
        <v>587</v>
      </c>
      <c r="J2065" s="24" t="s">
        <v>588</v>
      </c>
      <c r="K2065" s="24" t="s">
        <v>599</v>
      </c>
    </row>
    <row r="2066" spans="1:11">
      <c r="A2066" s="12">
        <v>2018</v>
      </c>
      <c r="B2066" s="15" t="s">
        <v>395</v>
      </c>
      <c r="C2066" s="15" t="s">
        <v>408</v>
      </c>
      <c r="D2066" s="15" t="s">
        <v>409</v>
      </c>
      <c r="E2066" s="19">
        <v>31890</v>
      </c>
      <c r="F2066" s="19">
        <v>38153</v>
      </c>
      <c r="G2066" s="20">
        <f t="shared" si="32"/>
        <v>0.54470825064603168</v>
      </c>
      <c r="H2066" s="24" t="s">
        <v>586</v>
      </c>
      <c r="I2066" s="24" t="s">
        <v>587</v>
      </c>
      <c r="J2066" s="24" t="s">
        <v>588</v>
      </c>
      <c r="K2066" s="24" t="s">
        <v>599</v>
      </c>
    </row>
    <row r="2067" spans="1:11">
      <c r="A2067" s="12">
        <v>2018</v>
      </c>
      <c r="B2067" s="15" t="s">
        <v>395</v>
      </c>
      <c r="C2067" s="15" t="s">
        <v>410</v>
      </c>
      <c r="D2067" s="15" t="s">
        <v>411</v>
      </c>
      <c r="E2067" s="19">
        <v>207098</v>
      </c>
      <c r="F2067" s="19">
        <v>102128</v>
      </c>
      <c r="G2067" s="20">
        <f t="shared" si="32"/>
        <v>0.33026977032979116</v>
      </c>
      <c r="H2067" s="24" t="s">
        <v>586</v>
      </c>
      <c r="I2067" s="24" t="s">
        <v>587</v>
      </c>
      <c r="J2067" s="24" t="s">
        <v>588</v>
      </c>
      <c r="K2067" s="24" t="s">
        <v>599</v>
      </c>
    </row>
    <row r="2068" spans="1:11">
      <c r="A2068" s="12">
        <v>2018</v>
      </c>
      <c r="B2068" s="15" t="s">
        <v>395</v>
      </c>
      <c r="C2068" s="15" t="s">
        <v>412</v>
      </c>
      <c r="D2068" s="15" t="s">
        <v>413</v>
      </c>
      <c r="E2068" s="19">
        <v>63267</v>
      </c>
      <c r="F2068" s="19">
        <v>66090</v>
      </c>
      <c r="G2068" s="20">
        <f t="shared" si="32"/>
        <v>0.51091166307196367</v>
      </c>
      <c r="H2068" s="24" t="s">
        <v>586</v>
      </c>
      <c r="I2068" s="24" t="s">
        <v>587</v>
      </c>
      <c r="J2068" s="24" t="s">
        <v>588</v>
      </c>
      <c r="K2068" s="24" t="s">
        <v>599</v>
      </c>
    </row>
    <row r="2069" spans="1:11">
      <c r="A2069" s="12">
        <v>2018</v>
      </c>
      <c r="B2069" s="15" t="s">
        <v>395</v>
      </c>
      <c r="C2069" s="15" t="s">
        <v>414</v>
      </c>
      <c r="D2069" s="15" t="s">
        <v>415</v>
      </c>
      <c r="E2069" s="19">
        <v>32431</v>
      </c>
      <c r="F2069" s="19">
        <v>33052</v>
      </c>
      <c r="G2069" s="20">
        <f t="shared" si="32"/>
        <v>0.50474168868255886</v>
      </c>
      <c r="H2069" s="24" t="s">
        <v>586</v>
      </c>
      <c r="I2069" s="24" t="s">
        <v>587</v>
      </c>
      <c r="J2069" s="24" t="s">
        <v>588</v>
      </c>
      <c r="K2069" s="24" t="s">
        <v>599</v>
      </c>
    </row>
    <row r="2070" spans="1:11">
      <c r="A2070" s="12">
        <v>2018</v>
      </c>
      <c r="B2070" s="15" t="s">
        <v>395</v>
      </c>
      <c r="C2070" s="15" t="s">
        <v>416</v>
      </c>
      <c r="D2070" s="15" t="s">
        <v>417</v>
      </c>
      <c r="E2070" s="19">
        <v>250582</v>
      </c>
      <c r="F2070" s="19">
        <v>108147</v>
      </c>
      <c r="G2070" s="20">
        <f t="shared" si="32"/>
        <v>0.30147269944721505</v>
      </c>
      <c r="H2070" s="24" t="s">
        <v>586</v>
      </c>
      <c r="I2070" s="24" t="s">
        <v>587</v>
      </c>
      <c r="J2070" s="24" t="s">
        <v>588</v>
      </c>
      <c r="K2070" s="24" t="s">
        <v>599</v>
      </c>
    </row>
    <row r="2071" spans="1:11">
      <c r="A2071" s="12">
        <v>2018</v>
      </c>
      <c r="B2071" s="15" t="s">
        <v>395</v>
      </c>
      <c r="C2071" s="15" t="s">
        <v>418</v>
      </c>
      <c r="D2071" s="15" t="s">
        <v>419</v>
      </c>
      <c r="E2071" s="19">
        <v>26292</v>
      </c>
      <c r="F2071" s="19">
        <v>36930</v>
      </c>
      <c r="G2071" s="20">
        <f t="shared" si="32"/>
        <v>0.58413210591249887</v>
      </c>
      <c r="H2071" s="24" t="s">
        <v>586</v>
      </c>
      <c r="I2071" s="24" t="s">
        <v>587</v>
      </c>
      <c r="J2071" s="24" t="s">
        <v>588</v>
      </c>
      <c r="K2071" s="24" t="s">
        <v>599</v>
      </c>
    </row>
    <row r="2072" spans="1:11">
      <c r="A2072" s="12">
        <v>2018</v>
      </c>
      <c r="B2072" s="15" t="s">
        <v>395</v>
      </c>
      <c r="C2072" s="15" t="s">
        <v>420</v>
      </c>
      <c r="D2072" s="15" t="s">
        <v>421</v>
      </c>
      <c r="E2072" s="19">
        <v>255538</v>
      </c>
      <c r="F2072" s="19">
        <v>112238</v>
      </c>
      <c r="G2072" s="20">
        <f t="shared" si="32"/>
        <v>0.30518032715565996</v>
      </c>
      <c r="H2072" s="24" t="s">
        <v>586</v>
      </c>
      <c r="I2072" s="24" t="s">
        <v>587</v>
      </c>
      <c r="J2072" s="24" t="s">
        <v>588</v>
      </c>
      <c r="K2072" s="24" t="s">
        <v>599</v>
      </c>
    </row>
    <row r="2073" spans="1:11">
      <c r="A2073" s="12">
        <v>2018</v>
      </c>
      <c r="B2073" s="15" t="s">
        <v>395</v>
      </c>
      <c r="C2073" s="15" t="s">
        <v>422</v>
      </c>
      <c r="D2073" s="15" t="s">
        <v>423</v>
      </c>
      <c r="E2073" s="19">
        <v>44737</v>
      </c>
      <c r="F2073" s="19">
        <v>34010</v>
      </c>
      <c r="G2073" s="20">
        <f t="shared" si="32"/>
        <v>0.43188946880516083</v>
      </c>
      <c r="H2073" s="24" t="s">
        <v>586</v>
      </c>
      <c r="I2073" s="24" t="s">
        <v>587</v>
      </c>
      <c r="J2073" s="24" t="s">
        <v>588</v>
      </c>
      <c r="K2073" s="24" t="s">
        <v>599</v>
      </c>
    </row>
    <row r="2074" spans="1:11">
      <c r="A2074" s="12">
        <v>2018</v>
      </c>
      <c r="B2074" s="15" t="s">
        <v>395</v>
      </c>
      <c r="C2074" s="15" t="s">
        <v>424</v>
      </c>
      <c r="D2074" s="15" t="s">
        <v>425</v>
      </c>
      <c r="E2074" s="19">
        <v>40267</v>
      </c>
      <c r="F2074" s="19">
        <v>48875</v>
      </c>
      <c r="G2074" s="20">
        <f t="shared" si="32"/>
        <v>0.54828251553700835</v>
      </c>
      <c r="H2074" s="24" t="s">
        <v>586</v>
      </c>
      <c r="I2074" s="24" t="s">
        <v>587</v>
      </c>
      <c r="J2074" s="24" t="s">
        <v>588</v>
      </c>
      <c r="K2074" s="24" t="s">
        <v>599</v>
      </c>
    </row>
    <row r="2075" spans="1:11">
      <c r="A2075" s="12">
        <v>2018</v>
      </c>
      <c r="B2075" s="15" t="s">
        <v>395</v>
      </c>
      <c r="C2075" s="15" t="s">
        <v>426</v>
      </c>
      <c r="D2075" s="15" t="s">
        <v>427</v>
      </c>
      <c r="E2075" s="19">
        <v>42201</v>
      </c>
      <c r="F2075" s="19">
        <v>42263</v>
      </c>
      <c r="G2075" s="20">
        <f t="shared" si="32"/>
        <v>0.50036702026899038</v>
      </c>
      <c r="H2075" s="24" t="s">
        <v>586</v>
      </c>
      <c r="I2075" s="24" t="s">
        <v>587</v>
      </c>
      <c r="J2075" s="24" t="s">
        <v>588</v>
      </c>
      <c r="K2075" s="24" t="s">
        <v>599</v>
      </c>
    </row>
    <row r="2076" spans="1:11">
      <c r="A2076" s="12">
        <v>2018</v>
      </c>
      <c r="B2076" s="15" t="s">
        <v>395</v>
      </c>
      <c r="C2076" s="15" t="s">
        <v>428</v>
      </c>
      <c r="D2076" s="15" t="s">
        <v>429</v>
      </c>
      <c r="E2076" s="19">
        <v>30492</v>
      </c>
      <c r="F2076" s="19">
        <v>38147</v>
      </c>
      <c r="G2076" s="20">
        <f t="shared" si="32"/>
        <v>0.55576275878145076</v>
      </c>
      <c r="H2076" s="24" t="s">
        <v>586</v>
      </c>
      <c r="I2076" s="24" t="s">
        <v>587</v>
      </c>
      <c r="J2076" s="24" t="s">
        <v>588</v>
      </c>
      <c r="K2076" s="24" t="s">
        <v>599</v>
      </c>
    </row>
    <row r="2077" spans="1:11">
      <c r="A2077" s="12">
        <v>2018</v>
      </c>
      <c r="B2077" s="15" t="s">
        <v>395</v>
      </c>
      <c r="C2077" s="15" t="s">
        <v>430</v>
      </c>
      <c r="D2077" s="15" t="s">
        <v>431</v>
      </c>
      <c r="E2077" s="19">
        <v>31922</v>
      </c>
      <c r="F2077" s="19">
        <v>27986</v>
      </c>
      <c r="G2077" s="20">
        <f t="shared" si="32"/>
        <v>0.46714962943179544</v>
      </c>
      <c r="H2077" s="24" t="s">
        <v>586</v>
      </c>
      <c r="I2077" s="24" t="s">
        <v>587</v>
      </c>
      <c r="J2077" s="24" t="s">
        <v>588</v>
      </c>
      <c r="K2077" s="24" t="s">
        <v>599</v>
      </c>
    </row>
    <row r="2078" spans="1:11">
      <c r="A2078" s="12">
        <v>2018</v>
      </c>
      <c r="B2078" s="15" t="s">
        <v>395</v>
      </c>
      <c r="C2078" s="15" t="s">
        <v>432</v>
      </c>
      <c r="D2078" s="15" t="s">
        <v>433</v>
      </c>
      <c r="E2078" s="19">
        <v>24588</v>
      </c>
      <c r="F2078" s="19">
        <v>25532</v>
      </c>
      <c r="G2078" s="20">
        <f t="shared" si="32"/>
        <v>0.50941739824421384</v>
      </c>
      <c r="H2078" s="24" t="s">
        <v>586</v>
      </c>
      <c r="I2078" s="24" t="s">
        <v>587</v>
      </c>
      <c r="J2078" s="24" t="s">
        <v>588</v>
      </c>
      <c r="K2078" s="24" t="s">
        <v>599</v>
      </c>
    </row>
    <row r="2079" spans="1:11">
      <c r="A2079" s="12">
        <v>2018</v>
      </c>
      <c r="B2079" s="15" t="s">
        <v>395</v>
      </c>
      <c r="C2079" s="15" t="s">
        <v>434</v>
      </c>
      <c r="D2079" s="15" t="s">
        <v>435</v>
      </c>
      <c r="E2079" s="19">
        <v>23726</v>
      </c>
      <c r="F2079" s="19">
        <v>28902</v>
      </c>
      <c r="G2079" s="20">
        <f t="shared" si="32"/>
        <v>0.54917534392338674</v>
      </c>
      <c r="H2079" s="24" t="s">
        <v>586</v>
      </c>
      <c r="I2079" s="24" t="s">
        <v>587</v>
      </c>
      <c r="J2079" s="24" t="s">
        <v>588</v>
      </c>
      <c r="K2079" s="24" t="s">
        <v>599</v>
      </c>
    </row>
    <row r="2080" spans="1:11">
      <c r="A2080" s="12">
        <v>2018</v>
      </c>
      <c r="B2080" s="15" t="s">
        <v>395</v>
      </c>
      <c r="C2080" s="15" t="s">
        <v>436</v>
      </c>
      <c r="D2080" s="15" t="s">
        <v>437</v>
      </c>
      <c r="E2080" s="19">
        <v>59601</v>
      </c>
      <c r="F2080" s="19">
        <v>45732</v>
      </c>
      <c r="G2080" s="20">
        <f t="shared" si="32"/>
        <v>0.43416593090484462</v>
      </c>
      <c r="H2080" s="24" t="s">
        <v>586</v>
      </c>
      <c r="I2080" s="24" t="s">
        <v>587</v>
      </c>
      <c r="J2080" s="24" t="s">
        <v>588</v>
      </c>
      <c r="K2080" s="24" t="s">
        <v>599</v>
      </c>
    </row>
    <row r="2081" spans="1:11">
      <c r="A2081" s="12">
        <v>2018</v>
      </c>
      <c r="B2081" s="15" t="s">
        <v>395</v>
      </c>
      <c r="C2081" s="15" t="s">
        <v>438</v>
      </c>
      <c r="D2081" s="15" t="s">
        <v>439</v>
      </c>
      <c r="E2081" s="19">
        <v>50783</v>
      </c>
      <c r="F2081" s="19">
        <v>42997</v>
      </c>
      <c r="G2081" s="20">
        <f t="shared" si="32"/>
        <v>0.45848795052249947</v>
      </c>
      <c r="H2081" s="24" t="s">
        <v>586</v>
      </c>
      <c r="I2081" s="24" t="s">
        <v>587</v>
      </c>
      <c r="J2081" s="24" t="s">
        <v>588</v>
      </c>
      <c r="K2081" s="24" t="s">
        <v>599</v>
      </c>
    </row>
    <row r="2082" spans="1:11">
      <c r="A2082" s="12">
        <v>2018</v>
      </c>
      <c r="B2082" s="15" t="s">
        <v>440</v>
      </c>
      <c r="C2082" s="15" t="s">
        <v>22</v>
      </c>
      <c r="D2082" s="15" t="s">
        <v>440</v>
      </c>
      <c r="E2082" s="19">
        <v>2377045</v>
      </c>
      <c r="F2082" s="19">
        <v>1054804</v>
      </c>
      <c r="G2082" s="20">
        <f t="shared" si="32"/>
        <v>0.3073573458505896</v>
      </c>
      <c r="H2082" s="24" t="s">
        <v>583</v>
      </c>
      <c r="I2082" s="24" t="s">
        <v>584</v>
      </c>
      <c r="J2082" s="24" t="s">
        <v>585</v>
      </c>
      <c r="K2082" s="24" t="s">
        <v>599</v>
      </c>
    </row>
    <row r="2083" spans="1:11">
      <c r="A2083" s="12">
        <v>2018</v>
      </c>
      <c r="B2083" s="15" t="s">
        <v>440</v>
      </c>
      <c r="C2083" s="15" t="s">
        <v>441</v>
      </c>
      <c r="D2083" s="15" t="s">
        <v>442</v>
      </c>
      <c r="E2083" s="19">
        <v>219743</v>
      </c>
      <c r="F2083" s="19">
        <v>169112</v>
      </c>
      <c r="G2083" s="20">
        <f t="shared" si="32"/>
        <v>0.43489732676704684</v>
      </c>
      <c r="H2083" s="24" t="s">
        <v>583</v>
      </c>
      <c r="I2083" s="24" t="s">
        <v>569</v>
      </c>
      <c r="J2083" s="24" t="s">
        <v>593</v>
      </c>
      <c r="K2083" s="24" t="s">
        <v>599</v>
      </c>
    </row>
    <row r="2084" spans="1:11">
      <c r="A2084" s="12">
        <v>2018</v>
      </c>
      <c r="B2084" s="15" t="s">
        <v>440</v>
      </c>
      <c r="C2084" s="15" t="s">
        <v>443</v>
      </c>
      <c r="D2084" s="15" t="s">
        <v>444</v>
      </c>
      <c r="E2084" s="19">
        <v>219012</v>
      </c>
      <c r="F2084" s="19">
        <v>125648</v>
      </c>
      <c r="G2084" s="20">
        <f t="shared" si="32"/>
        <v>0.36455637439795741</v>
      </c>
      <c r="H2084" s="24" t="s">
        <v>583</v>
      </c>
      <c r="I2084" s="24" t="s">
        <v>584</v>
      </c>
      <c r="J2084" s="24" t="s">
        <v>585</v>
      </c>
      <c r="K2084" s="24" t="s">
        <v>599</v>
      </c>
    </row>
    <row r="2085" spans="1:11">
      <c r="A2085" s="12">
        <v>2018</v>
      </c>
      <c r="B2085" s="15" t="s">
        <v>440</v>
      </c>
      <c r="C2085" s="15" t="s">
        <v>445</v>
      </c>
      <c r="D2085" s="15" t="s">
        <v>446</v>
      </c>
      <c r="E2085" s="19">
        <v>23536</v>
      </c>
      <c r="F2085" s="19">
        <v>27673</v>
      </c>
      <c r="G2085" s="20">
        <f t="shared" si="32"/>
        <v>0.54039329024194971</v>
      </c>
      <c r="H2085" s="24" t="s">
        <v>583</v>
      </c>
      <c r="I2085" s="24" t="s">
        <v>569</v>
      </c>
      <c r="J2085" s="24" t="s">
        <v>593</v>
      </c>
      <c r="K2085" s="24" t="s">
        <v>599</v>
      </c>
    </row>
    <row r="2086" spans="1:11">
      <c r="A2086" s="12">
        <v>2018</v>
      </c>
      <c r="B2086" s="15" t="s">
        <v>440</v>
      </c>
      <c r="C2086" s="15" t="s">
        <v>447</v>
      </c>
      <c r="D2086" s="15" t="s">
        <v>448</v>
      </c>
      <c r="E2086" s="19">
        <v>376863</v>
      </c>
      <c r="F2086" s="19">
        <v>158947</v>
      </c>
      <c r="G2086" s="20">
        <f t="shared" si="32"/>
        <v>0.29664806554562251</v>
      </c>
      <c r="H2086" s="24" t="s">
        <v>583</v>
      </c>
      <c r="I2086" s="24" t="s">
        <v>569</v>
      </c>
      <c r="J2086" s="24" t="s">
        <v>593</v>
      </c>
      <c r="K2086" s="24" t="s">
        <v>599</v>
      </c>
    </row>
    <row r="2087" spans="1:11">
      <c r="A2087" s="12">
        <v>2018</v>
      </c>
      <c r="B2087" s="15" t="s">
        <v>440</v>
      </c>
      <c r="C2087" s="15" t="s">
        <v>105</v>
      </c>
      <c r="D2087" s="15" t="s">
        <v>449</v>
      </c>
      <c r="E2087" s="19">
        <v>16364</v>
      </c>
      <c r="F2087" s="19">
        <v>20492</v>
      </c>
      <c r="G2087" s="20">
        <f t="shared" si="32"/>
        <v>0.55600173648795315</v>
      </c>
      <c r="H2087" s="24" t="s">
        <v>583</v>
      </c>
      <c r="I2087" s="24" t="s">
        <v>569</v>
      </c>
      <c r="J2087" s="24" t="s">
        <v>593</v>
      </c>
      <c r="K2087" s="24" t="s">
        <v>599</v>
      </c>
    </row>
    <row r="2088" spans="1:11">
      <c r="A2088" s="12">
        <v>2018</v>
      </c>
      <c r="B2088" s="15" t="s">
        <v>440</v>
      </c>
      <c r="C2088" s="15" t="s">
        <v>450</v>
      </c>
      <c r="D2088" s="15" t="s">
        <v>451</v>
      </c>
      <c r="E2088" s="19">
        <v>118719</v>
      </c>
      <c r="F2088" s="19">
        <v>75433</v>
      </c>
      <c r="G2088" s="20">
        <f t="shared" si="32"/>
        <v>0.38852548518686392</v>
      </c>
      <c r="H2088" s="24" t="s">
        <v>583</v>
      </c>
      <c r="I2088" s="24" t="s">
        <v>584</v>
      </c>
      <c r="J2088" s="24" t="s">
        <v>585</v>
      </c>
      <c r="K2088" s="24" t="s">
        <v>599</v>
      </c>
    </row>
    <row r="2089" spans="1:11">
      <c r="A2089" s="12">
        <v>2018</v>
      </c>
      <c r="B2089" s="15" t="s">
        <v>440</v>
      </c>
      <c r="C2089" s="15" t="s">
        <v>452</v>
      </c>
      <c r="D2089" s="15" t="s">
        <v>453</v>
      </c>
      <c r="E2089" s="19">
        <v>62134</v>
      </c>
      <c r="F2089" s="19">
        <v>40561</v>
      </c>
      <c r="G2089" s="20">
        <f t="shared" si="32"/>
        <v>0.39496567505720825</v>
      </c>
      <c r="H2089" s="24" t="s">
        <v>583</v>
      </c>
      <c r="I2089" s="24" t="s">
        <v>569</v>
      </c>
      <c r="J2089" s="24" t="s">
        <v>593</v>
      </c>
      <c r="K2089" s="24" t="s">
        <v>599</v>
      </c>
    </row>
    <row r="2090" spans="1:11">
      <c r="A2090" s="12">
        <v>2018</v>
      </c>
      <c r="B2090" s="15" t="s">
        <v>440</v>
      </c>
      <c r="C2090" s="15" t="s">
        <v>454</v>
      </c>
      <c r="D2090" s="15" t="s">
        <v>455</v>
      </c>
      <c r="E2090" s="19">
        <v>22766</v>
      </c>
      <c r="F2090" s="19">
        <v>27557</v>
      </c>
      <c r="G2090" s="20">
        <f t="shared" si="32"/>
        <v>0.54760248792798527</v>
      </c>
      <c r="H2090" s="24" t="s">
        <v>583</v>
      </c>
      <c r="I2090" s="24" t="s">
        <v>569</v>
      </c>
      <c r="J2090" s="24" t="s">
        <v>593</v>
      </c>
      <c r="K2090" s="24" t="s">
        <v>599</v>
      </c>
    </row>
    <row r="2091" spans="1:11">
      <c r="A2091" s="12">
        <v>2018</v>
      </c>
      <c r="B2091" s="15" t="s">
        <v>440</v>
      </c>
      <c r="C2091" s="15" t="s">
        <v>456</v>
      </c>
      <c r="D2091" s="15" t="s">
        <v>457</v>
      </c>
      <c r="E2091" s="19">
        <v>83934</v>
      </c>
      <c r="F2091" s="19">
        <v>59190</v>
      </c>
      <c r="G2091" s="20">
        <f t="shared" si="32"/>
        <v>0.41355747463737735</v>
      </c>
      <c r="H2091" s="24" t="s">
        <v>583</v>
      </c>
      <c r="I2091" s="24" t="s">
        <v>569</v>
      </c>
      <c r="J2091" s="24" t="s">
        <v>593</v>
      </c>
      <c r="K2091" s="24" t="s">
        <v>599</v>
      </c>
    </row>
    <row r="2092" spans="1:11">
      <c r="A2092" s="12">
        <v>2018</v>
      </c>
      <c r="B2092" s="15" t="s">
        <v>440</v>
      </c>
      <c r="C2092" s="15" t="s">
        <v>458</v>
      </c>
      <c r="D2092" s="15" t="s">
        <v>459</v>
      </c>
      <c r="E2092" s="19">
        <v>31159</v>
      </c>
      <c r="F2092" s="19">
        <v>37467</v>
      </c>
      <c r="G2092" s="20">
        <f t="shared" si="32"/>
        <v>0.54595925742429985</v>
      </c>
      <c r="H2092" s="24" t="s">
        <v>583</v>
      </c>
      <c r="I2092" s="24" t="s">
        <v>569</v>
      </c>
      <c r="J2092" s="24" t="s">
        <v>593</v>
      </c>
      <c r="K2092" s="24" t="s">
        <v>599</v>
      </c>
    </row>
    <row r="2093" spans="1:11">
      <c r="A2093" s="12">
        <v>2018</v>
      </c>
      <c r="B2093" s="15" t="s">
        <v>440</v>
      </c>
      <c r="C2093" s="15" t="s">
        <v>460</v>
      </c>
      <c r="D2093" s="15" t="s">
        <v>461</v>
      </c>
      <c r="E2093" s="19">
        <v>143620</v>
      </c>
      <c r="F2093" s="19">
        <v>58128</v>
      </c>
      <c r="G2093" s="20">
        <f t="shared" si="32"/>
        <v>0.28812181533398101</v>
      </c>
      <c r="H2093" s="24" t="s">
        <v>583</v>
      </c>
      <c r="I2093" s="24" t="s">
        <v>584</v>
      </c>
      <c r="J2093" s="24" t="s">
        <v>585</v>
      </c>
      <c r="K2093" s="24" t="s">
        <v>599</v>
      </c>
    </row>
    <row r="2094" spans="1:11">
      <c r="A2094" s="12">
        <v>2018</v>
      </c>
      <c r="B2094" s="15" t="s">
        <v>440</v>
      </c>
      <c r="C2094" s="15" t="s">
        <v>462</v>
      </c>
      <c r="D2094" s="15" t="s">
        <v>463</v>
      </c>
      <c r="E2094" s="19">
        <v>31010</v>
      </c>
      <c r="F2094" s="19">
        <v>28065</v>
      </c>
      <c r="G2094" s="20">
        <f t="shared" si="32"/>
        <v>0.47507405840033856</v>
      </c>
      <c r="H2094" s="24" t="s">
        <v>583</v>
      </c>
      <c r="I2094" s="24" t="s">
        <v>569</v>
      </c>
      <c r="J2094" s="24" t="s">
        <v>593</v>
      </c>
      <c r="K2094" s="24" t="s">
        <v>599</v>
      </c>
    </row>
    <row r="2095" spans="1:11">
      <c r="A2095" s="12">
        <v>2018</v>
      </c>
      <c r="B2095" s="15" t="s">
        <v>440</v>
      </c>
      <c r="C2095" s="15" t="s">
        <v>464</v>
      </c>
      <c r="D2095" s="15" t="s">
        <v>465</v>
      </c>
      <c r="E2095" s="19">
        <v>12150</v>
      </c>
      <c r="F2095" s="19">
        <v>14532</v>
      </c>
      <c r="G2095" s="20">
        <f t="shared" si="32"/>
        <v>0.54463683382055317</v>
      </c>
      <c r="H2095" s="24" t="s">
        <v>583</v>
      </c>
      <c r="I2095" s="24" t="s">
        <v>569</v>
      </c>
      <c r="J2095" s="24" t="s">
        <v>593</v>
      </c>
      <c r="K2095" s="24" t="s">
        <v>599</v>
      </c>
    </row>
    <row r="2096" spans="1:11">
      <c r="A2096" s="12">
        <v>2018</v>
      </c>
      <c r="B2096" s="15" t="s">
        <v>440</v>
      </c>
      <c r="C2096" s="15" t="s">
        <v>466</v>
      </c>
      <c r="D2096" s="15" t="s">
        <v>467</v>
      </c>
      <c r="E2096" s="19">
        <v>93797</v>
      </c>
      <c r="F2096" s="19">
        <v>58371</v>
      </c>
      <c r="G2096" s="20">
        <f t="shared" si="32"/>
        <v>0.38359576257820305</v>
      </c>
      <c r="H2096" s="24" t="s">
        <v>583</v>
      </c>
      <c r="I2096" s="24" t="s">
        <v>569</v>
      </c>
      <c r="J2096" s="24" t="s">
        <v>593</v>
      </c>
      <c r="K2096" s="24" t="s">
        <v>599</v>
      </c>
    </row>
    <row r="2097" spans="1:11">
      <c r="A2097" s="12">
        <v>2018</v>
      </c>
      <c r="B2097" s="15" t="s">
        <v>440</v>
      </c>
      <c r="C2097" s="15" t="s">
        <v>468</v>
      </c>
      <c r="D2097" s="15" t="s">
        <v>469</v>
      </c>
      <c r="E2097" s="19">
        <v>83382</v>
      </c>
      <c r="F2097" s="19">
        <v>64462</v>
      </c>
      <c r="G2097" s="20">
        <f t="shared" si="32"/>
        <v>0.43601363599469711</v>
      </c>
      <c r="H2097" s="24" t="s">
        <v>583</v>
      </c>
      <c r="I2097" s="24" t="s">
        <v>569</v>
      </c>
      <c r="J2097" s="24" t="s">
        <v>593</v>
      </c>
      <c r="K2097" s="24" t="s">
        <v>599</v>
      </c>
    </row>
    <row r="2098" spans="1:11">
      <c r="A2098" s="12">
        <v>2018</v>
      </c>
      <c r="B2098" s="15" t="s">
        <v>440</v>
      </c>
      <c r="C2098" s="15" t="s">
        <v>470</v>
      </c>
      <c r="D2098" s="15" t="s">
        <v>471</v>
      </c>
      <c r="E2098" s="19">
        <v>39834</v>
      </c>
      <c r="F2098" s="19">
        <v>42068</v>
      </c>
      <c r="G2098" s="20">
        <f t="shared" si="32"/>
        <v>0.51363825059217116</v>
      </c>
      <c r="H2098" s="24" t="s">
        <v>583</v>
      </c>
      <c r="I2098" s="24" t="s">
        <v>569</v>
      </c>
      <c r="J2098" s="24" t="s">
        <v>593</v>
      </c>
      <c r="K2098" s="24" t="s">
        <v>599</v>
      </c>
    </row>
    <row r="2099" spans="1:11">
      <c r="A2099" s="12">
        <v>2018</v>
      </c>
      <c r="B2099" s="15" t="s">
        <v>440</v>
      </c>
      <c r="C2099" s="15" t="s">
        <v>472</v>
      </c>
      <c r="D2099" s="15" t="s">
        <v>473</v>
      </c>
      <c r="E2099" s="19">
        <v>6791</v>
      </c>
      <c r="F2099" s="19">
        <v>7990</v>
      </c>
      <c r="G2099" s="20">
        <f t="shared" si="32"/>
        <v>0.54055882551924772</v>
      </c>
      <c r="H2099" s="24" t="s">
        <v>583</v>
      </c>
      <c r="I2099" s="24" t="s">
        <v>569</v>
      </c>
      <c r="J2099" s="24" t="s">
        <v>593</v>
      </c>
      <c r="K2099" s="24" t="s">
        <v>599</v>
      </c>
    </row>
    <row r="2100" spans="1:11">
      <c r="A2100" s="12">
        <v>2018</v>
      </c>
      <c r="B2100" s="15" t="s">
        <v>440</v>
      </c>
      <c r="C2100" s="15" t="s">
        <v>474</v>
      </c>
      <c r="D2100" s="15" t="s">
        <v>475</v>
      </c>
      <c r="E2100" s="19">
        <v>41905</v>
      </c>
      <c r="F2100" s="19">
        <v>32531</v>
      </c>
      <c r="G2100" s="20">
        <f t="shared" si="32"/>
        <v>0.43703315599978504</v>
      </c>
      <c r="H2100" s="24" t="s">
        <v>583</v>
      </c>
      <c r="I2100" s="24" t="s">
        <v>569</v>
      </c>
      <c r="J2100" s="24" t="s">
        <v>593</v>
      </c>
      <c r="K2100" s="24" t="s">
        <v>599</v>
      </c>
    </row>
    <row r="2101" spans="1:11">
      <c r="A2101" s="12">
        <v>2018</v>
      </c>
      <c r="B2101" s="15" t="s">
        <v>440</v>
      </c>
      <c r="C2101" s="15" t="s">
        <v>476</v>
      </c>
      <c r="D2101" s="15" t="s">
        <v>477</v>
      </c>
      <c r="E2101" s="19">
        <v>42203</v>
      </c>
      <c r="F2101" s="19">
        <v>41260</v>
      </c>
      <c r="G2101" s="20">
        <f t="shared" si="32"/>
        <v>0.49435079017049471</v>
      </c>
      <c r="H2101" s="24" t="s">
        <v>583</v>
      </c>
      <c r="I2101" s="24" t="s">
        <v>569</v>
      </c>
      <c r="J2101" s="24" t="s">
        <v>593</v>
      </c>
      <c r="K2101" s="24" t="s">
        <v>599</v>
      </c>
    </row>
    <row r="2102" spans="1:11">
      <c r="A2102" s="12">
        <v>2018</v>
      </c>
      <c r="B2102" s="15" t="s">
        <v>440</v>
      </c>
      <c r="C2102" s="15" t="s">
        <v>478</v>
      </c>
      <c r="D2102" s="15" t="s">
        <v>479</v>
      </c>
      <c r="E2102" s="19">
        <v>32257</v>
      </c>
      <c r="F2102" s="19">
        <v>34112</v>
      </c>
      <c r="G2102" s="20">
        <f t="shared" si="32"/>
        <v>0.51397489791920925</v>
      </c>
      <c r="H2102" s="24" t="s">
        <v>583</v>
      </c>
      <c r="I2102" s="24" t="s">
        <v>569</v>
      </c>
      <c r="J2102" s="24" t="s">
        <v>593</v>
      </c>
      <c r="K2102" s="24" t="s">
        <v>599</v>
      </c>
    </row>
    <row r="2103" spans="1:11">
      <c r="A2103" s="12">
        <v>2018</v>
      </c>
      <c r="B2103" s="15" t="s">
        <v>440</v>
      </c>
      <c r="C2103" s="15" t="s">
        <v>480</v>
      </c>
      <c r="D2103" s="15" t="s">
        <v>481</v>
      </c>
      <c r="E2103" s="19">
        <v>19356</v>
      </c>
      <c r="F2103" s="19">
        <v>21098</v>
      </c>
      <c r="G2103" s="20">
        <f t="shared" si="32"/>
        <v>0.5215306273792456</v>
      </c>
      <c r="H2103" s="24" t="s">
        <v>583</v>
      </c>
      <c r="I2103" s="24" t="s">
        <v>569</v>
      </c>
      <c r="J2103" s="24" t="s">
        <v>593</v>
      </c>
      <c r="K2103" s="24" t="s">
        <v>599</v>
      </c>
    </row>
    <row r="2104" spans="1:11">
      <c r="A2104" s="12">
        <v>2018</v>
      </c>
      <c r="B2104" s="15" t="s">
        <v>440</v>
      </c>
      <c r="C2104" s="15" t="s">
        <v>482</v>
      </c>
      <c r="D2104" s="15" t="s">
        <v>483</v>
      </c>
      <c r="E2104" s="19">
        <v>90106</v>
      </c>
      <c r="F2104" s="19">
        <v>91668</v>
      </c>
      <c r="G2104" s="20">
        <f t="shared" si="32"/>
        <v>0.50429654406020663</v>
      </c>
      <c r="H2104" s="24" t="s">
        <v>583</v>
      </c>
      <c r="I2104" s="24" t="s">
        <v>569</v>
      </c>
      <c r="J2104" s="24" t="s">
        <v>593</v>
      </c>
      <c r="K2104" s="24" t="s">
        <v>599</v>
      </c>
    </row>
    <row r="2105" spans="1:11">
      <c r="A2105" s="12">
        <v>2018</v>
      </c>
      <c r="B2105" s="15" t="s">
        <v>440</v>
      </c>
      <c r="C2105" s="15" t="s">
        <v>484</v>
      </c>
      <c r="D2105" s="15" t="s">
        <v>485</v>
      </c>
      <c r="E2105" s="19">
        <v>203776</v>
      </c>
      <c r="F2105" s="19">
        <v>155159</v>
      </c>
      <c r="G2105" s="20">
        <f t="shared" si="32"/>
        <v>0.43227603883711535</v>
      </c>
      <c r="H2105" s="24" t="s">
        <v>583</v>
      </c>
      <c r="I2105" s="24" t="s">
        <v>584</v>
      </c>
      <c r="J2105" s="24" t="s">
        <v>585</v>
      </c>
      <c r="K2105" s="24" t="s">
        <v>599</v>
      </c>
    </row>
    <row r="2106" spans="1:11">
      <c r="A2106" s="12">
        <v>2018</v>
      </c>
      <c r="B2106" s="15" t="s">
        <v>440</v>
      </c>
      <c r="C2106" s="15" t="s">
        <v>486</v>
      </c>
      <c r="D2106" s="15" t="s">
        <v>487</v>
      </c>
      <c r="E2106" s="19">
        <v>233872</v>
      </c>
      <c r="F2106" s="19">
        <v>169669</v>
      </c>
      <c r="G2106" s="20">
        <f t="shared" si="32"/>
        <v>0.42045046228264288</v>
      </c>
      <c r="H2106" s="24" t="s">
        <v>583</v>
      </c>
      <c r="I2106" s="24" t="s">
        <v>584</v>
      </c>
      <c r="J2106" s="24" t="s">
        <v>585</v>
      </c>
      <c r="K2106" s="24" t="s">
        <v>599</v>
      </c>
    </row>
    <row r="2107" spans="1:11">
      <c r="A2107" s="12">
        <v>2018</v>
      </c>
      <c r="B2107" s="15" t="s">
        <v>488</v>
      </c>
      <c r="C2107" s="15" t="s">
        <v>22</v>
      </c>
      <c r="D2107" s="15" t="s">
        <v>488</v>
      </c>
      <c r="E2107" s="19">
        <v>3085808</v>
      </c>
      <c r="F2107" s="19">
        <v>984886</v>
      </c>
      <c r="G2107" s="20">
        <f t="shared" si="32"/>
        <v>0.24194547661897456</v>
      </c>
      <c r="H2107" s="24" t="s">
        <v>583</v>
      </c>
      <c r="I2107" s="24" t="s">
        <v>569</v>
      </c>
      <c r="J2107" s="24" t="s">
        <v>593</v>
      </c>
      <c r="K2107" s="24" t="s">
        <v>599</v>
      </c>
    </row>
    <row r="2108" spans="1:11">
      <c r="A2108" s="12">
        <v>2018</v>
      </c>
      <c r="B2108" s="15" t="s">
        <v>488</v>
      </c>
      <c r="C2108" s="15" t="s">
        <v>489</v>
      </c>
      <c r="D2108" s="15" t="s">
        <v>490</v>
      </c>
      <c r="E2108" s="19">
        <v>223405</v>
      </c>
      <c r="F2108" s="19">
        <v>116440</v>
      </c>
      <c r="G2108" s="20">
        <f t="shared" si="32"/>
        <v>0.34262678574055822</v>
      </c>
      <c r="H2108" s="24" t="s">
        <v>583</v>
      </c>
      <c r="I2108" s="24" t="s">
        <v>569</v>
      </c>
      <c r="J2108" s="24" t="s">
        <v>593</v>
      </c>
      <c r="K2108" s="24" t="s">
        <v>599</v>
      </c>
    </row>
    <row r="2109" spans="1:11">
      <c r="A2109" s="12">
        <v>2018</v>
      </c>
      <c r="B2109" s="15" t="s">
        <v>488</v>
      </c>
      <c r="C2109" s="15" t="s">
        <v>491</v>
      </c>
      <c r="D2109" s="15" t="s">
        <v>492</v>
      </c>
      <c r="E2109" s="19">
        <v>54591</v>
      </c>
      <c r="F2109" s="19">
        <v>36982</v>
      </c>
      <c r="G2109" s="20">
        <f t="shared" si="32"/>
        <v>0.40385266399484565</v>
      </c>
      <c r="H2109" s="24" t="s">
        <v>583</v>
      </c>
      <c r="I2109" s="24" t="s">
        <v>569</v>
      </c>
      <c r="J2109" s="24" t="s">
        <v>593</v>
      </c>
      <c r="K2109" s="24" t="s">
        <v>599</v>
      </c>
    </row>
    <row r="2110" spans="1:11">
      <c r="A2110" s="12">
        <v>2018</v>
      </c>
      <c r="B2110" s="15" t="s">
        <v>488</v>
      </c>
      <c r="C2110" s="15" t="s">
        <v>260</v>
      </c>
      <c r="D2110" s="15" t="s">
        <v>493</v>
      </c>
      <c r="E2110" s="19">
        <v>40548</v>
      </c>
      <c r="F2110" s="19">
        <v>40387</v>
      </c>
      <c r="G2110" s="20">
        <f t="shared" si="32"/>
        <v>0.4990053746833879</v>
      </c>
      <c r="H2110" s="24" t="s">
        <v>583</v>
      </c>
      <c r="I2110" s="24" t="s">
        <v>569</v>
      </c>
      <c r="J2110" s="24" t="s">
        <v>593</v>
      </c>
      <c r="K2110" s="24" t="s">
        <v>599</v>
      </c>
    </row>
    <row r="2111" spans="1:11">
      <c r="A2111" s="12">
        <v>2018</v>
      </c>
      <c r="B2111" s="15" t="s">
        <v>488</v>
      </c>
      <c r="C2111" s="15" t="s">
        <v>494</v>
      </c>
      <c r="D2111" s="15" t="s">
        <v>495</v>
      </c>
      <c r="E2111" s="19">
        <v>477285</v>
      </c>
      <c r="F2111" s="19">
        <v>252856</v>
      </c>
      <c r="G2111" s="20">
        <f t="shared" si="32"/>
        <v>0.34631119194785664</v>
      </c>
      <c r="H2111" s="24" t="s">
        <v>583</v>
      </c>
      <c r="I2111" s="24" t="s">
        <v>569</v>
      </c>
      <c r="J2111" s="24" t="s">
        <v>593</v>
      </c>
      <c r="K2111" s="24" t="s">
        <v>599</v>
      </c>
    </row>
    <row r="2112" spans="1:11">
      <c r="A2112" s="12">
        <v>2018</v>
      </c>
      <c r="B2112" s="15" t="s">
        <v>488</v>
      </c>
      <c r="C2112" s="15" t="s">
        <v>496</v>
      </c>
      <c r="D2112" s="15" t="s">
        <v>497</v>
      </c>
      <c r="E2112" s="19">
        <v>35184</v>
      </c>
      <c r="F2112" s="19">
        <v>33308</v>
      </c>
      <c r="G2112" s="20">
        <f t="shared" si="32"/>
        <v>0.4863049699234947</v>
      </c>
      <c r="H2112" s="24" t="s">
        <v>583</v>
      </c>
      <c r="I2112" s="24" t="s">
        <v>569</v>
      </c>
      <c r="J2112" s="24" t="s">
        <v>593</v>
      </c>
      <c r="K2112" s="24" t="s">
        <v>599</v>
      </c>
    </row>
    <row r="2113" spans="1:11">
      <c r="A2113" s="12">
        <v>2018</v>
      </c>
      <c r="B2113" s="15" t="s">
        <v>488</v>
      </c>
      <c r="C2113" s="15" t="s">
        <v>498</v>
      </c>
      <c r="D2113" s="15" t="s">
        <v>499</v>
      </c>
      <c r="E2113" s="19">
        <v>89557</v>
      </c>
      <c r="F2113" s="19">
        <v>63155</v>
      </c>
      <c r="G2113" s="20">
        <f t="shared" si="32"/>
        <v>0.41355623657603857</v>
      </c>
      <c r="H2113" s="24" t="s">
        <v>583</v>
      </c>
      <c r="I2113" s="24" t="s">
        <v>569</v>
      </c>
      <c r="J2113" s="24" t="s">
        <v>593</v>
      </c>
      <c r="K2113" s="24" t="s">
        <v>599</v>
      </c>
    </row>
    <row r="2114" spans="1:11">
      <c r="A2114" s="12">
        <v>2018</v>
      </c>
      <c r="B2114" s="15" t="s">
        <v>488</v>
      </c>
      <c r="C2114" s="15" t="s">
        <v>500</v>
      </c>
      <c r="D2114" s="15" t="s">
        <v>501</v>
      </c>
      <c r="E2114" s="19">
        <v>96450</v>
      </c>
      <c r="F2114" s="19">
        <v>70929</v>
      </c>
      <c r="G2114" s="20">
        <f t="shared" si="32"/>
        <v>0.42376283763196099</v>
      </c>
      <c r="H2114" s="24" t="s">
        <v>583</v>
      </c>
      <c r="I2114" s="24" t="s">
        <v>569</v>
      </c>
      <c r="J2114" s="24" t="s">
        <v>593</v>
      </c>
      <c r="K2114" s="24" t="s">
        <v>599</v>
      </c>
    </row>
    <row r="2115" spans="1:11">
      <c r="A2115" s="12">
        <v>2018</v>
      </c>
      <c r="B2115" s="15" t="s">
        <v>488</v>
      </c>
      <c r="C2115" s="15" t="s">
        <v>502</v>
      </c>
      <c r="D2115" s="15" t="s">
        <v>503</v>
      </c>
      <c r="E2115" s="19">
        <v>26119</v>
      </c>
      <c r="F2115" s="19">
        <v>30995</v>
      </c>
      <c r="G2115" s="20">
        <f t="shared" si="32"/>
        <v>0.54268655671113908</v>
      </c>
      <c r="H2115" s="24" t="s">
        <v>583</v>
      </c>
      <c r="I2115" s="24" t="s">
        <v>569</v>
      </c>
      <c r="J2115" s="24" t="s">
        <v>593</v>
      </c>
      <c r="K2115" s="24" t="s">
        <v>599</v>
      </c>
    </row>
    <row r="2116" spans="1:11">
      <c r="A2116" s="12">
        <v>2018</v>
      </c>
      <c r="B2116" s="15" t="s">
        <v>488</v>
      </c>
      <c r="C2116" s="15" t="s">
        <v>504</v>
      </c>
      <c r="D2116" s="15" t="s">
        <v>505</v>
      </c>
      <c r="E2116" s="19">
        <v>304964</v>
      </c>
      <c r="F2116" s="19">
        <v>175846</v>
      </c>
      <c r="G2116" s="20">
        <f t="shared" si="32"/>
        <v>0.36572866620910549</v>
      </c>
      <c r="H2116" s="24" t="s">
        <v>583</v>
      </c>
      <c r="I2116" s="24" t="s">
        <v>569</v>
      </c>
      <c r="J2116" s="24" t="s">
        <v>593</v>
      </c>
      <c r="K2116" s="24" t="s">
        <v>599</v>
      </c>
    </row>
    <row r="2117" spans="1:11">
      <c r="A2117" s="12">
        <v>2018</v>
      </c>
      <c r="B2117" s="15" t="s">
        <v>488</v>
      </c>
      <c r="C2117" s="15" t="s">
        <v>506</v>
      </c>
      <c r="D2117" s="15" t="s">
        <v>507</v>
      </c>
      <c r="E2117" s="19">
        <v>20382</v>
      </c>
      <c r="F2117" s="19">
        <v>22931</v>
      </c>
      <c r="G2117" s="20">
        <f t="shared" si="32"/>
        <v>0.52942534573915456</v>
      </c>
      <c r="H2117" s="24" t="s">
        <v>583</v>
      </c>
      <c r="I2117" s="24" t="s">
        <v>569</v>
      </c>
      <c r="J2117" s="24" t="s">
        <v>593</v>
      </c>
      <c r="K2117" s="24" t="s">
        <v>599</v>
      </c>
    </row>
    <row r="2118" spans="1:11">
      <c r="A2118" s="12">
        <v>2018</v>
      </c>
      <c r="B2118" s="15" t="s">
        <v>488</v>
      </c>
      <c r="C2118" s="15" t="s">
        <v>508</v>
      </c>
      <c r="D2118" s="15" t="s">
        <v>509</v>
      </c>
      <c r="E2118" s="19">
        <v>313041</v>
      </c>
      <c r="F2118" s="19">
        <v>98552</v>
      </c>
      <c r="G2118" s="20">
        <f t="shared" ref="G2118:G2181" si="33">IFERROR(F2118/(E2118+F2118),"")</f>
        <v>0.239440418082912</v>
      </c>
      <c r="H2118" s="24" t="s">
        <v>583</v>
      </c>
      <c r="I2118" s="24" t="s">
        <v>569</v>
      </c>
      <c r="J2118" s="24" t="s">
        <v>593</v>
      </c>
      <c r="K2118" s="24" t="s">
        <v>599</v>
      </c>
    </row>
    <row r="2119" spans="1:11">
      <c r="A2119" s="12">
        <v>2018</v>
      </c>
      <c r="B2119" s="15" t="s">
        <v>488</v>
      </c>
      <c r="C2119" s="15" t="s">
        <v>510</v>
      </c>
      <c r="D2119" s="15" t="s">
        <v>511</v>
      </c>
      <c r="E2119" s="19">
        <v>49524</v>
      </c>
      <c r="F2119" s="19">
        <v>49136</v>
      </c>
      <c r="G2119" s="20">
        <f t="shared" si="33"/>
        <v>0.49803365092235963</v>
      </c>
      <c r="H2119" s="24" t="s">
        <v>583</v>
      </c>
      <c r="I2119" s="24" t="s">
        <v>569</v>
      </c>
      <c r="J2119" s="24" t="s">
        <v>593</v>
      </c>
      <c r="K2119" s="24" t="s">
        <v>599</v>
      </c>
    </row>
    <row r="2120" spans="1:11">
      <c r="A2120" s="12">
        <v>2018</v>
      </c>
      <c r="B2120" s="15" t="s">
        <v>488</v>
      </c>
      <c r="C2120" s="15" t="s">
        <v>512</v>
      </c>
      <c r="D2120" s="15" t="s">
        <v>513</v>
      </c>
      <c r="E2120" s="19">
        <v>149676</v>
      </c>
      <c r="F2120" s="19">
        <v>121812</v>
      </c>
      <c r="G2120" s="20">
        <f t="shared" si="33"/>
        <v>0.44868281471004245</v>
      </c>
      <c r="H2120" s="24" t="s">
        <v>583</v>
      </c>
      <c r="I2120" s="24" t="s">
        <v>569</v>
      </c>
      <c r="J2120" s="24" t="s">
        <v>593</v>
      </c>
      <c r="K2120" s="24" t="s">
        <v>599</v>
      </c>
    </row>
    <row r="2121" spans="1:11">
      <c r="A2121" s="12">
        <v>2018</v>
      </c>
      <c r="B2121" s="15" t="s">
        <v>488</v>
      </c>
      <c r="C2121" s="15" t="s">
        <v>514</v>
      </c>
      <c r="D2121" s="15" t="s">
        <v>515</v>
      </c>
      <c r="E2121" s="19">
        <v>166696</v>
      </c>
      <c r="F2121" s="19">
        <v>133310</v>
      </c>
      <c r="G2121" s="20">
        <f t="shared" si="33"/>
        <v>0.44435777951107647</v>
      </c>
      <c r="H2121" s="24" t="s">
        <v>583</v>
      </c>
      <c r="I2121" s="24" t="s">
        <v>569</v>
      </c>
      <c r="J2121" s="24" t="s">
        <v>593</v>
      </c>
      <c r="K2121" s="24" t="s">
        <v>599</v>
      </c>
    </row>
    <row r="2122" spans="1:11">
      <c r="A2122" s="12">
        <v>2018</v>
      </c>
      <c r="B2122" s="15" t="s">
        <v>488</v>
      </c>
      <c r="C2122" s="15" t="s">
        <v>516</v>
      </c>
      <c r="D2122" s="15" t="s">
        <v>517</v>
      </c>
      <c r="E2122" s="19">
        <v>192575</v>
      </c>
      <c r="F2122" s="19">
        <v>144149</v>
      </c>
      <c r="G2122" s="20">
        <f t="shared" si="33"/>
        <v>0.42809244366305937</v>
      </c>
      <c r="H2122" s="24" t="s">
        <v>583</v>
      </c>
      <c r="I2122" s="24" t="s">
        <v>569</v>
      </c>
      <c r="J2122" s="24" t="s">
        <v>593</v>
      </c>
      <c r="K2122" s="24" t="s">
        <v>599</v>
      </c>
    </row>
    <row r="2123" spans="1:11">
      <c r="A2123" s="12">
        <v>2018</v>
      </c>
      <c r="B2123" s="15" t="s">
        <v>488</v>
      </c>
      <c r="C2123" s="15" t="s">
        <v>518</v>
      </c>
      <c r="D2123" s="15" t="s">
        <v>519</v>
      </c>
      <c r="E2123" s="19">
        <v>201536</v>
      </c>
      <c r="F2123" s="19">
        <v>182229</v>
      </c>
      <c r="G2123" s="20">
        <f t="shared" si="33"/>
        <v>0.47484528292053729</v>
      </c>
      <c r="H2123" s="24" t="s">
        <v>583</v>
      </c>
      <c r="I2123" s="24" t="s">
        <v>569</v>
      </c>
      <c r="J2123" s="24" t="s">
        <v>593</v>
      </c>
      <c r="K2123" s="24" t="s">
        <v>599</v>
      </c>
    </row>
    <row r="2124" spans="1:11">
      <c r="A2124" s="12">
        <v>2018</v>
      </c>
      <c r="B2124" s="15" t="s">
        <v>488</v>
      </c>
      <c r="C2124" s="15" t="s">
        <v>520</v>
      </c>
      <c r="D2124" s="15" t="s">
        <v>521</v>
      </c>
      <c r="E2124" s="19">
        <v>166513</v>
      </c>
      <c r="F2124" s="19">
        <v>119340</v>
      </c>
      <c r="G2124" s="20">
        <f t="shared" si="33"/>
        <v>0.41748730991103822</v>
      </c>
      <c r="H2124" s="24" t="s">
        <v>583</v>
      </c>
      <c r="I2124" s="24" t="s">
        <v>569</v>
      </c>
      <c r="J2124" s="24" t="s">
        <v>593</v>
      </c>
      <c r="K2124" s="24" t="s">
        <v>599</v>
      </c>
    </row>
    <row r="2125" spans="1:11">
      <c r="A2125" s="12">
        <v>2018</v>
      </c>
      <c r="B2125" s="15" t="s">
        <v>488</v>
      </c>
      <c r="C2125" s="15" t="s">
        <v>522</v>
      </c>
      <c r="D2125" s="15" t="s">
        <v>523</v>
      </c>
      <c r="E2125" s="19">
        <v>118719</v>
      </c>
      <c r="F2125" s="19">
        <v>60207</v>
      </c>
      <c r="G2125" s="20">
        <f t="shared" si="33"/>
        <v>0.33649106334462292</v>
      </c>
      <c r="H2125" s="24" t="s">
        <v>583</v>
      </c>
      <c r="I2125" s="24" t="s">
        <v>569</v>
      </c>
      <c r="J2125" s="24" t="s">
        <v>593</v>
      </c>
      <c r="K2125" s="24" t="s">
        <v>599</v>
      </c>
    </row>
    <row r="2126" spans="1:11">
      <c r="A2126" s="12">
        <v>2018</v>
      </c>
      <c r="B2126" s="15" t="s">
        <v>488</v>
      </c>
      <c r="C2126" s="15" t="s">
        <v>524</v>
      </c>
      <c r="D2126" s="15" t="s">
        <v>525</v>
      </c>
      <c r="E2126" s="19">
        <v>34827</v>
      </c>
      <c r="F2126" s="19">
        <v>37731</v>
      </c>
      <c r="G2126" s="20">
        <f t="shared" si="33"/>
        <v>0.52001157694534028</v>
      </c>
      <c r="H2126" s="24" t="s">
        <v>583</v>
      </c>
      <c r="I2126" s="24" t="s">
        <v>569</v>
      </c>
      <c r="J2126" s="24" t="s">
        <v>593</v>
      </c>
      <c r="K2126" s="24" t="s">
        <v>599</v>
      </c>
    </row>
    <row r="2127" spans="1:11">
      <c r="A2127" s="12">
        <v>2018</v>
      </c>
      <c r="B2127" s="15" t="s">
        <v>488</v>
      </c>
      <c r="C2127" s="15" t="s">
        <v>526</v>
      </c>
      <c r="D2127" s="15" t="s">
        <v>527</v>
      </c>
      <c r="E2127" s="19">
        <v>47959</v>
      </c>
      <c r="F2127" s="19">
        <v>56778</v>
      </c>
      <c r="G2127" s="20">
        <f t="shared" si="33"/>
        <v>0.54210069030046693</v>
      </c>
      <c r="H2127" s="24" t="s">
        <v>583</v>
      </c>
      <c r="I2127" s="24" t="s">
        <v>569</v>
      </c>
      <c r="J2127" s="24" t="s">
        <v>593</v>
      </c>
      <c r="K2127" s="24" t="s">
        <v>599</v>
      </c>
    </row>
    <row r="2128" spans="1:11">
      <c r="A2128" s="12">
        <v>2018</v>
      </c>
      <c r="B2128" s="15" t="s">
        <v>488</v>
      </c>
      <c r="C2128" s="15" t="s">
        <v>528</v>
      </c>
      <c r="D2128" s="15" t="s">
        <v>529</v>
      </c>
      <c r="E2128" s="19">
        <v>32297</v>
      </c>
      <c r="F2128" s="19">
        <v>30636</v>
      </c>
      <c r="G2128" s="20">
        <f t="shared" si="33"/>
        <v>0.4868034258656031</v>
      </c>
      <c r="H2128" s="24" t="s">
        <v>583</v>
      </c>
      <c r="I2128" s="24" t="s">
        <v>569</v>
      </c>
      <c r="J2128" s="24" t="s">
        <v>593</v>
      </c>
      <c r="K2128" s="24" t="s">
        <v>599</v>
      </c>
    </row>
    <row r="2129" spans="1:11">
      <c r="A2129" s="12">
        <v>2018</v>
      </c>
      <c r="B2129" s="15" t="s">
        <v>488</v>
      </c>
      <c r="C2129" s="15" t="s">
        <v>530</v>
      </c>
      <c r="D2129" s="15" t="s">
        <v>531</v>
      </c>
      <c r="E2129" s="19">
        <v>35196</v>
      </c>
      <c r="F2129" s="19">
        <v>34866</v>
      </c>
      <c r="G2129" s="20">
        <f t="shared" si="33"/>
        <v>0.49764494305044105</v>
      </c>
      <c r="H2129" s="24" t="s">
        <v>583</v>
      </c>
      <c r="I2129" s="24" t="s">
        <v>569</v>
      </c>
      <c r="J2129" s="24" t="s">
        <v>593</v>
      </c>
      <c r="K2129" s="24" t="s">
        <v>599</v>
      </c>
    </row>
    <row r="2130" spans="1:11">
      <c r="A2130" s="12">
        <v>2018</v>
      </c>
      <c r="B2130" s="15" t="s">
        <v>532</v>
      </c>
      <c r="C2130" s="15" t="s">
        <v>22</v>
      </c>
      <c r="D2130" s="15" t="s">
        <v>532</v>
      </c>
      <c r="E2130" s="19">
        <v>608403</v>
      </c>
      <c r="F2130" s="19">
        <v>135033</v>
      </c>
      <c r="G2130" s="20">
        <f t="shared" si="33"/>
        <v>0.18163365777282778</v>
      </c>
      <c r="H2130" s="24" t="s">
        <v>586</v>
      </c>
      <c r="I2130" s="24" t="s">
        <v>587</v>
      </c>
      <c r="J2130" s="24" t="s">
        <v>588</v>
      </c>
      <c r="K2130" s="24" t="s">
        <v>599</v>
      </c>
    </row>
    <row r="2131" spans="1:11">
      <c r="A2131" s="12">
        <v>2018</v>
      </c>
      <c r="B2131" s="15" t="s">
        <v>532</v>
      </c>
      <c r="C2131" s="15" t="s">
        <v>533</v>
      </c>
      <c r="D2131" s="15" t="s">
        <v>534</v>
      </c>
      <c r="E2131" s="19">
        <v>149732</v>
      </c>
      <c r="F2131" s="19">
        <v>111438</v>
      </c>
      <c r="G2131" s="20">
        <f t="shared" si="33"/>
        <v>0.42668759811616952</v>
      </c>
      <c r="H2131" s="24" t="s">
        <v>586</v>
      </c>
      <c r="I2131" s="24" t="s">
        <v>587</v>
      </c>
      <c r="J2131" s="24" t="s">
        <v>588</v>
      </c>
      <c r="K2131" s="24" t="s">
        <v>599</v>
      </c>
    </row>
    <row r="2132" spans="1:11">
      <c r="A2132" s="12">
        <v>2018</v>
      </c>
      <c r="B2132" s="15" t="s">
        <v>532</v>
      </c>
      <c r="C2132" s="15" t="s">
        <v>535</v>
      </c>
      <c r="D2132" s="15" t="s">
        <v>536</v>
      </c>
      <c r="E2132" s="19">
        <v>442636</v>
      </c>
      <c r="F2132" s="19">
        <v>109329</v>
      </c>
      <c r="G2132" s="20">
        <f t="shared" si="33"/>
        <v>0.19807234154339495</v>
      </c>
      <c r="H2132" s="24" t="s">
        <v>586</v>
      </c>
      <c r="I2132" s="24" t="s">
        <v>587</v>
      </c>
      <c r="J2132" s="24" t="s">
        <v>588</v>
      </c>
      <c r="K2132" s="24" t="s">
        <v>599</v>
      </c>
    </row>
    <row r="2133" spans="1:11">
      <c r="A2133" s="12">
        <v>2019</v>
      </c>
      <c r="B2133" s="15" t="s">
        <v>21</v>
      </c>
      <c r="C2133" s="15" t="s">
        <v>22</v>
      </c>
      <c r="D2133" s="15" t="s">
        <v>21</v>
      </c>
      <c r="E2133" s="19">
        <v>8900597</v>
      </c>
      <c r="F2133" s="19">
        <v>2234352</v>
      </c>
      <c r="G2133" s="20">
        <f t="shared" si="33"/>
        <v>0.20066117949889128</v>
      </c>
      <c r="H2133" s="24" t="s">
        <v>579</v>
      </c>
      <c r="I2133" s="24" t="s">
        <v>596</v>
      </c>
      <c r="J2133" s="24" t="s">
        <v>597</v>
      </c>
      <c r="K2133" s="24" t="s">
        <v>600</v>
      </c>
    </row>
    <row r="2134" spans="1:11">
      <c r="A2134" s="12">
        <v>2019</v>
      </c>
      <c r="B2134" s="15" t="s">
        <v>21</v>
      </c>
      <c r="C2134" s="15" t="s">
        <v>23</v>
      </c>
      <c r="D2134" s="15" t="s">
        <v>24</v>
      </c>
      <c r="E2134" s="19">
        <v>440647</v>
      </c>
      <c r="F2134" s="19">
        <v>374324</v>
      </c>
      <c r="G2134" s="20">
        <f t="shared" si="33"/>
        <v>0.45930959506534591</v>
      </c>
      <c r="H2134" s="24" t="s">
        <v>579</v>
      </c>
      <c r="I2134" s="24" t="s">
        <v>596</v>
      </c>
      <c r="J2134" s="24" t="s">
        <v>597</v>
      </c>
      <c r="K2134" s="24" t="s">
        <v>600</v>
      </c>
    </row>
    <row r="2135" spans="1:11">
      <c r="A2135" s="12">
        <v>2019</v>
      </c>
      <c r="B2135" s="15" t="s">
        <v>21</v>
      </c>
      <c r="C2135" s="15" t="s">
        <v>25</v>
      </c>
      <c r="D2135" s="15" t="s">
        <v>26</v>
      </c>
      <c r="E2135" s="19">
        <v>361213</v>
      </c>
      <c r="F2135" s="19">
        <v>253829</v>
      </c>
      <c r="G2135" s="20">
        <f t="shared" si="33"/>
        <v>0.41270189678103286</v>
      </c>
      <c r="H2135" s="24" t="s">
        <v>579</v>
      </c>
      <c r="I2135" s="24" t="s">
        <v>596</v>
      </c>
      <c r="J2135" s="24" t="s">
        <v>597</v>
      </c>
      <c r="K2135" s="24" t="s">
        <v>600</v>
      </c>
    </row>
    <row r="2136" spans="1:11">
      <c r="A2136" s="12">
        <v>2019</v>
      </c>
      <c r="B2136" s="15" t="s">
        <v>21</v>
      </c>
      <c r="C2136" s="15" t="s">
        <v>27</v>
      </c>
      <c r="D2136" s="15" t="s">
        <v>28</v>
      </c>
      <c r="E2136" s="19">
        <v>247625</v>
      </c>
      <c r="F2136" s="19">
        <v>219072</v>
      </c>
      <c r="G2136" s="20">
        <f t="shared" si="33"/>
        <v>0.46940948838325508</v>
      </c>
      <c r="H2136" s="24" t="s">
        <v>579</v>
      </c>
      <c r="I2136" s="24" t="s">
        <v>596</v>
      </c>
      <c r="J2136" s="24" t="s">
        <v>597</v>
      </c>
      <c r="K2136" s="24" t="s">
        <v>600</v>
      </c>
    </row>
    <row r="2137" spans="1:11">
      <c r="A2137" s="12">
        <v>2019</v>
      </c>
      <c r="B2137" s="15" t="s">
        <v>21</v>
      </c>
      <c r="C2137" s="15" t="s">
        <v>29</v>
      </c>
      <c r="D2137" s="15" t="s">
        <v>30</v>
      </c>
      <c r="E2137" s="19">
        <v>481553</v>
      </c>
      <c r="F2137" s="19">
        <v>395247</v>
      </c>
      <c r="G2137" s="20">
        <f t="shared" si="33"/>
        <v>0.45078353102189783</v>
      </c>
      <c r="H2137" s="24" t="s">
        <v>579</v>
      </c>
      <c r="I2137" s="24" t="s">
        <v>596</v>
      </c>
      <c r="J2137" s="24" t="s">
        <v>597</v>
      </c>
      <c r="K2137" s="24" t="s">
        <v>600</v>
      </c>
    </row>
    <row r="2138" spans="1:11">
      <c r="A2138" s="12">
        <v>2019</v>
      </c>
      <c r="B2138" s="15" t="s">
        <v>21</v>
      </c>
      <c r="C2138" s="15" t="s">
        <v>31</v>
      </c>
      <c r="D2138" s="15" t="s">
        <v>32</v>
      </c>
      <c r="E2138" s="19">
        <v>383316</v>
      </c>
      <c r="F2138" s="19">
        <v>361088</v>
      </c>
      <c r="G2138" s="20">
        <f t="shared" si="33"/>
        <v>0.48506993514274505</v>
      </c>
      <c r="H2138" s="24" t="s">
        <v>579</v>
      </c>
      <c r="I2138" s="24" t="s">
        <v>596</v>
      </c>
      <c r="J2138" s="24" t="s">
        <v>597</v>
      </c>
      <c r="K2138" s="24" t="s">
        <v>600</v>
      </c>
    </row>
    <row r="2139" spans="1:11">
      <c r="A2139" s="12">
        <v>2019</v>
      </c>
      <c r="B2139" s="15" t="s">
        <v>21</v>
      </c>
      <c r="C2139" s="15" t="s">
        <v>33</v>
      </c>
      <c r="D2139" s="15" t="s">
        <v>34</v>
      </c>
      <c r="E2139" s="19">
        <v>285249</v>
      </c>
      <c r="F2139" s="19">
        <v>232427</v>
      </c>
      <c r="G2139" s="20">
        <f t="shared" si="33"/>
        <v>0.44898160239222989</v>
      </c>
      <c r="H2139" s="24" t="s">
        <v>579</v>
      </c>
      <c r="I2139" s="24" t="s">
        <v>596</v>
      </c>
      <c r="J2139" s="24" t="s">
        <v>597</v>
      </c>
      <c r="K2139" s="24" t="s">
        <v>600</v>
      </c>
    </row>
    <row r="2140" spans="1:11">
      <c r="A2140" s="12">
        <v>2019</v>
      </c>
      <c r="B2140" s="15" t="s">
        <v>21</v>
      </c>
      <c r="C2140" s="15" t="s">
        <v>35</v>
      </c>
      <c r="D2140" s="15" t="s">
        <v>36</v>
      </c>
      <c r="E2140" s="19">
        <v>338113</v>
      </c>
      <c r="F2140" s="19">
        <v>298553</v>
      </c>
      <c r="G2140" s="20">
        <f t="shared" si="33"/>
        <v>0.46893190464073786</v>
      </c>
      <c r="H2140" s="24" t="s">
        <v>579</v>
      </c>
      <c r="I2140" s="24" t="s">
        <v>596</v>
      </c>
      <c r="J2140" s="24" t="s">
        <v>597</v>
      </c>
      <c r="K2140" s="24" t="s">
        <v>600</v>
      </c>
    </row>
    <row r="2141" spans="1:11">
      <c r="A2141" s="12">
        <v>2019</v>
      </c>
      <c r="B2141" s="15" t="s">
        <v>21</v>
      </c>
      <c r="C2141" s="15" t="s">
        <v>37</v>
      </c>
      <c r="D2141" s="15" t="s">
        <v>38</v>
      </c>
      <c r="E2141" s="19">
        <v>191044</v>
      </c>
      <c r="F2141" s="19">
        <v>175948</v>
      </c>
      <c r="G2141" s="20">
        <f t="shared" si="33"/>
        <v>0.4794327941753499</v>
      </c>
      <c r="H2141" s="24" t="s">
        <v>579</v>
      </c>
      <c r="I2141" s="24" t="s">
        <v>596</v>
      </c>
      <c r="J2141" s="24" t="s">
        <v>597</v>
      </c>
      <c r="K2141" s="24" t="s">
        <v>600</v>
      </c>
    </row>
    <row r="2142" spans="1:11">
      <c r="A2142" s="12">
        <v>2019</v>
      </c>
      <c r="B2142" s="15" t="s">
        <v>21</v>
      </c>
      <c r="C2142" s="15" t="s">
        <v>39</v>
      </c>
      <c r="D2142" s="15" t="s">
        <v>40</v>
      </c>
      <c r="E2142" s="19">
        <v>437003</v>
      </c>
      <c r="F2142" s="19">
        <v>320962</v>
      </c>
      <c r="G2142" s="20">
        <f t="shared" si="33"/>
        <v>0.42345227022355914</v>
      </c>
      <c r="H2142" s="24" t="s">
        <v>579</v>
      </c>
      <c r="I2142" s="24" t="s">
        <v>596</v>
      </c>
      <c r="J2142" s="24" t="s">
        <v>597</v>
      </c>
      <c r="K2142" s="24" t="s">
        <v>600</v>
      </c>
    </row>
    <row r="2143" spans="1:11">
      <c r="A2143" s="12">
        <v>2019</v>
      </c>
      <c r="B2143" s="15" t="s">
        <v>21</v>
      </c>
      <c r="C2143" s="15" t="s">
        <v>41</v>
      </c>
      <c r="D2143" s="15" t="s">
        <v>42</v>
      </c>
      <c r="E2143" s="19">
        <v>259872</v>
      </c>
      <c r="F2143" s="19">
        <v>238734</v>
      </c>
      <c r="G2143" s="20">
        <f t="shared" si="33"/>
        <v>0.47880290249214813</v>
      </c>
      <c r="H2143" s="24" t="s">
        <v>579</v>
      </c>
      <c r="I2143" s="24" t="s">
        <v>596</v>
      </c>
      <c r="J2143" s="24" t="s">
        <v>597</v>
      </c>
      <c r="K2143" s="24" t="s">
        <v>600</v>
      </c>
    </row>
    <row r="2144" spans="1:11">
      <c r="A2144" s="12">
        <v>2019</v>
      </c>
      <c r="B2144" s="15" t="s">
        <v>21</v>
      </c>
      <c r="C2144" s="15" t="s">
        <v>43</v>
      </c>
      <c r="D2144" s="15" t="s">
        <v>44</v>
      </c>
      <c r="E2144" s="19">
        <v>272227</v>
      </c>
      <c r="F2144" s="19">
        <v>233633</v>
      </c>
      <c r="G2144" s="20">
        <f t="shared" si="33"/>
        <v>0.46185308188036217</v>
      </c>
      <c r="H2144" s="24" t="s">
        <v>579</v>
      </c>
      <c r="I2144" s="24" t="s">
        <v>596</v>
      </c>
      <c r="J2144" s="24" t="s">
        <v>597</v>
      </c>
      <c r="K2144" s="24" t="s">
        <v>600</v>
      </c>
    </row>
    <row r="2145" spans="1:11">
      <c r="A2145" s="12">
        <v>2019</v>
      </c>
      <c r="B2145" s="15" t="s">
        <v>21</v>
      </c>
      <c r="C2145" s="15" t="s">
        <v>45</v>
      </c>
      <c r="D2145" s="15" t="s">
        <v>46</v>
      </c>
      <c r="E2145" s="19">
        <v>299548</v>
      </c>
      <c r="F2145" s="19">
        <v>296273</v>
      </c>
      <c r="G2145" s="20">
        <f t="shared" si="33"/>
        <v>0.49725169136368136</v>
      </c>
      <c r="H2145" s="24" t="s">
        <v>579</v>
      </c>
      <c r="I2145" s="24" t="s">
        <v>596</v>
      </c>
      <c r="J2145" s="24" t="s">
        <v>597</v>
      </c>
      <c r="K2145" s="24" t="s">
        <v>600</v>
      </c>
    </row>
    <row r="2146" spans="1:11">
      <c r="A2146" s="12">
        <v>2019</v>
      </c>
      <c r="B2146" s="15" t="s">
        <v>21</v>
      </c>
      <c r="C2146" s="15" t="s">
        <v>47</v>
      </c>
      <c r="D2146" s="15" t="s">
        <v>48</v>
      </c>
      <c r="E2146" s="19">
        <v>293204</v>
      </c>
      <c r="F2146" s="19">
        <v>272924</v>
      </c>
      <c r="G2146" s="20">
        <f t="shared" si="33"/>
        <v>0.4820888562303931</v>
      </c>
      <c r="H2146" s="24" t="s">
        <v>579</v>
      </c>
      <c r="I2146" s="24" t="s">
        <v>596</v>
      </c>
      <c r="J2146" s="24" t="s">
        <v>597</v>
      </c>
      <c r="K2146" s="24" t="s">
        <v>600</v>
      </c>
    </row>
    <row r="2147" spans="1:11">
      <c r="A2147" s="12">
        <v>2019</v>
      </c>
      <c r="B2147" s="15" t="s">
        <v>21</v>
      </c>
      <c r="C2147" s="15" t="s">
        <v>49</v>
      </c>
      <c r="D2147" s="15" t="s">
        <v>50</v>
      </c>
      <c r="E2147" s="19">
        <v>230245</v>
      </c>
      <c r="F2147" s="19">
        <v>230971</v>
      </c>
      <c r="G2147" s="20">
        <f t="shared" si="33"/>
        <v>0.50078704988552003</v>
      </c>
      <c r="H2147" s="24" t="s">
        <v>579</v>
      </c>
      <c r="I2147" s="24" t="s">
        <v>596</v>
      </c>
      <c r="J2147" s="24" t="s">
        <v>597</v>
      </c>
      <c r="K2147" s="24" t="s">
        <v>600</v>
      </c>
    </row>
    <row r="2148" spans="1:11">
      <c r="A2148" s="12">
        <v>2019</v>
      </c>
      <c r="B2148" s="15" t="s">
        <v>21</v>
      </c>
      <c r="C2148" s="15" t="s">
        <v>51</v>
      </c>
      <c r="D2148" s="15" t="s">
        <v>52</v>
      </c>
      <c r="E2148" s="19">
        <v>328234</v>
      </c>
      <c r="F2148" s="19">
        <v>326687</v>
      </c>
      <c r="G2148" s="20">
        <f t="shared" si="33"/>
        <v>0.49881894152119111</v>
      </c>
      <c r="H2148" s="24" t="s">
        <v>579</v>
      </c>
      <c r="I2148" s="24" t="s">
        <v>596</v>
      </c>
      <c r="J2148" s="24" t="s">
        <v>597</v>
      </c>
      <c r="K2148" s="24" t="s">
        <v>600</v>
      </c>
    </row>
    <row r="2149" spans="1:11">
      <c r="A2149" s="12">
        <v>2019</v>
      </c>
      <c r="B2149" s="15" t="s">
        <v>21</v>
      </c>
      <c r="C2149" s="15" t="s">
        <v>53</v>
      </c>
      <c r="D2149" s="15" t="s">
        <v>54</v>
      </c>
      <c r="E2149" s="19">
        <v>225667</v>
      </c>
      <c r="F2149" s="19">
        <v>225037</v>
      </c>
      <c r="G2149" s="20">
        <f t="shared" si="33"/>
        <v>0.49930109340054668</v>
      </c>
      <c r="H2149" s="24" t="s">
        <v>579</v>
      </c>
      <c r="I2149" s="24" t="s">
        <v>596</v>
      </c>
      <c r="J2149" s="24" t="s">
        <v>597</v>
      </c>
      <c r="K2149" s="24" t="s">
        <v>600</v>
      </c>
    </row>
    <row r="2150" spans="1:11">
      <c r="A2150" s="12">
        <v>2019</v>
      </c>
      <c r="B2150" s="15" t="s">
        <v>21</v>
      </c>
      <c r="C2150" s="15" t="s">
        <v>55</v>
      </c>
      <c r="D2150" s="15" t="s">
        <v>56</v>
      </c>
      <c r="E2150" s="19">
        <v>337071</v>
      </c>
      <c r="F2150" s="19">
        <v>319457</v>
      </c>
      <c r="G2150" s="20">
        <f t="shared" si="33"/>
        <v>0.48658549216484293</v>
      </c>
      <c r="H2150" s="24" t="s">
        <v>579</v>
      </c>
      <c r="I2150" s="24" t="s">
        <v>596</v>
      </c>
      <c r="J2150" s="24" t="s">
        <v>597</v>
      </c>
      <c r="K2150" s="24" t="s">
        <v>600</v>
      </c>
    </row>
    <row r="2151" spans="1:11">
      <c r="A2151" s="12">
        <v>2019</v>
      </c>
      <c r="B2151" s="15" t="s">
        <v>21</v>
      </c>
      <c r="C2151" s="15" t="s">
        <v>57</v>
      </c>
      <c r="D2151" s="15" t="s">
        <v>58</v>
      </c>
      <c r="E2151" s="19">
        <v>552362</v>
      </c>
      <c r="F2151" s="19">
        <v>444864</v>
      </c>
      <c r="G2151" s="20">
        <f t="shared" si="33"/>
        <v>0.44610148552083478</v>
      </c>
      <c r="H2151" s="24" t="s">
        <v>579</v>
      </c>
      <c r="I2151" s="24" t="s">
        <v>596</v>
      </c>
      <c r="J2151" s="24" t="s">
        <v>597</v>
      </c>
      <c r="K2151" s="24" t="s">
        <v>600</v>
      </c>
    </row>
    <row r="2152" spans="1:11">
      <c r="A2152" s="12">
        <v>2019</v>
      </c>
      <c r="B2152" s="15" t="s">
        <v>21</v>
      </c>
      <c r="C2152" s="15" t="s">
        <v>59</v>
      </c>
      <c r="D2152" s="15" t="s">
        <v>60</v>
      </c>
      <c r="E2152" s="19">
        <v>364473</v>
      </c>
      <c r="F2152" s="19">
        <v>325732</v>
      </c>
      <c r="G2152" s="20">
        <f t="shared" si="33"/>
        <v>0.47193514970190015</v>
      </c>
      <c r="H2152" s="24" t="s">
        <v>579</v>
      </c>
      <c r="I2152" s="24" t="s">
        <v>596</v>
      </c>
      <c r="J2152" s="24" t="s">
        <v>597</v>
      </c>
      <c r="K2152" s="24" t="s">
        <v>600</v>
      </c>
    </row>
    <row r="2153" spans="1:11">
      <c r="A2153" s="12">
        <v>2019</v>
      </c>
      <c r="B2153" s="15" t="s">
        <v>21</v>
      </c>
      <c r="C2153" s="15" t="s">
        <v>61</v>
      </c>
      <c r="D2153" s="15" t="s">
        <v>62</v>
      </c>
      <c r="E2153" s="19">
        <v>308316</v>
      </c>
      <c r="F2153" s="19">
        <v>275932</v>
      </c>
      <c r="G2153" s="20">
        <f t="shared" si="33"/>
        <v>0.47228574167134507</v>
      </c>
      <c r="H2153" s="24" t="s">
        <v>579</v>
      </c>
      <c r="I2153" s="24" t="s">
        <v>596</v>
      </c>
      <c r="J2153" s="24" t="s">
        <v>597</v>
      </c>
      <c r="K2153" s="24" t="s">
        <v>600</v>
      </c>
    </row>
    <row r="2154" spans="1:11">
      <c r="A2154" s="12">
        <v>2019</v>
      </c>
      <c r="B2154" s="15" t="s">
        <v>21</v>
      </c>
      <c r="C2154" s="15" t="s">
        <v>63</v>
      </c>
      <c r="D2154" s="15" t="s">
        <v>64</v>
      </c>
      <c r="E2154" s="19">
        <v>153877</v>
      </c>
      <c r="F2154" s="19">
        <v>178027</v>
      </c>
      <c r="G2154" s="20">
        <f t="shared" si="33"/>
        <v>0.53638100173544156</v>
      </c>
      <c r="H2154" s="24" t="s">
        <v>579</v>
      </c>
      <c r="I2154" s="24" t="s">
        <v>596</v>
      </c>
      <c r="J2154" s="24" t="s">
        <v>597</v>
      </c>
      <c r="K2154" s="24" t="s">
        <v>600</v>
      </c>
    </row>
    <row r="2155" spans="1:11">
      <c r="A2155" s="12">
        <v>2019</v>
      </c>
      <c r="B2155" s="15" t="s">
        <v>21</v>
      </c>
      <c r="C2155" s="15" t="s">
        <v>65</v>
      </c>
      <c r="D2155" s="15" t="s">
        <v>66</v>
      </c>
      <c r="E2155" s="19">
        <v>388997</v>
      </c>
      <c r="F2155" s="19">
        <v>306877</v>
      </c>
      <c r="G2155" s="20">
        <f t="shared" si="33"/>
        <v>0.44099506519858478</v>
      </c>
      <c r="H2155" s="24" t="s">
        <v>579</v>
      </c>
      <c r="I2155" s="24" t="s">
        <v>596</v>
      </c>
      <c r="J2155" s="24" t="s">
        <v>597</v>
      </c>
      <c r="K2155" s="24" t="s">
        <v>600</v>
      </c>
    </row>
    <row r="2156" spans="1:11">
      <c r="A2156" s="12">
        <v>2019</v>
      </c>
      <c r="B2156" s="15" t="s">
        <v>21</v>
      </c>
      <c r="C2156" s="15" t="s">
        <v>67</v>
      </c>
      <c r="D2156" s="15" t="s">
        <v>68</v>
      </c>
      <c r="E2156" s="19">
        <v>110332</v>
      </c>
      <c r="F2156" s="19">
        <v>115899</v>
      </c>
      <c r="G2156" s="20">
        <f t="shared" si="33"/>
        <v>0.5123037956778691</v>
      </c>
      <c r="H2156" s="24" t="s">
        <v>579</v>
      </c>
      <c r="I2156" s="24" t="s">
        <v>596</v>
      </c>
      <c r="J2156" s="24" t="s">
        <v>597</v>
      </c>
      <c r="K2156" s="24" t="s">
        <v>600</v>
      </c>
    </row>
    <row r="2157" spans="1:11">
      <c r="A2157" s="12">
        <v>2019</v>
      </c>
      <c r="B2157" s="15" t="s">
        <v>21</v>
      </c>
      <c r="C2157" s="15" t="s">
        <v>69</v>
      </c>
      <c r="D2157" s="15" t="s">
        <v>70</v>
      </c>
      <c r="E2157" s="19">
        <v>95889</v>
      </c>
      <c r="F2157" s="19">
        <v>101385</v>
      </c>
      <c r="G2157" s="20">
        <f t="shared" si="33"/>
        <v>0.51392986404696006</v>
      </c>
      <c r="H2157" s="24" t="s">
        <v>579</v>
      </c>
      <c r="I2157" s="24" t="s">
        <v>596</v>
      </c>
      <c r="J2157" s="24" t="s">
        <v>597</v>
      </c>
      <c r="K2157" s="24" t="s">
        <v>600</v>
      </c>
    </row>
    <row r="2158" spans="1:11">
      <c r="A2158" s="12">
        <v>2019</v>
      </c>
      <c r="B2158" s="15" t="s">
        <v>21</v>
      </c>
      <c r="C2158" s="15" t="s">
        <v>71</v>
      </c>
      <c r="D2158" s="15" t="s">
        <v>72</v>
      </c>
      <c r="E2158" s="19">
        <v>316256</v>
      </c>
      <c r="F2158" s="19">
        <v>267662</v>
      </c>
      <c r="G2158" s="20">
        <f t="shared" si="33"/>
        <v>0.45838970540384094</v>
      </c>
      <c r="H2158" s="24" t="s">
        <v>579</v>
      </c>
      <c r="I2158" s="24" t="s">
        <v>596</v>
      </c>
      <c r="J2158" s="24" t="s">
        <v>597</v>
      </c>
      <c r="K2158" s="24" t="s">
        <v>600</v>
      </c>
    </row>
    <row r="2159" spans="1:11">
      <c r="A2159" s="12">
        <v>2019</v>
      </c>
      <c r="B2159" s="15" t="s">
        <v>73</v>
      </c>
      <c r="C2159" s="15" t="s">
        <v>22</v>
      </c>
      <c r="D2159" s="15" t="s">
        <v>73</v>
      </c>
      <c r="E2159" s="19">
        <v>3131087</v>
      </c>
      <c r="F2159" s="19">
        <v>654254</v>
      </c>
      <c r="G2159" s="20">
        <f t="shared" si="33"/>
        <v>0.17283885388396977</v>
      </c>
      <c r="H2159" s="24" t="s">
        <v>583</v>
      </c>
      <c r="I2159" s="24" t="s">
        <v>584</v>
      </c>
      <c r="J2159" s="24" t="s">
        <v>585</v>
      </c>
      <c r="K2159" s="24" t="s">
        <v>600</v>
      </c>
    </row>
    <row r="2160" spans="1:11">
      <c r="A2160" s="12">
        <v>2019</v>
      </c>
      <c r="B2160" s="15" t="s">
        <v>73</v>
      </c>
      <c r="C2160" s="15" t="s">
        <v>29</v>
      </c>
      <c r="D2160" s="15" t="s">
        <v>74</v>
      </c>
      <c r="E2160" s="19">
        <v>95543</v>
      </c>
      <c r="F2160" s="19">
        <v>105517</v>
      </c>
      <c r="G2160" s="20">
        <f t="shared" si="33"/>
        <v>0.52480354123147321</v>
      </c>
      <c r="H2160" s="24" t="s">
        <v>583</v>
      </c>
      <c r="I2160" s="24" t="s">
        <v>584</v>
      </c>
      <c r="J2160" s="24" t="s">
        <v>585</v>
      </c>
      <c r="K2160" s="24" t="s">
        <v>600</v>
      </c>
    </row>
    <row r="2161" spans="1:11">
      <c r="A2161" s="12">
        <v>2019</v>
      </c>
      <c r="B2161" s="15" t="s">
        <v>73</v>
      </c>
      <c r="C2161" s="15" t="s">
        <v>75</v>
      </c>
      <c r="D2161" s="15" t="s">
        <v>76</v>
      </c>
      <c r="E2161" s="19">
        <v>192061</v>
      </c>
      <c r="F2161" s="19">
        <v>173424</v>
      </c>
      <c r="G2161" s="20">
        <f t="shared" si="33"/>
        <v>0.47450374160362258</v>
      </c>
      <c r="H2161" s="24" t="s">
        <v>583</v>
      </c>
      <c r="I2161" s="24" t="s">
        <v>584</v>
      </c>
      <c r="J2161" s="24" t="s">
        <v>585</v>
      </c>
      <c r="K2161" s="24" t="s">
        <v>600</v>
      </c>
    </row>
    <row r="2162" spans="1:11">
      <c r="A2162" s="12">
        <v>2019</v>
      </c>
      <c r="B2162" s="15" t="s">
        <v>73</v>
      </c>
      <c r="C2162" s="15" t="s">
        <v>77</v>
      </c>
      <c r="D2162" s="15" t="s">
        <v>78</v>
      </c>
      <c r="E2162" s="19">
        <v>134950</v>
      </c>
      <c r="F2162" s="19">
        <v>109424</v>
      </c>
      <c r="G2162" s="20">
        <f t="shared" si="33"/>
        <v>0.44777267630762685</v>
      </c>
      <c r="H2162" s="24" t="s">
        <v>583</v>
      </c>
      <c r="I2162" s="24" t="s">
        <v>584</v>
      </c>
      <c r="J2162" s="24" t="s">
        <v>585</v>
      </c>
      <c r="K2162" s="24" t="s">
        <v>600</v>
      </c>
    </row>
    <row r="2163" spans="1:11">
      <c r="A2163" s="12">
        <v>2019</v>
      </c>
      <c r="B2163" s="15" t="s">
        <v>73</v>
      </c>
      <c r="C2163" s="15" t="s">
        <v>79</v>
      </c>
      <c r="D2163" s="15" t="s">
        <v>80</v>
      </c>
      <c r="E2163" s="19">
        <v>219208</v>
      </c>
      <c r="F2163" s="19">
        <v>197812</v>
      </c>
      <c r="G2163" s="20">
        <f t="shared" si="33"/>
        <v>0.47434655412210447</v>
      </c>
      <c r="H2163" s="24" t="s">
        <v>583</v>
      </c>
      <c r="I2163" s="24" t="s">
        <v>584</v>
      </c>
      <c r="J2163" s="24" t="s">
        <v>585</v>
      </c>
      <c r="K2163" s="24" t="s">
        <v>600</v>
      </c>
    </row>
    <row r="2164" spans="1:11">
      <c r="A2164" s="12">
        <v>2019</v>
      </c>
      <c r="B2164" s="15" t="s">
        <v>73</v>
      </c>
      <c r="C2164" s="15" t="s">
        <v>81</v>
      </c>
      <c r="D2164" s="15" t="s">
        <v>82</v>
      </c>
      <c r="E2164" s="19">
        <v>66969</v>
      </c>
      <c r="F2164" s="19">
        <v>66348</v>
      </c>
      <c r="G2164" s="20">
        <f t="shared" si="33"/>
        <v>0.4976709646931749</v>
      </c>
      <c r="H2164" s="24" t="s">
        <v>583</v>
      </c>
      <c r="I2164" s="24" t="s">
        <v>584</v>
      </c>
      <c r="J2164" s="24" t="s">
        <v>585</v>
      </c>
      <c r="K2164" s="24" t="s">
        <v>600</v>
      </c>
    </row>
    <row r="2165" spans="1:11">
      <c r="A2165" s="12">
        <v>2019</v>
      </c>
      <c r="B2165" s="15" t="s">
        <v>73</v>
      </c>
      <c r="C2165" s="15" t="s">
        <v>83</v>
      </c>
      <c r="D2165" s="15" t="s">
        <v>84</v>
      </c>
      <c r="E2165" s="19">
        <v>218901</v>
      </c>
      <c r="F2165" s="19">
        <v>195570</v>
      </c>
      <c r="G2165" s="20">
        <f t="shared" si="33"/>
        <v>0.47185448439094652</v>
      </c>
      <c r="H2165" s="24" t="s">
        <v>583</v>
      </c>
      <c r="I2165" s="24" t="s">
        <v>584</v>
      </c>
      <c r="J2165" s="24" t="s">
        <v>585</v>
      </c>
      <c r="K2165" s="24" t="s">
        <v>600</v>
      </c>
    </row>
    <row r="2166" spans="1:11">
      <c r="A2166" s="12">
        <v>2019</v>
      </c>
      <c r="B2166" s="15" t="s">
        <v>73</v>
      </c>
      <c r="C2166" s="15" t="s">
        <v>85</v>
      </c>
      <c r="D2166" s="15" t="s">
        <v>86</v>
      </c>
      <c r="E2166" s="19">
        <v>293358</v>
      </c>
      <c r="F2166" s="19">
        <v>232912</v>
      </c>
      <c r="G2166" s="20">
        <f t="shared" si="33"/>
        <v>0.44257130370342218</v>
      </c>
      <c r="H2166" s="24" t="s">
        <v>583</v>
      </c>
      <c r="I2166" s="24" t="s">
        <v>584</v>
      </c>
      <c r="J2166" s="24" t="s">
        <v>585</v>
      </c>
      <c r="K2166" s="24" t="s">
        <v>600</v>
      </c>
    </row>
    <row r="2167" spans="1:11">
      <c r="A2167" s="12">
        <v>2019</v>
      </c>
      <c r="B2167" s="15" t="s">
        <v>73</v>
      </c>
      <c r="C2167" s="15" t="s">
        <v>87</v>
      </c>
      <c r="D2167" s="15" t="s">
        <v>88</v>
      </c>
      <c r="E2167" s="19">
        <v>247463</v>
      </c>
      <c r="F2167" s="19">
        <v>176037</v>
      </c>
      <c r="G2167" s="20">
        <f t="shared" si="33"/>
        <v>0.41567178276269184</v>
      </c>
      <c r="H2167" s="24" t="s">
        <v>583</v>
      </c>
      <c r="I2167" s="24" t="s">
        <v>584</v>
      </c>
      <c r="J2167" s="24" t="s">
        <v>585</v>
      </c>
      <c r="K2167" s="24" t="s">
        <v>600</v>
      </c>
    </row>
    <row r="2168" spans="1:11">
      <c r="A2168" s="12">
        <v>2019</v>
      </c>
      <c r="B2168" s="15" t="s">
        <v>73</v>
      </c>
      <c r="C2168" s="15" t="s">
        <v>89</v>
      </c>
      <c r="D2168" s="15" t="s">
        <v>90</v>
      </c>
      <c r="E2168" s="19">
        <v>170807</v>
      </c>
      <c r="F2168" s="19">
        <v>162390</v>
      </c>
      <c r="G2168" s="20">
        <f t="shared" si="33"/>
        <v>0.48736933405762956</v>
      </c>
      <c r="H2168" s="24" t="s">
        <v>583</v>
      </c>
      <c r="I2168" s="24" t="s">
        <v>584</v>
      </c>
      <c r="J2168" s="24" t="s">
        <v>585</v>
      </c>
      <c r="K2168" s="24" t="s">
        <v>600</v>
      </c>
    </row>
    <row r="2169" spans="1:11">
      <c r="A2169" s="12">
        <v>2019</v>
      </c>
      <c r="B2169" s="15" t="s">
        <v>73</v>
      </c>
      <c r="C2169" s="15" t="s">
        <v>91</v>
      </c>
      <c r="D2169" s="15" t="s">
        <v>92</v>
      </c>
      <c r="E2169" s="19">
        <v>271758</v>
      </c>
      <c r="F2169" s="19">
        <v>200292</v>
      </c>
      <c r="G2169" s="20">
        <f t="shared" si="33"/>
        <v>0.42430251032729582</v>
      </c>
      <c r="H2169" s="24" t="s">
        <v>583</v>
      </c>
      <c r="I2169" s="24" t="s">
        <v>584</v>
      </c>
      <c r="J2169" s="24" t="s">
        <v>585</v>
      </c>
      <c r="K2169" s="24" t="s">
        <v>600</v>
      </c>
    </row>
    <row r="2170" spans="1:11">
      <c r="A2170" s="12">
        <v>2019</v>
      </c>
      <c r="B2170" s="15" t="s">
        <v>73</v>
      </c>
      <c r="C2170" s="15" t="s">
        <v>93</v>
      </c>
      <c r="D2170" s="15" t="s">
        <v>94</v>
      </c>
      <c r="E2170" s="19">
        <v>84482</v>
      </c>
      <c r="F2170" s="19">
        <v>81434</v>
      </c>
      <c r="G2170" s="20">
        <f t="shared" si="33"/>
        <v>0.49081462908941875</v>
      </c>
      <c r="H2170" s="24" t="s">
        <v>583</v>
      </c>
      <c r="I2170" s="24" t="s">
        <v>584</v>
      </c>
      <c r="J2170" s="24" t="s">
        <v>585</v>
      </c>
      <c r="K2170" s="24" t="s">
        <v>600</v>
      </c>
    </row>
    <row r="2171" spans="1:11">
      <c r="A2171" s="12">
        <v>2019</v>
      </c>
      <c r="B2171" s="15" t="s">
        <v>73</v>
      </c>
      <c r="C2171" s="15" t="s">
        <v>95</v>
      </c>
      <c r="D2171" s="15" t="s">
        <v>96</v>
      </c>
      <c r="E2171" s="19">
        <v>135187</v>
      </c>
      <c r="F2171" s="19">
        <v>130194</v>
      </c>
      <c r="G2171" s="20">
        <f t="shared" si="33"/>
        <v>0.49059277039426336</v>
      </c>
      <c r="H2171" s="24" t="s">
        <v>583</v>
      </c>
      <c r="I2171" s="24" t="s">
        <v>584</v>
      </c>
      <c r="J2171" s="24" t="s">
        <v>585</v>
      </c>
      <c r="K2171" s="24" t="s">
        <v>600</v>
      </c>
    </row>
    <row r="2172" spans="1:11">
      <c r="A2172" s="12">
        <v>2019</v>
      </c>
      <c r="B2172" s="15" t="s">
        <v>73</v>
      </c>
      <c r="C2172" s="15" t="s">
        <v>97</v>
      </c>
      <c r="D2172" s="15" t="s">
        <v>98</v>
      </c>
      <c r="E2172" s="19">
        <v>159963</v>
      </c>
      <c r="F2172" s="19">
        <v>164240</v>
      </c>
      <c r="G2172" s="20">
        <f t="shared" si="33"/>
        <v>0.5065961758527836</v>
      </c>
      <c r="H2172" s="24" t="s">
        <v>583</v>
      </c>
      <c r="I2172" s="24" t="s">
        <v>584</v>
      </c>
      <c r="J2172" s="24" t="s">
        <v>585</v>
      </c>
      <c r="K2172" s="24" t="s">
        <v>600</v>
      </c>
    </row>
    <row r="2173" spans="1:11">
      <c r="A2173" s="12">
        <v>2019</v>
      </c>
      <c r="B2173" s="15" t="s">
        <v>73</v>
      </c>
      <c r="C2173" s="15" t="s">
        <v>99</v>
      </c>
      <c r="D2173" s="15" t="s">
        <v>100</v>
      </c>
      <c r="E2173" s="19">
        <v>96330</v>
      </c>
      <c r="F2173" s="19">
        <v>78798</v>
      </c>
      <c r="G2173" s="20">
        <f t="shared" si="33"/>
        <v>0.44994518295189806</v>
      </c>
      <c r="H2173" s="24" t="s">
        <v>583</v>
      </c>
      <c r="I2173" s="24" t="s">
        <v>584</v>
      </c>
      <c r="J2173" s="24" t="s">
        <v>585</v>
      </c>
      <c r="K2173" s="24" t="s">
        <v>600</v>
      </c>
    </row>
    <row r="2174" spans="1:11">
      <c r="A2174" s="12">
        <v>2019</v>
      </c>
      <c r="B2174" s="15" t="s">
        <v>73</v>
      </c>
      <c r="C2174" s="15" t="s">
        <v>69</v>
      </c>
      <c r="D2174" s="15" t="s">
        <v>101</v>
      </c>
      <c r="E2174" s="19">
        <v>29902</v>
      </c>
      <c r="F2174" s="19">
        <v>32752</v>
      </c>
      <c r="G2174" s="20">
        <f t="shared" si="33"/>
        <v>0.52274395888530656</v>
      </c>
      <c r="H2174" s="24" t="s">
        <v>583</v>
      </c>
      <c r="I2174" s="24" t="s">
        <v>584</v>
      </c>
      <c r="J2174" s="24" t="s">
        <v>585</v>
      </c>
      <c r="K2174" s="24" t="s">
        <v>600</v>
      </c>
    </row>
    <row r="2175" spans="1:11">
      <c r="A2175" s="12">
        <v>2019</v>
      </c>
      <c r="B2175" s="15" t="s">
        <v>73</v>
      </c>
      <c r="C2175" s="15" t="s">
        <v>102</v>
      </c>
      <c r="D2175" s="15" t="s">
        <v>103</v>
      </c>
      <c r="E2175" s="19">
        <v>338258</v>
      </c>
      <c r="F2175" s="19">
        <v>257666</v>
      </c>
      <c r="G2175" s="20">
        <f t="shared" si="33"/>
        <v>0.432380639141904</v>
      </c>
      <c r="H2175" s="24" t="s">
        <v>583</v>
      </c>
      <c r="I2175" s="24" t="s">
        <v>584</v>
      </c>
      <c r="J2175" s="24" t="s">
        <v>585</v>
      </c>
      <c r="K2175" s="24" t="s">
        <v>600</v>
      </c>
    </row>
    <row r="2176" spans="1:11">
      <c r="A2176" s="12">
        <v>2019</v>
      </c>
      <c r="B2176" s="15" t="s">
        <v>104</v>
      </c>
      <c r="C2176" s="15" t="s">
        <v>22</v>
      </c>
      <c r="D2176" s="15" t="s">
        <v>104</v>
      </c>
      <c r="E2176" s="19">
        <v>2255053</v>
      </c>
      <c r="F2176" s="19">
        <v>452961</v>
      </c>
      <c r="G2176" s="20">
        <f t="shared" si="33"/>
        <v>0.16726686051106088</v>
      </c>
      <c r="H2176" s="24" t="s">
        <v>583</v>
      </c>
      <c r="I2176" s="24" t="s">
        <v>584</v>
      </c>
      <c r="J2176" s="24" t="s">
        <v>585</v>
      </c>
      <c r="K2176" s="24" t="s">
        <v>600</v>
      </c>
    </row>
    <row r="2177" spans="1:11">
      <c r="A2177" s="12">
        <v>2019</v>
      </c>
      <c r="B2177" s="15" t="s">
        <v>104</v>
      </c>
      <c r="C2177" s="15" t="s">
        <v>79</v>
      </c>
      <c r="D2177" s="15" t="s">
        <v>107</v>
      </c>
      <c r="E2177" s="19">
        <v>107647</v>
      </c>
      <c r="F2177" s="19">
        <v>117922</v>
      </c>
      <c r="G2177" s="20">
        <f t="shared" si="33"/>
        <v>0.522775736027557</v>
      </c>
      <c r="H2177" s="24" t="s">
        <v>583</v>
      </c>
      <c r="I2177" s="24" t="s">
        <v>584</v>
      </c>
      <c r="J2177" s="24" t="s">
        <v>585</v>
      </c>
      <c r="K2177" s="24" t="s">
        <v>600</v>
      </c>
    </row>
    <row r="2178" spans="1:11">
      <c r="A2178" s="12">
        <v>2019</v>
      </c>
      <c r="B2178" s="15" t="s">
        <v>104</v>
      </c>
      <c r="C2178" s="15" t="s">
        <v>108</v>
      </c>
      <c r="D2178" s="15" t="s">
        <v>109</v>
      </c>
      <c r="E2178" s="19">
        <v>490799</v>
      </c>
      <c r="F2178" s="19">
        <v>368126</v>
      </c>
      <c r="G2178" s="20">
        <f t="shared" si="33"/>
        <v>0.42858922490322204</v>
      </c>
      <c r="H2178" s="24" t="s">
        <v>583</v>
      </c>
      <c r="I2178" s="24" t="s">
        <v>584</v>
      </c>
      <c r="J2178" s="24" t="s">
        <v>585</v>
      </c>
      <c r="K2178" s="24" t="s">
        <v>600</v>
      </c>
    </row>
    <row r="2179" spans="1:11">
      <c r="A2179" s="12">
        <v>2019</v>
      </c>
      <c r="B2179" s="15" t="s">
        <v>104</v>
      </c>
      <c r="C2179" s="15" t="s">
        <v>110</v>
      </c>
      <c r="D2179" s="15" t="s">
        <v>111</v>
      </c>
      <c r="E2179" s="19">
        <v>207422</v>
      </c>
      <c r="F2179" s="19">
        <v>195976</v>
      </c>
      <c r="G2179" s="20">
        <f t="shared" si="33"/>
        <v>0.48581301840861879</v>
      </c>
      <c r="H2179" s="24" t="s">
        <v>583</v>
      </c>
      <c r="I2179" s="24" t="s">
        <v>584</v>
      </c>
      <c r="J2179" s="24" t="s">
        <v>585</v>
      </c>
      <c r="K2179" s="24" t="s">
        <v>600</v>
      </c>
    </row>
    <row r="2180" spans="1:11">
      <c r="A2180" s="12">
        <v>2019</v>
      </c>
      <c r="B2180" s="15" t="s">
        <v>104</v>
      </c>
      <c r="C2180" s="15" t="s">
        <v>81</v>
      </c>
      <c r="D2180" s="15" t="s">
        <v>112</v>
      </c>
      <c r="E2180" s="19">
        <v>284994</v>
      </c>
      <c r="F2180" s="19">
        <v>236955</v>
      </c>
      <c r="G2180" s="20">
        <f t="shared" si="33"/>
        <v>0.45398113608800861</v>
      </c>
      <c r="H2180" s="24" t="s">
        <v>583</v>
      </c>
      <c r="I2180" s="24" t="s">
        <v>584</v>
      </c>
      <c r="J2180" s="24" t="s">
        <v>585</v>
      </c>
      <c r="K2180" s="24" t="s">
        <v>600</v>
      </c>
    </row>
    <row r="2181" spans="1:11">
      <c r="A2181" s="12">
        <v>2019</v>
      </c>
      <c r="B2181" s="15" t="s">
        <v>104</v>
      </c>
      <c r="C2181" s="15" t="s">
        <v>87</v>
      </c>
      <c r="D2181" s="15" t="s">
        <v>113</v>
      </c>
      <c r="E2181" s="19">
        <v>371322</v>
      </c>
      <c r="F2181" s="19">
        <v>279360</v>
      </c>
      <c r="G2181" s="20">
        <f t="shared" si="33"/>
        <v>0.42933414478962073</v>
      </c>
      <c r="H2181" s="24" t="s">
        <v>583</v>
      </c>
      <c r="I2181" s="24" t="s">
        <v>584</v>
      </c>
      <c r="J2181" s="24" t="s">
        <v>585</v>
      </c>
      <c r="K2181" s="24" t="s">
        <v>600</v>
      </c>
    </row>
    <row r="2182" spans="1:11">
      <c r="A2182" s="12">
        <v>2019</v>
      </c>
      <c r="B2182" s="15" t="s">
        <v>104</v>
      </c>
      <c r="C2182" s="15" t="s">
        <v>93</v>
      </c>
      <c r="D2182" s="15" t="s">
        <v>114</v>
      </c>
      <c r="E2182" s="19">
        <v>133129</v>
      </c>
      <c r="F2182" s="19">
        <v>137599</v>
      </c>
      <c r="G2182" s="20">
        <f t="shared" ref="G2182:G2245" si="34">IFERROR(F2182/(E2182+F2182),"")</f>
        <v>0.50825551845394634</v>
      </c>
      <c r="H2182" s="24" t="s">
        <v>583</v>
      </c>
      <c r="I2182" s="24" t="s">
        <v>584</v>
      </c>
      <c r="J2182" s="24" t="s">
        <v>585</v>
      </c>
      <c r="K2182" s="24" t="s">
        <v>600</v>
      </c>
    </row>
    <row r="2183" spans="1:11">
      <c r="A2183" s="12">
        <v>2019</v>
      </c>
      <c r="B2183" s="15" t="s">
        <v>104</v>
      </c>
      <c r="C2183" s="15" t="s">
        <v>115</v>
      </c>
      <c r="D2183" s="15" t="s">
        <v>116</v>
      </c>
      <c r="E2183" s="19">
        <v>359204</v>
      </c>
      <c r="F2183" s="19">
        <v>296964</v>
      </c>
      <c r="G2183" s="20">
        <f t="shared" si="34"/>
        <v>0.4525731215176601</v>
      </c>
      <c r="H2183" s="24" t="s">
        <v>583</v>
      </c>
      <c r="I2183" s="24" t="s">
        <v>584</v>
      </c>
      <c r="J2183" s="24" t="s">
        <v>585</v>
      </c>
      <c r="K2183" s="24" t="s">
        <v>600</v>
      </c>
    </row>
    <row r="2184" spans="1:11">
      <c r="A2184" s="12">
        <v>2019</v>
      </c>
      <c r="B2184" s="15" t="s">
        <v>104</v>
      </c>
      <c r="C2184" s="15" t="s">
        <v>69</v>
      </c>
      <c r="D2184" s="15" t="s">
        <v>117</v>
      </c>
      <c r="E2184" s="19">
        <v>59208</v>
      </c>
      <c r="F2184" s="19">
        <v>59702</v>
      </c>
      <c r="G2184" s="20">
        <f t="shared" si="34"/>
        <v>0.50207720124463884</v>
      </c>
      <c r="H2184" s="24" t="s">
        <v>583</v>
      </c>
      <c r="I2184" s="24" t="s">
        <v>584</v>
      </c>
      <c r="J2184" s="24" t="s">
        <v>585</v>
      </c>
      <c r="K2184" s="24" t="s">
        <v>600</v>
      </c>
    </row>
    <row r="2185" spans="1:11">
      <c r="A2185" s="12">
        <v>2019</v>
      </c>
      <c r="B2185" s="15" t="s">
        <v>118</v>
      </c>
      <c r="C2185" s="15" t="s">
        <v>22</v>
      </c>
      <c r="D2185" s="15" t="s">
        <v>118</v>
      </c>
      <c r="E2185" s="19">
        <v>2655979</v>
      </c>
      <c r="F2185" s="19">
        <v>1028696</v>
      </c>
      <c r="G2185" s="20">
        <f t="shared" si="34"/>
        <v>0.27918228880430429</v>
      </c>
      <c r="H2185" s="24" t="s">
        <v>579</v>
      </c>
      <c r="I2185" s="24" t="s">
        <v>596</v>
      </c>
      <c r="J2185" s="24" t="s">
        <v>597</v>
      </c>
      <c r="K2185" s="24" t="s">
        <v>600</v>
      </c>
    </row>
    <row r="2186" spans="1:11">
      <c r="A2186" s="12">
        <v>2019</v>
      </c>
      <c r="B2186" s="15" t="s">
        <v>118</v>
      </c>
      <c r="C2186" s="15" t="s">
        <v>119</v>
      </c>
      <c r="D2186" s="15" t="s">
        <v>120</v>
      </c>
      <c r="E2186" s="19">
        <v>51534</v>
      </c>
      <c r="F2186" s="19">
        <v>49801</v>
      </c>
      <c r="G2186" s="20">
        <f t="shared" si="34"/>
        <v>0.49144915379681253</v>
      </c>
      <c r="H2186" s="24" t="s">
        <v>579</v>
      </c>
      <c r="I2186" s="24" t="s">
        <v>596</v>
      </c>
      <c r="J2186" s="24" t="s">
        <v>597</v>
      </c>
      <c r="K2186" s="24" t="s">
        <v>600</v>
      </c>
    </row>
    <row r="2187" spans="1:11">
      <c r="A2187" s="12">
        <v>2019</v>
      </c>
      <c r="B2187" s="15" t="s">
        <v>118</v>
      </c>
      <c r="C2187" s="15" t="s">
        <v>121</v>
      </c>
      <c r="D2187" s="15" t="s">
        <v>122</v>
      </c>
      <c r="E2187" s="19">
        <v>252931</v>
      </c>
      <c r="F2187" s="19">
        <v>183761</v>
      </c>
      <c r="G2187" s="20">
        <f t="shared" si="34"/>
        <v>0.42080230459912249</v>
      </c>
      <c r="H2187" s="24" t="s">
        <v>579</v>
      </c>
      <c r="I2187" s="24" t="s">
        <v>596</v>
      </c>
      <c r="J2187" s="24" t="s">
        <v>597</v>
      </c>
      <c r="K2187" s="24" t="s">
        <v>600</v>
      </c>
    </row>
    <row r="2188" spans="1:11">
      <c r="A2188" s="12">
        <v>2019</v>
      </c>
      <c r="B2188" s="15" t="s">
        <v>118</v>
      </c>
      <c r="C2188" s="15" t="s">
        <v>124</v>
      </c>
      <c r="D2188" s="15" t="s">
        <v>125</v>
      </c>
      <c r="E2188" s="19">
        <v>454157</v>
      </c>
      <c r="F2188" s="19">
        <v>327075</v>
      </c>
      <c r="G2188" s="20">
        <f t="shared" si="34"/>
        <v>0.41866564605648515</v>
      </c>
      <c r="H2188" s="24" t="s">
        <v>579</v>
      </c>
      <c r="I2188" s="24" t="s">
        <v>596</v>
      </c>
      <c r="J2188" s="24" t="s">
        <v>597</v>
      </c>
      <c r="K2188" s="24" t="s">
        <v>600</v>
      </c>
    </row>
    <row r="2189" spans="1:11">
      <c r="A2189" s="12">
        <v>2019</v>
      </c>
      <c r="B2189" s="15" t="s">
        <v>118</v>
      </c>
      <c r="C2189" s="15" t="s">
        <v>81</v>
      </c>
      <c r="D2189" s="15" t="s">
        <v>126</v>
      </c>
      <c r="E2189" s="19">
        <v>49281</v>
      </c>
      <c r="F2189" s="19">
        <v>49396</v>
      </c>
      <c r="G2189" s="20">
        <f t="shared" si="34"/>
        <v>0.50058270924328874</v>
      </c>
      <c r="H2189" s="24" t="s">
        <v>579</v>
      </c>
      <c r="I2189" s="24" t="s">
        <v>596</v>
      </c>
      <c r="J2189" s="24" t="s">
        <v>597</v>
      </c>
      <c r="K2189" s="24" t="s">
        <v>600</v>
      </c>
    </row>
    <row r="2190" spans="1:11">
      <c r="A2190" s="12">
        <v>2019</v>
      </c>
      <c r="B2190" s="15" t="s">
        <v>118</v>
      </c>
      <c r="C2190" s="15" t="s">
        <v>127</v>
      </c>
      <c r="D2190" s="15" t="s">
        <v>128</v>
      </c>
      <c r="E2190" s="19">
        <v>326256</v>
      </c>
      <c r="F2190" s="19">
        <v>283679</v>
      </c>
      <c r="G2190" s="20">
        <f t="shared" si="34"/>
        <v>0.46509710051071018</v>
      </c>
      <c r="H2190" s="24" t="s">
        <v>579</v>
      </c>
      <c r="I2190" s="24" t="s">
        <v>596</v>
      </c>
      <c r="J2190" s="24" t="s">
        <v>597</v>
      </c>
      <c r="K2190" s="24" t="s">
        <v>600</v>
      </c>
    </row>
    <row r="2191" spans="1:11">
      <c r="A2191" s="12">
        <v>2019</v>
      </c>
      <c r="B2191" s="15" t="s">
        <v>118</v>
      </c>
      <c r="C2191" s="15" t="s">
        <v>129</v>
      </c>
      <c r="D2191" s="15" t="s">
        <v>130</v>
      </c>
      <c r="E2191" s="19">
        <v>428251</v>
      </c>
      <c r="F2191" s="19">
        <v>318517</v>
      </c>
      <c r="G2191" s="20">
        <f t="shared" si="34"/>
        <v>0.42652738199815737</v>
      </c>
      <c r="H2191" s="24" t="s">
        <v>579</v>
      </c>
      <c r="I2191" s="24" t="s">
        <v>596</v>
      </c>
      <c r="J2191" s="24" t="s">
        <v>597</v>
      </c>
      <c r="K2191" s="24" t="s">
        <v>600</v>
      </c>
    </row>
    <row r="2192" spans="1:11">
      <c r="A2192" s="12">
        <v>2019</v>
      </c>
      <c r="B2192" s="15" t="s">
        <v>118</v>
      </c>
      <c r="C2192" s="15" t="s">
        <v>93</v>
      </c>
      <c r="D2192" s="15" t="s">
        <v>131</v>
      </c>
      <c r="E2192" s="19">
        <v>467054</v>
      </c>
      <c r="F2192" s="19">
        <v>316010</v>
      </c>
      <c r="G2192" s="20">
        <f t="shared" si="34"/>
        <v>0.40355577577311691</v>
      </c>
      <c r="H2192" s="24" t="s">
        <v>579</v>
      </c>
      <c r="I2192" s="24" t="s">
        <v>596</v>
      </c>
      <c r="J2192" s="24" t="s">
        <v>597</v>
      </c>
      <c r="K2192" s="24" t="s">
        <v>600</v>
      </c>
    </row>
    <row r="2193" spans="1:11">
      <c r="A2193" s="12">
        <v>2019</v>
      </c>
      <c r="B2193" s="15" t="s">
        <v>118</v>
      </c>
      <c r="C2193" s="15" t="s">
        <v>132</v>
      </c>
      <c r="D2193" s="15" t="s">
        <v>133</v>
      </c>
      <c r="E2193" s="19">
        <v>304388</v>
      </c>
      <c r="F2193" s="19">
        <v>236630</v>
      </c>
      <c r="G2193" s="20">
        <f t="shared" si="34"/>
        <v>0.43737916298533508</v>
      </c>
      <c r="H2193" s="24" t="s">
        <v>579</v>
      </c>
      <c r="I2193" s="24" t="s">
        <v>596</v>
      </c>
      <c r="J2193" s="24" t="s">
        <v>597</v>
      </c>
      <c r="K2193" s="24" t="s">
        <v>600</v>
      </c>
    </row>
    <row r="2194" spans="1:11">
      <c r="A2194" s="12">
        <v>2019</v>
      </c>
      <c r="B2194" s="15" t="s">
        <v>118</v>
      </c>
      <c r="C2194" s="15" t="s">
        <v>134</v>
      </c>
      <c r="D2194" s="15" t="s">
        <v>135</v>
      </c>
      <c r="E2194" s="19">
        <v>12153</v>
      </c>
      <c r="F2194" s="19">
        <v>18171</v>
      </c>
      <c r="G2194" s="20">
        <f t="shared" si="34"/>
        <v>0.59922833399287689</v>
      </c>
      <c r="H2194" s="24" t="s">
        <v>579</v>
      </c>
      <c r="I2194" s="24" t="s">
        <v>596</v>
      </c>
      <c r="J2194" s="24" t="s">
        <v>597</v>
      </c>
      <c r="K2194" s="24" t="s">
        <v>600</v>
      </c>
    </row>
    <row r="2195" spans="1:11">
      <c r="A2195" s="12">
        <v>2019</v>
      </c>
      <c r="B2195" s="15" t="s">
        <v>118</v>
      </c>
      <c r="C2195" s="15" t="s">
        <v>69</v>
      </c>
      <c r="D2195" s="15" t="s">
        <v>136</v>
      </c>
      <c r="E2195" s="19">
        <v>102485</v>
      </c>
      <c r="F2195" s="19">
        <v>99433</v>
      </c>
      <c r="G2195" s="20">
        <f t="shared" si="34"/>
        <v>0.4924424766489367</v>
      </c>
      <c r="H2195" s="24" t="s">
        <v>579</v>
      </c>
      <c r="I2195" s="24" t="s">
        <v>596</v>
      </c>
      <c r="J2195" s="24" t="s">
        <v>597</v>
      </c>
      <c r="K2195" s="24" t="s">
        <v>600</v>
      </c>
    </row>
    <row r="2196" spans="1:11">
      <c r="A2196" s="12">
        <v>2019</v>
      </c>
      <c r="B2196" s="15" t="s">
        <v>137</v>
      </c>
      <c r="C2196" s="15" t="s">
        <v>22</v>
      </c>
      <c r="D2196" s="15" t="s">
        <v>137</v>
      </c>
      <c r="E2196" s="19">
        <v>1351058</v>
      </c>
      <c r="F2196" s="19">
        <v>322314</v>
      </c>
      <c r="G2196" s="20">
        <f t="shared" si="34"/>
        <v>0.19261347745749302</v>
      </c>
      <c r="H2196" s="24" t="s">
        <v>586</v>
      </c>
      <c r="I2196" s="24" t="s">
        <v>587</v>
      </c>
      <c r="J2196" s="24" t="s">
        <v>588</v>
      </c>
      <c r="K2196" s="24" t="s">
        <v>600</v>
      </c>
    </row>
    <row r="2197" spans="1:11">
      <c r="A2197" s="12">
        <v>2019</v>
      </c>
      <c r="B2197" s="15" t="s">
        <v>137</v>
      </c>
      <c r="C2197" s="15" t="s">
        <v>138</v>
      </c>
      <c r="D2197" s="15" t="s">
        <v>139</v>
      </c>
      <c r="E2197" s="19">
        <v>357705</v>
      </c>
      <c r="F2197" s="19">
        <v>233307</v>
      </c>
      <c r="G2197" s="20">
        <f t="shared" si="34"/>
        <v>0.39475848206127795</v>
      </c>
      <c r="H2197" s="24" t="s">
        <v>586</v>
      </c>
      <c r="I2197" s="24" t="s">
        <v>587</v>
      </c>
      <c r="J2197" s="24" t="s">
        <v>588</v>
      </c>
      <c r="K2197" s="24" t="s">
        <v>600</v>
      </c>
    </row>
    <row r="2198" spans="1:11">
      <c r="A2198" s="12">
        <v>2019</v>
      </c>
      <c r="B2198" s="15" t="s">
        <v>137</v>
      </c>
      <c r="C2198" s="15" t="s">
        <v>79</v>
      </c>
      <c r="D2198" s="15" t="s">
        <v>140</v>
      </c>
      <c r="E2198" s="19">
        <v>177003</v>
      </c>
      <c r="F2198" s="19">
        <v>158932</v>
      </c>
      <c r="G2198" s="20">
        <f t="shared" si="34"/>
        <v>0.47310342774643904</v>
      </c>
      <c r="H2198" s="24" t="s">
        <v>586</v>
      </c>
      <c r="I2198" s="24" t="s">
        <v>587</v>
      </c>
      <c r="J2198" s="24" t="s">
        <v>588</v>
      </c>
      <c r="K2198" s="24" t="s">
        <v>600</v>
      </c>
    </row>
    <row r="2199" spans="1:11">
      <c r="A2199" s="12">
        <v>2019</v>
      </c>
      <c r="B2199" s="15" t="s">
        <v>137</v>
      </c>
      <c r="C2199" s="15" t="s">
        <v>81</v>
      </c>
      <c r="D2199" s="15" t="s">
        <v>141</v>
      </c>
      <c r="E2199" s="19">
        <v>73499</v>
      </c>
      <c r="F2199" s="19">
        <v>79029</v>
      </c>
      <c r="G2199" s="20">
        <f t="shared" si="34"/>
        <v>0.51812781915451589</v>
      </c>
      <c r="H2199" s="24" t="s">
        <v>586</v>
      </c>
      <c r="I2199" s="24" t="s">
        <v>587</v>
      </c>
      <c r="J2199" s="24" t="s">
        <v>588</v>
      </c>
      <c r="K2199" s="24" t="s">
        <v>600</v>
      </c>
    </row>
    <row r="2200" spans="1:11">
      <c r="A2200" s="12">
        <v>2019</v>
      </c>
      <c r="B2200" s="15" t="s">
        <v>137</v>
      </c>
      <c r="C2200" s="15" t="s">
        <v>87</v>
      </c>
      <c r="D2200" s="15" t="s">
        <v>142</v>
      </c>
      <c r="E2200" s="19">
        <v>364479</v>
      </c>
      <c r="F2200" s="19">
        <v>289860</v>
      </c>
      <c r="G2200" s="20">
        <f t="shared" si="34"/>
        <v>0.44298139038021578</v>
      </c>
      <c r="H2200" s="24" t="s">
        <v>586</v>
      </c>
      <c r="I2200" s="24" t="s">
        <v>587</v>
      </c>
      <c r="J2200" s="24" t="s">
        <v>588</v>
      </c>
      <c r="K2200" s="24" t="s">
        <v>600</v>
      </c>
    </row>
    <row r="2201" spans="1:11">
      <c r="A2201" s="12">
        <v>2019</v>
      </c>
      <c r="B2201" s="15" t="s">
        <v>137</v>
      </c>
      <c r="C2201" s="15" t="s">
        <v>93</v>
      </c>
      <c r="D2201" s="15" t="s">
        <v>143</v>
      </c>
      <c r="E2201" s="19">
        <v>253597</v>
      </c>
      <c r="F2201" s="19">
        <v>205470</v>
      </c>
      <c r="G2201" s="20">
        <f t="shared" si="34"/>
        <v>0.44758172554333026</v>
      </c>
      <c r="H2201" s="24" t="s">
        <v>586</v>
      </c>
      <c r="I2201" s="24" t="s">
        <v>587</v>
      </c>
      <c r="J2201" s="24" t="s">
        <v>588</v>
      </c>
      <c r="K2201" s="24" t="s">
        <v>600</v>
      </c>
    </row>
    <row r="2202" spans="1:11">
      <c r="A2202" s="12">
        <v>2019</v>
      </c>
      <c r="B2202" s="15" t="s">
        <v>144</v>
      </c>
      <c r="C2202" s="15" t="s">
        <v>22</v>
      </c>
      <c r="D2202" s="15" t="s">
        <v>144</v>
      </c>
      <c r="E2202" s="19">
        <v>1359610</v>
      </c>
      <c r="F2202" s="19">
        <v>340411</v>
      </c>
      <c r="G2202" s="20">
        <f t="shared" si="34"/>
        <v>0.20023929116169742</v>
      </c>
      <c r="H2202" s="24" t="s">
        <v>589</v>
      </c>
      <c r="I2202" s="24" t="s">
        <v>560</v>
      </c>
      <c r="J2202" s="24" t="s">
        <v>590</v>
      </c>
      <c r="K2202" s="24" t="s">
        <v>600</v>
      </c>
    </row>
    <row r="2203" spans="1:11">
      <c r="A2203" s="12">
        <v>2019</v>
      </c>
      <c r="B2203" s="15" t="s">
        <v>144</v>
      </c>
      <c r="C2203" s="15" t="s">
        <v>145</v>
      </c>
      <c r="D2203" s="15" t="s">
        <v>146</v>
      </c>
      <c r="E2203" s="19">
        <v>146105</v>
      </c>
      <c r="F2203" s="19">
        <v>131160</v>
      </c>
      <c r="G2203" s="20">
        <f t="shared" si="34"/>
        <v>0.47304924891349431</v>
      </c>
      <c r="H2203" s="24" t="s">
        <v>589</v>
      </c>
      <c r="I2203" s="24" t="s">
        <v>560</v>
      </c>
      <c r="J2203" s="24" t="s">
        <v>590</v>
      </c>
      <c r="K2203" s="24" t="s">
        <v>600</v>
      </c>
    </row>
    <row r="2204" spans="1:11">
      <c r="A2204" s="12">
        <v>2019</v>
      </c>
      <c r="B2204" s="15" t="s">
        <v>144</v>
      </c>
      <c r="C2204" s="15" t="s">
        <v>81</v>
      </c>
      <c r="D2204" s="15" t="s">
        <v>147</v>
      </c>
      <c r="E2204" s="19">
        <v>179877</v>
      </c>
      <c r="F2204" s="19">
        <v>177750</v>
      </c>
      <c r="G2204" s="20">
        <f t="shared" si="34"/>
        <v>0.49702623124092982</v>
      </c>
      <c r="H2204" s="24" t="s">
        <v>589</v>
      </c>
      <c r="I2204" s="24" t="s">
        <v>560</v>
      </c>
      <c r="J2204" s="24" t="s">
        <v>590</v>
      </c>
      <c r="K2204" s="24" t="s">
        <v>600</v>
      </c>
    </row>
    <row r="2205" spans="1:11">
      <c r="A2205" s="12">
        <v>2019</v>
      </c>
      <c r="B2205" s="15" t="s">
        <v>144</v>
      </c>
      <c r="C2205" s="15" t="s">
        <v>93</v>
      </c>
      <c r="D2205" s="15" t="s">
        <v>148</v>
      </c>
      <c r="E2205" s="19">
        <v>421141</v>
      </c>
      <c r="F2205" s="19">
        <v>289988</v>
      </c>
      <c r="G2205" s="20">
        <f t="shared" si="34"/>
        <v>0.40778536664937021</v>
      </c>
      <c r="H2205" s="24" t="s">
        <v>589</v>
      </c>
      <c r="I2205" s="24" t="s">
        <v>560</v>
      </c>
      <c r="J2205" s="24" t="s">
        <v>590</v>
      </c>
      <c r="K2205" s="24" t="s">
        <v>600</v>
      </c>
    </row>
    <row r="2206" spans="1:11">
      <c r="A2206" s="12">
        <v>2019</v>
      </c>
      <c r="B2206" s="15" t="s">
        <v>144</v>
      </c>
      <c r="C2206" s="15" t="s">
        <v>149</v>
      </c>
      <c r="D2206" s="15" t="s">
        <v>150</v>
      </c>
      <c r="E2206" s="19">
        <v>292084</v>
      </c>
      <c r="F2206" s="19">
        <v>252829</v>
      </c>
      <c r="G2206" s="20">
        <f t="shared" si="34"/>
        <v>0.46398048862845997</v>
      </c>
      <c r="H2206" s="24" t="s">
        <v>589</v>
      </c>
      <c r="I2206" s="24" t="s">
        <v>560</v>
      </c>
      <c r="J2206" s="24" t="s">
        <v>590</v>
      </c>
      <c r="K2206" s="24" t="s">
        <v>600</v>
      </c>
    </row>
    <row r="2207" spans="1:11">
      <c r="A2207" s="12">
        <v>2019</v>
      </c>
      <c r="B2207" s="15" t="s">
        <v>144</v>
      </c>
      <c r="C2207" s="15" t="s">
        <v>69</v>
      </c>
      <c r="D2207" s="15" t="s">
        <v>151</v>
      </c>
      <c r="E2207" s="19">
        <v>199331</v>
      </c>
      <c r="F2207" s="19">
        <v>174066</v>
      </c>
      <c r="G2207" s="20">
        <f t="shared" si="34"/>
        <v>0.46616871587077563</v>
      </c>
      <c r="H2207" s="24" t="s">
        <v>589</v>
      </c>
      <c r="I2207" s="24" t="s">
        <v>560</v>
      </c>
      <c r="J2207" s="24" t="s">
        <v>590</v>
      </c>
      <c r="K2207" s="24" t="s">
        <v>600</v>
      </c>
    </row>
    <row r="2208" spans="1:11">
      <c r="A2208" s="12">
        <v>2019</v>
      </c>
      <c r="B2208" s="15" t="s">
        <v>152</v>
      </c>
      <c r="C2208" s="15" t="s">
        <v>22</v>
      </c>
      <c r="D2208" s="15" t="s">
        <v>152</v>
      </c>
      <c r="E2208" s="19">
        <v>1059381</v>
      </c>
      <c r="F2208" s="19">
        <v>269443</v>
      </c>
      <c r="G2208" s="20">
        <f t="shared" si="34"/>
        <v>0.20276801141460418</v>
      </c>
      <c r="H2208" s="24" t="s">
        <v>583</v>
      </c>
      <c r="I2208" s="24" t="s">
        <v>584</v>
      </c>
      <c r="J2208" s="24" t="s">
        <v>585</v>
      </c>
      <c r="K2208" s="24" t="s">
        <v>600</v>
      </c>
    </row>
    <row r="2209" spans="1:11">
      <c r="A2209" s="12">
        <v>2019</v>
      </c>
      <c r="B2209" s="15" t="s">
        <v>152</v>
      </c>
      <c r="C2209" s="15" t="s">
        <v>79</v>
      </c>
      <c r="D2209" s="15" t="s">
        <v>153</v>
      </c>
      <c r="E2209" s="19">
        <v>288354</v>
      </c>
      <c r="F2209" s="19">
        <v>165165</v>
      </c>
      <c r="G2209" s="20">
        <f t="shared" si="34"/>
        <v>0.36418540347813433</v>
      </c>
      <c r="H2209" s="24" t="s">
        <v>583</v>
      </c>
      <c r="I2209" s="24" t="s">
        <v>584</v>
      </c>
      <c r="J2209" s="24" t="s">
        <v>585</v>
      </c>
      <c r="K2209" s="24" t="s">
        <v>600</v>
      </c>
    </row>
    <row r="2210" spans="1:11">
      <c r="A2210" s="12">
        <v>2019</v>
      </c>
      <c r="B2210" s="15" t="s">
        <v>152</v>
      </c>
      <c r="C2210" s="15" t="s">
        <v>81</v>
      </c>
      <c r="D2210" s="15" t="s">
        <v>154</v>
      </c>
      <c r="E2210" s="19">
        <v>143085</v>
      </c>
      <c r="F2210" s="19">
        <v>81135</v>
      </c>
      <c r="G2210" s="20">
        <f t="shared" si="34"/>
        <v>0.36185442868611184</v>
      </c>
      <c r="H2210" s="24" t="s">
        <v>583</v>
      </c>
      <c r="I2210" s="24" t="s">
        <v>584</v>
      </c>
      <c r="J2210" s="24" t="s">
        <v>585</v>
      </c>
      <c r="K2210" s="24" t="s">
        <v>600</v>
      </c>
    </row>
    <row r="2211" spans="1:11">
      <c r="A2211" s="12">
        <v>2019</v>
      </c>
      <c r="B2211" s="15" t="s">
        <v>152</v>
      </c>
      <c r="C2211" s="15" t="s">
        <v>87</v>
      </c>
      <c r="D2211" s="15" t="s">
        <v>155</v>
      </c>
      <c r="E2211" s="19">
        <v>175066</v>
      </c>
      <c r="F2211" s="19">
        <v>157846</v>
      </c>
      <c r="G2211" s="20">
        <f t="shared" si="34"/>
        <v>0.47413730955928296</v>
      </c>
      <c r="H2211" s="24" t="s">
        <v>583</v>
      </c>
      <c r="I2211" s="24" t="s">
        <v>584</v>
      </c>
      <c r="J2211" s="24" t="s">
        <v>585</v>
      </c>
      <c r="K2211" s="24" t="s">
        <v>600</v>
      </c>
    </row>
    <row r="2212" spans="1:11">
      <c r="A2212" s="12">
        <v>2019</v>
      </c>
      <c r="B2212" s="15" t="s">
        <v>152</v>
      </c>
      <c r="C2212" s="15" t="s">
        <v>156</v>
      </c>
      <c r="D2212" s="15" t="s">
        <v>157</v>
      </c>
      <c r="E2212" s="19">
        <v>165957</v>
      </c>
      <c r="F2212" s="19">
        <v>175590</v>
      </c>
      <c r="G2212" s="20">
        <f t="shared" si="34"/>
        <v>0.51410201231455699</v>
      </c>
      <c r="H2212" s="24" t="s">
        <v>583</v>
      </c>
      <c r="I2212" s="24" t="s">
        <v>584</v>
      </c>
      <c r="J2212" s="24" t="s">
        <v>585</v>
      </c>
      <c r="K2212" s="24" t="s">
        <v>600</v>
      </c>
    </row>
    <row r="2213" spans="1:11">
      <c r="A2213" s="12">
        <v>2019</v>
      </c>
      <c r="B2213" s="15" t="s">
        <v>152</v>
      </c>
      <c r="C2213" s="15" t="s">
        <v>69</v>
      </c>
      <c r="D2213" s="15" t="s">
        <v>158</v>
      </c>
      <c r="E2213" s="19">
        <v>181806</v>
      </c>
      <c r="F2213" s="19">
        <v>162881</v>
      </c>
      <c r="G2213" s="20">
        <f t="shared" si="34"/>
        <v>0.47254755763924955</v>
      </c>
      <c r="H2213" s="24" t="s">
        <v>583</v>
      </c>
      <c r="I2213" s="24" t="s">
        <v>584</v>
      </c>
      <c r="J2213" s="24" t="s">
        <v>585</v>
      </c>
      <c r="K2213" s="24" t="s">
        <v>600</v>
      </c>
    </row>
    <row r="2214" spans="1:11">
      <c r="A2214" s="12">
        <v>2019</v>
      </c>
      <c r="B2214" s="15" t="s">
        <v>159</v>
      </c>
      <c r="C2214" s="15" t="s">
        <v>22</v>
      </c>
      <c r="D2214" s="15" t="s">
        <v>159</v>
      </c>
      <c r="E2214" s="19">
        <v>283984</v>
      </c>
      <c r="F2214" s="19">
        <v>226830</v>
      </c>
      <c r="G2214" s="20">
        <f t="shared" si="34"/>
        <v>0.44405595774587225</v>
      </c>
      <c r="H2214" s="24" t="s">
        <v>589</v>
      </c>
      <c r="I2214" s="24" t="s">
        <v>560</v>
      </c>
      <c r="J2214" s="24" t="s">
        <v>590</v>
      </c>
      <c r="K2214" s="24" t="s">
        <v>600</v>
      </c>
    </row>
    <row r="2215" spans="1:11">
      <c r="A2215" s="12">
        <v>2019</v>
      </c>
      <c r="B2215" s="15" t="s">
        <v>160</v>
      </c>
      <c r="C2215" s="15" t="s">
        <v>22</v>
      </c>
      <c r="D2215" s="15" t="s">
        <v>160</v>
      </c>
      <c r="E2215" s="19">
        <v>12085698</v>
      </c>
      <c r="F2215" s="19">
        <v>4754607</v>
      </c>
      <c r="G2215" s="20">
        <f t="shared" si="34"/>
        <v>0.28233496958635845</v>
      </c>
      <c r="H2215" s="24" t="s">
        <v>579</v>
      </c>
      <c r="I2215" s="24" t="s">
        <v>596</v>
      </c>
      <c r="J2215" s="24" t="s">
        <v>597</v>
      </c>
      <c r="K2215" s="24" t="s">
        <v>600</v>
      </c>
    </row>
    <row r="2216" spans="1:11">
      <c r="A2216" s="12">
        <v>2019</v>
      </c>
      <c r="B2216" s="15" t="s">
        <v>160</v>
      </c>
      <c r="C2216" s="15" t="s">
        <v>161</v>
      </c>
      <c r="D2216" s="15" t="s">
        <v>162</v>
      </c>
      <c r="E2216" s="19">
        <v>47264</v>
      </c>
      <c r="F2216" s="19">
        <v>48686</v>
      </c>
      <c r="G2216" s="20">
        <f t="shared" si="34"/>
        <v>0.50741010943199583</v>
      </c>
      <c r="H2216" s="24" t="s">
        <v>579</v>
      </c>
      <c r="I2216" s="24" t="s">
        <v>591</v>
      </c>
      <c r="J2216" s="24" t="s">
        <v>592</v>
      </c>
      <c r="K2216" s="24" t="s">
        <v>600</v>
      </c>
    </row>
    <row r="2217" spans="1:11">
      <c r="A2217" s="12">
        <v>2019</v>
      </c>
      <c r="B2217" s="15" t="s">
        <v>160</v>
      </c>
      <c r="C2217" s="15" t="s">
        <v>163</v>
      </c>
      <c r="D2217" s="15" t="s">
        <v>164</v>
      </c>
      <c r="E2217" s="19">
        <v>365264</v>
      </c>
      <c r="F2217" s="19">
        <v>315340</v>
      </c>
      <c r="G2217" s="20">
        <f t="shared" si="34"/>
        <v>0.46332375360709016</v>
      </c>
      <c r="H2217" s="24" t="s">
        <v>579</v>
      </c>
      <c r="I2217" s="24" t="s">
        <v>591</v>
      </c>
      <c r="J2217" s="24" t="s">
        <v>592</v>
      </c>
      <c r="K2217" s="24" t="s">
        <v>600</v>
      </c>
    </row>
    <row r="2218" spans="1:11">
      <c r="A2218" s="12">
        <v>2019</v>
      </c>
      <c r="B2218" s="15" t="s">
        <v>160</v>
      </c>
      <c r="C2218" s="15" t="s">
        <v>167</v>
      </c>
      <c r="D2218" s="15" t="s">
        <v>168</v>
      </c>
      <c r="E2218" s="19">
        <v>235768</v>
      </c>
      <c r="F2218" s="19">
        <v>205664</v>
      </c>
      <c r="G2218" s="20">
        <f t="shared" si="34"/>
        <v>0.46590188296272134</v>
      </c>
      <c r="H2218" s="24" t="s">
        <v>579</v>
      </c>
      <c r="I2218" s="24" t="s">
        <v>591</v>
      </c>
      <c r="J2218" s="24" t="s">
        <v>592</v>
      </c>
      <c r="K2218" s="24" t="s">
        <v>600</v>
      </c>
    </row>
    <row r="2219" spans="1:11">
      <c r="A2219" s="12">
        <v>2019</v>
      </c>
      <c r="B2219" s="15" t="s">
        <v>160</v>
      </c>
      <c r="C2219" s="15" t="s">
        <v>169</v>
      </c>
      <c r="D2219" s="15" t="s">
        <v>170</v>
      </c>
      <c r="E2219" s="19">
        <v>243994</v>
      </c>
      <c r="F2219" s="19">
        <v>216384</v>
      </c>
      <c r="G2219" s="20">
        <f t="shared" si="34"/>
        <v>0.47001377129228589</v>
      </c>
      <c r="H2219" s="24" t="s">
        <v>579</v>
      </c>
      <c r="I2219" s="24" t="s">
        <v>591</v>
      </c>
      <c r="J2219" s="24" t="s">
        <v>592</v>
      </c>
      <c r="K2219" s="24" t="s">
        <v>600</v>
      </c>
    </row>
    <row r="2220" spans="1:11">
      <c r="A2220" s="12">
        <v>2019</v>
      </c>
      <c r="B2220" s="15" t="s">
        <v>160</v>
      </c>
      <c r="C2220" s="15" t="s">
        <v>171</v>
      </c>
      <c r="D2220" s="15" t="s">
        <v>172</v>
      </c>
      <c r="E2220" s="19">
        <v>42066</v>
      </c>
      <c r="F2220" s="19">
        <v>45762</v>
      </c>
      <c r="G2220" s="20">
        <f t="shared" si="34"/>
        <v>0.52104112583686291</v>
      </c>
      <c r="H2220" s="24" t="s">
        <v>579</v>
      </c>
      <c r="I2220" s="24" t="s">
        <v>591</v>
      </c>
      <c r="J2220" s="24" t="s">
        <v>592</v>
      </c>
      <c r="K2220" s="24" t="s">
        <v>600</v>
      </c>
    </row>
    <row r="2221" spans="1:11">
      <c r="A2221" s="12">
        <v>2019</v>
      </c>
      <c r="B2221" s="15" t="s">
        <v>160</v>
      </c>
      <c r="C2221" s="15" t="s">
        <v>173</v>
      </c>
      <c r="D2221" s="15" t="s">
        <v>174</v>
      </c>
      <c r="E2221" s="19">
        <v>268878</v>
      </c>
      <c r="F2221" s="19">
        <v>196518</v>
      </c>
      <c r="G2221" s="20">
        <f t="shared" si="34"/>
        <v>0.42225975298455509</v>
      </c>
      <c r="H2221" s="24" t="s">
        <v>579</v>
      </c>
      <c r="I2221" s="24" t="s">
        <v>591</v>
      </c>
      <c r="J2221" s="24" t="s">
        <v>592</v>
      </c>
      <c r="K2221" s="24" t="s">
        <v>600</v>
      </c>
    </row>
    <row r="2222" spans="1:11">
      <c r="A2222" s="12">
        <v>2019</v>
      </c>
      <c r="B2222" s="15" t="s">
        <v>160</v>
      </c>
      <c r="C2222" s="15" t="s">
        <v>175</v>
      </c>
      <c r="D2222" s="15" t="s">
        <v>176</v>
      </c>
      <c r="E2222" s="19">
        <v>287096</v>
      </c>
      <c r="F2222" s="19">
        <v>260543</v>
      </c>
      <c r="G2222" s="20">
        <f t="shared" si="34"/>
        <v>0.47575683981601019</v>
      </c>
      <c r="H2222" s="24" t="s">
        <v>579</v>
      </c>
      <c r="I2222" s="24" t="s">
        <v>591</v>
      </c>
      <c r="J2222" s="24" t="s">
        <v>592</v>
      </c>
      <c r="K2222" s="24" t="s">
        <v>600</v>
      </c>
    </row>
    <row r="2223" spans="1:11">
      <c r="A2223" s="12">
        <v>2019</v>
      </c>
      <c r="B2223" s="15" t="s">
        <v>160</v>
      </c>
      <c r="C2223" s="15" t="s">
        <v>177</v>
      </c>
      <c r="D2223" s="15" t="s">
        <v>178</v>
      </c>
      <c r="E2223" s="19">
        <v>164934</v>
      </c>
      <c r="F2223" s="19">
        <v>123131</v>
      </c>
      <c r="G2223" s="20">
        <f t="shared" si="34"/>
        <v>0.42744172322218943</v>
      </c>
      <c r="H2223" s="24" t="s">
        <v>579</v>
      </c>
      <c r="I2223" s="24" t="s">
        <v>591</v>
      </c>
      <c r="J2223" s="24" t="s">
        <v>592</v>
      </c>
      <c r="K2223" s="24" t="s">
        <v>600</v>
      </c>
    </row>
    <row r="2224" spans="1:11">
      <c r="A2224" s="12">
        <v>2019</v>
      </c>
      <c r="B2224" s="15" t="s">
        <v>160</v>
      </c>
      <c r="C2224" s="15" t="s">
        <v>179</v>
      </c>
      <c r="D2224" s="15" t="s">
        <v>180</v>
      </c>
      <c r="E2224" s="19">
        <v>234306</v>
      </c>
      <c r="F2224" s="19">
        <v>175532</v>
      </c>
      <c r="G2224" s="20">
        <f t="shared" si="34"/>
        <v>0.42829605844260416</v>
      </c>
      <c r="H2224" s="24" t="s">
        <v>579</v>
      </c>
      <c r="I2224" s="24" t="s">
        <v>591</v>
      </c>
      <c r="J2224" s="24" t="s">
        <v>592</v>
      </c>
      <c r="K2224" s="24" t="s">
        <v>600</v>
      </c>
    </row>
    <row r="2225" spans="1:11">
      <c r="A2225" s="12">
        <v>2019</v>
      </c>
      <c r="B2225" s="15" t="s">
        <v>160</v>
      </c>
      <c r="C2225" s="15" t="s">
        <v>181</v>
      </c>
      <c r="D2225" s="15" t="s">
        <v>182</v>
      </c>
      <c r="E2225" s="19">
        <v>379969</v>
      </c>
      <c r="F2225" s="19">
        <v>258138</v>
      </c>
      <c r="G2225" s="20">
        <f t="shared" si="34"/>
        <v>0.40453717009843176</v>
      </c>
      <c r="H2225" s="24" t="s">
        <v>579</v>
      </c>
      <c r="I2225" s="24" t="s">
        <v>591</v>
      </c>
      <c r="J2225" s="24" t="s">
        <v>592</v>
      </c>
      <c r="K2225" s="24" t="s">
        <v>600</v>
      </c>
    </row>
    <row r="2226" spans="1:11">
      <c r="A2226" s="12">
        <v>2019</v>
      </c>
      <c r="B2226" s="15" t="s">
        <v>160</v>
      </c>
      <c r="C2226" s="15" t="s">
        <v>183</v>
      </c>
      <c r="D2226" s="15" t="s">
        <v>184</v>
      </c>
      <c r="E2226" s="19">
        <v>576001</v>
      </c>
      <c r="F2226" s="19">
        <v>450811</v>
      </c>
      <c r="G2226" s="20">
        <f t="shared" si="34"/>
        <v>0.43903947363295326</v>
      </c>
      <c r="H2226" s="24" t="s">
        <v>579</v>
      </c>
      <c r="I2226" s="24" t="s">
        <v>591</v>
      </c>
      <c r="J2226" s="24" t="s">
        <v>592</v>
      </c>
      <c r="K2226" s="24" t="s">
        <v>600</v>
      </c>
    </row>
    <row r="2227" spans="1:11">
      <c r="A2227" s="12">
        <v>2019</v>
      </c>
      <c r="B2227" s="15" t="s">
        <v>160</v>
      </c>
      <c r="C2227" s="15" t="s">
        <v>185</v>
      </c>
      <c r="D2227" s="15" t="s">
        <v>186</v>
      </c>
      <c r="E2227" s="19">
        <v>78887</v>
      </c>
      <c r="F2227" s="19">
        <v>58915</v>
      </c>
      <c r="G2227" s="20">
        <f t="shared" si="34"/>
        <v>0.42753370778363159</v>
      </c>
      <c r="H2227" s="24" t="s">
        <v>579</v>
      </c>
      <c r="I2227" s="24" t="s">
        <v>591</v>
      </c>
      <c r="J2227" s="24" t="s">
        <v>592</v>
      </c>
      <c r="K2227" s="24" t="s">
        <v>600</v>
      </c>
    </row>
    <row r="2228" spans="1:11">
      <c r="A2228" s="12">
        <v>2019</v>
      </c>
      <c r="B2228" s="15" t="s">
        <v>160</v>
      </c>
      <c r="C2228" s="15" t="s">
        <v>187</v>
      </c>
      <c r="D2228" s="15" t="s">
        <v>188</v>
      </c>
      <c r="E2228" s="19">
        <v>729056</v>
      </c>
      <c r="F2228" s="19">
        <v>400282</v>
      </c>
      <c r="G2228" s="20">
        <f t="shared" si="34"/>
        <v>0.35443950349673881</v>
      </c>
      <c r="H2228" s="24" t="s">
        <v>579</v>
      </c>
      <c r="I2228" s="24" t="s">
        <v>596</v>
      </c>
      <c r="J2228" s="24" t="s">
        <v>597</v>
      </c>
      <c r="K2228" s="24" t="s">
        <v>600</v>
      </c>
    </row>
    <row r="2229" spans="1:11">
      <c r="A2229" s="12">
        <v>2019</v>
      </c>
      <c r="B2229" s="15" t="s">
        <v>160</v>
      </c>
      <c r="C2229" s="15" t="s">
        <v>195</v>
      </c>
      <c r="D2229" s="15" t="s">
        <v>196</v>
      </c>
      <c r="E2229" s="19">
        <v>418186</v>
      </c>
      <c r="F2229" s="19">
        <v>275023</v>
      </c>
      <c r="G2229" s="20">
        <f t="shared" si="34"/>
        <v>0.39673893443391534</v>
      </c>
      <c r="H2229" s="24" t="s">
        <v>579</v>
      </c>
      <c r="I2229" s="24" t="s">
        <v>596</v>
      </c>
      <c r="J2229" s="24" t="s">
        <v>597</v>
      </c>
      <c r="K2229" s="24" t="s">
        <v>600</v>
      </c>
    </row>
    <row r="2230" spans="1:11">
      <c r="A2230" s="12">
        <v>2019</v>
      </c>
      <c r="B2230" s="15" t="s">
        <v>160</v>
      </c>
      <c r="C2230" s="15" t="s">
        <v>197</v>
      </c>
      <c r="D2230" s="15" t="s">
        <v>198</v>
      </c>
      <c r="E2230" s="19">
        <v>173242</v>
      </c>
      <c r="F2230" s="19">
        <v>182392</v>
      </c>
      <c r="G2230" s="20">
        <f t="shared" si="34"/>
        <v>0.51286434930293501</v>
      </c>
      <c r="H2230" s="24" t="s">
        <v>579</v>
      </c>
      <c r="I2230" s="24" t="s">
        <v>596</v>
      </c>
      <c r="J2230" s="24" t="s">
        <v>597</v>
      </c>
      <c r="K2230" s="24" t="s">
        <v>600</v>
      </c>
    </row>
    <row r="2231" spans="1:11">
      <c r="A2231" s="12">
        <v>2019</v>
      </c>
      <c r="B2231" s="15" t="s">
        <v>160</v>
      </c>
      <c r="C2231" s="15" t="s">
        <v>199</v>
      </c>
      <c r="D2231" s="15" t="s">
        <v>200</v>
      </c>
      <c r="E2231" s="19">
        <v>164958</v>
      </c>
      <c r="F2231" s="19">
        <v>171500</v>
      </c>
      <c r="G2231" s="20">
        <f t="shared" si="34"/>
        <v>0.50972186721671053</v>
      </c>
      <c r="H2231" s="24" t="s">
        <v>579</v>
      </c>
      <c r="I2231" s="24" t="s">
        <v>596</v>
      </c>
      <c r="J2231" s="24" t="s">
        <v>597</v>
      </c>
      <c r="K2231" s="24" t="s">
        <v>600</v>
      </c>
    </row>
    <row r="2232" spans="1:11">
      <c r="A2232" s="12">
        <v>2019</v>
      </c>
      <c r="B2232" s="15" t="s">
        <v>160</v>
      </c>
      <c r="C2232" s="15" t="s">
        <v>201</v>
      </c>
      <c r="D2232" s="15" t="s">
        <v>202</v>
      </c>
      <c r="E2232" s="19">
        <v>290116</v>
      </c>
      <c r="F2232" s="19">
        <v>284180</v>
      </c>
      <c r="G2232" s="20">
        <f t="shared" si="34"/>
        <v>0.49483193335840753</v>
      </c>
      <c r="H2232" s="24" t="s">
        <v>579</v>
      </c>
      <c r="I2232" s="24" t="s">
        <v>596</v>
      </c>
      <c r="J2232" s="24" t="s">
        <v>597</v>
      </c>
      <c r="K2232" s="24" t="s">
        <v>600</v>
      </c>
    </row>
    <row r="2233" spans="1:11">
      <c r="A2233" s="12">
        <v>2019</v>
      </c>
      <c r="B2233" s="15" t="s">
        <v>160</v>
      </c>
      <c r="C2233" s="15" t="s">
        <v>203</v>
      </c>
      <c r="D2233" s="15" t="s">
        <v>204</v>
      </c>
      <c r="E2233" s="19">
        <v>299131</v>
      </c>
      <c r="F2233" s="19">
        <v>268105</v>
      </c>
      <c r="G2233" s="20">
        <f t="shared" si="34"/>
        <v>0.4726515947506858</v>
      </c>
      <c r="H2233" s="24" t="s">
        <v>579</v>
      </c>
      <c r="I2233" s="24" t="s">
        <v>596</v>
      </c>
      <c r="J2233" s="24" t="s">
        <v>597</v>
      </c>
      <c r="K2233" s="24" t="s">
        <v>600</v>
      </c>
    </row>
    <row r="2234" spans="1:11">
      <c r="A2234" s="12">
        <v>2019</v>
      </c>
      <c r="B2234" s="15" t="s">
        <v>160</v>
      </c>
      <c r="C2234" s="15" t="s">
        <v>205</v>
      </c>
      <c r="D2234" s="15" t="s">
        <v>206</v>
      </c>
      <c r="E2234" s="19">
        <v>229356</v>
      </c>
      <c r="F2234" s="19">
        <v>194896</v>
      </c>
      <c r="G2234" s="20">
        <f t="shared" si="34"/>
        <v>0.45938734525706421</v>
      </c>
      <c r="H2234" s="24" t="s">
        <v>579</v>
      </c>
      <c r="I2234" s="24" t="s">
        <v>596</v>
      </c>
      <c r="J2234" s="24" t="s">
        <v>597</v>
      </c>
      <c r="K2234" s="24" t="s">
        <v>600</v>
      </c>
    </row>
    <row r="2235" spans="1:11">
      <c r="A2235" s="12">
        <v>2019</v>
      </c>
      <c r="B2235" s="15" t="s">
        <v>160</v>
      </c>
      <c r="C2235" s="15" t="s">
        <v>207</v>
      </c>
      <c r="D2235" s="15" t="s">
        <v>208</v>
      </c>
      <c r="E2235" s="19">
        <v>142432</v>
      </c>
      <c r="F2235" s="19">
        <v>135830</v>
      </c>
      <c r="G2235" s="20">
        <f t="shared" si="34"/>
        <v>0.48813707944311474</v>
      </c>
      <c r="H2235" s="24" t="s">
        <v>579</v>
      </c>
      <c r="I2235" s="24" t="s">
        <v>596</v>
      </c>
      <c r="J2235" s="24" t="s">
        <v>597</v>
      </c>
      <c r="K2235" s="24" t="s">
        <v>600</v>
      </c>
    </row>
    <row r="2236" spans="1:11">
      <c r="A2236" s="12">
        <v>2019</v>
      </c>
      <c r="B2236" s="15" t="s">
        <v>160</v>
      </c>
      <c r="C2236" s="15" t="s">
        <v>209</v>
      </c>
      <c r="D2236" s="15" t="s">
        <v>210</v>
      </c>
      <c r="E2236" s="19">
        <v>413081</v>
      </c>
      <c r="F2236" s="19">
        <v>304778</v>
      </c>
      <c r="G2236" s="20">
        <f t="shared" si="34"/>
        <v>0.42456526978139159</v>
      </c>
      <c r="H2236" s="24" t="s">
        <v>579</v>
      </c>
      <c r="I2236" s="24" t="s">
        <v>591</v>
      </c>
      <c r="J2236" s="24" t="s">
        <v>592</v>
      </c>
      <c r="K2236" s="24" t="s">
        <v>600</v>
      </c>
    </row>
    <row r="2237" spans="1:11">
      <c r="A2237" s="12">
        <v>2019</v>
      </c>
      <c r="B2237" s="15" t="s">
        <v>160</v>
      </c>
      <c r="C2237" s="15" t="s">
        <v>211</v>
      </c>
      <c r="D2237" s="15" t="s">
        <v>212</v>
      </c>
      <c r="E2237" s="19">
        <v>284050</v>
      </c>
      <c r="F2237" s="19">
        <v>172611</v>
      </c>
      <c r="G2237" s="20">
        <f t="shared" si="34"/>
        <v>0.37798498229540073</v>
      </c>
      <c r="H2237" s="24" t="s">
        <v>579</v>
      </c>
      <c r="I2237" s="24" t="s">
        <v>591</v>
      </c>
      <c r="J2237" s="24" t="s">
        <v>592</v>
      </c>
      <c r="K2237" s="24" t="s">
        <v>600</v>
      </c>
    </row>
    <row r="2238" spans="1:11">
      <c r="A2238" s="12">
        <v>2019</v>
      </c>
      <c r="B2238" s="15" t="s">
        <v>160</v>
      </c>
      <c r="C2238" s="15" t="s">
        <v>213</v>
      </c>
      <c r="D2238" s="15" t="s">
        <v>214</v>
      </c>
      <c r="E2238" s="19">
        <v>272819</v>
      </c>
      <c r="F2238" s="19">
        <v>254985</v>
      </c>
      <c r="G2238" s="20">
        <f t="shared" si="34"/>
        <v>0.48310547097028445</v>
      </c>
      <c r="H2238" s="24" t="s">
        <v>579</v>
      </c>
      <c r="I2238" s="24" t="s">
        <v>591</v>
      </c>
      <c r="J2238" s="24" t="s">
        <v>592</v>
      </c>
      <c r="K2238" s="24" t="s">
        <v>600</v>
      </c>
    </row>
    <row r="2239" spans="1:11">
      <c r="A2239" s="12">
        <v>2019</v>
      </c>
      <c r="B2239" s="15" t="s">
        <v>160</v>
      </c>
      <c r="C2239" s="15" t="s">
        <v>215</v>
      </c>
      <c r="D2239" s="15" t="s">
        <v>216</v>
      </c>
      <c r="E2239" s="19">
        <v>157223</v>
      </c>
      <c r="F2239" s="19">
        <v>117799</v>
      </c>
      <c r="G2239" s="20">
        <f t="shared" si="34"/>
        <v>0.4283257339412847</v>
      </c>
      <c r="H2239" s="24" t="s">
        <v>579</v>
      </c>
      <c r="I2239" s="24" t="s">
        <v>591</v>
      </c>
      <c r="J2239" s="24" t="s">
        <v>592</v>
      </c>
      <c r="K2239" s="24" t="s">
        <v>600</v>
      </c>
    </row>
    <row r="2240" spans="1:11">
      <c r="A2240" s="12">
        <v>2019</v>
      </c>
      <c r="B2240" s="15" t="s">
        <v>160</v>
      </c>
      <c r="C2240" s="15" t="s">
        <v>217</v>
      </c>
      <c r="D2240" s="15" t="s">
        <v>218</v>
      </c>
      <c r="E2240" s="19">
        <v>272850</v>
      </c>
      <c r="F2240" s="19">
        <v>201697</v>
      </c>
      <c r="G2240" s="20">
        <f t="shared" si="34"/>
        <v>0.42503060813786619</v>
      </c>
      <c r="H2240" s="24" t="s">
        <v>579</v>
      </c>
      <c r="I2240" s="24" t="s">
        <v>596</v>
      </c>
      <c r="J2240" s="24" t="s">
        <v>597</v>
      </c>
      <c r="K2240" s="24" t="s">
        <v>600</v>
      </c>
    </row>
    <row r="2241" spans="1:11">
      <c r="A2241" s="12">
        <v>2019</v>
      </c>
      <c r="B2241" s="15" t="s">
        <v>160</v>
      </c>
      <c r="C2241" s="15" t="s">
        <v>219</v>
      </c>
      <c r="D2241" s="15" t="s">
        <v>220</v>
      </c>
      <c r="E2241" s="19">
        <v>193424</v>
      </c>
      <c r="F2241" s="19">
        <v>174881</v>
      </c>
      <c r="G2241" s="20">
        <f t="shared" si="34"/>
        <v>0.47482657036966647</v>
      </c>
      <c r="H2241" s="24" t="s">
        <v>579</v>
      </c>
      <c r="I2241" s="24" t="s">
        <v>596</v>
      </c>
      <c r="J2241" s="24" t="s">
        <v>597</v>
      </c>
      <c r="K2241" s="24" t="s">
        <v>600</v>
      </c>
    </row>
    <row r="2242" spans="1:11">
      <c r="A2242" s="12">
        <v>2019</v>
      </c>
      <c r="B2242" s="15" t="s">
        <v>160</v>
      </c>
      <c r="C2242" s="15" t="s">
        <v>221</v>
      </c>
      <c r="D2242" s="15" t="s">
        <v>222</v>
      </c>
      <c r="E2242" s="19">
        <v>175161</v>
      </c>
      <c r="F2242" s="19">
        <v>159735</v>
      </c>
      <c r="G2242" s="20">
        <f t="shared" si="34"/>
        <v>0.47696896947111939</v>
      </c>
      <c r="H2242" s="24" t="s">
        <v>579</v>
      </c>
      <c r="I2242" s="24" t="s">
        <v>591</v>
      </c>
      <c r="J2242" s="24" t="s">
        <v>592</v>
      </c>
      <c r="K2242" s="24" t="s">
        <v>600</v>
      </c>
    </row>
    <row r="2243" spans="1:11">
      <c r="A2243" s="12">
        <v>2019</v>
      </c>
      <c r="B2243" s="15" t="s">
        <v>160</v>
      </c>
      <c r="C2243" s="15" t="s">
        <v>223</v>
      </c>
      <c r="D2243" s="15" t="s">
        <v>224</v>
      </c>
      <c r="E2243" s="19">
        <v>87238</v>
      </c>
      <c r="F2243" s="19">
        <v>80071</v>
      </c>
      <c r="G2243" s="20">
        <f t="shared" si="34"/>
        <v>0.47858154671894521</v>
      </c>
      <c r="H2243" s="24" t="s">
        <v>579</v>
      </c>
      <c r="I2243" s="24" t="s">
        <v>591</v>
      </c>
      <c r="J2243" s="24" t="s">
        <v>592</v>
      </c>
      <c r="K2243" s="24" t="s">
        <v>600</v>
      </c>
    </row>
    <row r="2244" spans="1:11">
      <c r="A2244" s="12">
        <v>2019</v>
      </c>
      <c r="B2244" s="15" t="s">
        <v>160</v>
      </c>
      <c r="C2244" s="15" t="s">
        <v>227</v>
      </c>
      <c r="D2244" s="15" t="s">
        <v>228</v>
      </c>
      <c r="E2244" s="19">
        <v>87878</v>
      </c>
      <c r="F2244" s="19">
        <v>70658</v>
      </c>
      <c r="G2244" s="20">
        <f t="shared" si="34"/>
        <v>0.44569056870363827</v>
      </c>
      <c r="H2244" s="24" t="s">
        <v>579</v>
      </c>
      <c r="I2244" s="24" t="s">
        <v>591</v>
      </c>
      <c r="J2244" s="24" t="s">
        <v>592</v>
      </c>
      <c r="K2244" s="24" t="s">
        <v>600</v>
      </c>
    </row>
    <row r="2245" spans="1:11">
      <c r="A2245" s="12">
        <v>2019</v>
      </c>
      <c r="B2245" s="15" t="s">
        <v>160</v>
      </c>
      <c r="C2245" s="15" t="s">
        <v>229</v>
      </c>
      <c r="D2245" s="15" t="s">
        <v>230</v>
      </c>
      <c r="E2245" s="19">
        <v>32139</v>
      </c>
      <c r="F2245" s="19">
        <v>33554</v>
      </c>
      <c r="G2245" s="20">
        <f t="shared" si="34"/>
        <v>0.51076979282419743</v>
      </c>
      <c r="H2245" s="24" t="s">
        <v>579</v>
      </c>
      <c r="I2245" s="24" t="s">
        <v>591</v>
      </c>
      <c r="J2245" s="24" t="s">
        <v>592</v>
      </c>
      <c r="K2245" s="24" t="s">
        <v>600</v>
      </c>
    </row>
    <row r="2246" spans="1:11">
      <c r="A2246" s="12">
        <v>2019</v>
      </c>
      <c r="B2246" s="15" t="s">
        <v>160</v>
      </c>
      <c r="C2246" s="15" t="s">
        <v>231</v>
      </c>
      <c r="D2246" s="15" t="s">
        <v>232</v>
      </c>
      <c r="E2246" s="19">
        <v>191473</v>
      </c>
      <c r="F2246" s="19">
        <v>138314</v>
      </c>
      <c r="G2246" s="20">
        <f t="shared" ref="G2246:G2309" si="35">IFERROR(F2246/(E2246+F2246),"")</f>
        <v>0.41940403957706035</v>
      </c>
      <c r="H2246" s="24" t="s">
        <v>579</v>
      </c>
      <c r="I2246" s="24" t="s">
        <v>591</v>
      </c>
      <c r="J2246" s="24" t="s">
        <v>592</v>
      </c>
      <c r="K2246" s="24" t="s">
        <v>600</v>
      </c>
    </row>
    <row r="2247" spans="1:11">
      <c r="A2247" s="12">
        <v>2019</v>
      </c>
      <c r="B2247" s="15" t="s">
        <v>160</v>
      </c>
      <c r="C2247" s="15" t="s">
        <v>235</v>
      </c>
      <c r="D2247" s="15" t="s">
        <v>236</v>
      </c>
      <c r="E2247" s="19">
        <v>334517</v>
      </c>
      <c r="F2247" s="19">
        <v>327925</v>
      </c>
      <c r="G2247" s="20">
        <f t="shared" si="35"/>
        <v>0.49502447006681338</v>
      </c>
      <c r="H2247" s="24" t="s">
        <v>579</v>
      </c>
      <c r="I2247" s="24" t="s">
        <v>591</v>
      </c>
      <c r="J2247" s="24" t="s">
        <v>592</v>
      </c>
      <c r="K2247" s="24" t="s">
        <v>600</v>
      </c>
    </row>
    <row r="2248" spans="1:11">
      <c r="A2248" s="12">
        <v>2019</v>
      </c>
      <c r="B2248" s="15" t="s">
        <v>160</v>
      </c>
      <c r="C2248" s="15" t="s">
        <v>237</v>
      </c>
      <c r="D2248" s="15" t="s">
        <v>238</v>
      </c>
      <c r="E2248" s="19">
        <v>283964</v>
      </c>
      <c r="F2248" s="19">
        <v>280380</v>
      </c>
      <c r="G2248" s="20">
        <f t="shared" si="35"/>
        <v>0.4968246317848688</v>
      </c>
      <c r="H2248" s="24" t="s">
        <v>579</v>
      </c>
      <c r="I2248" s="24" t="s">
        <v>591</v>
      </c>
      <c r="J2248" s="24" t="s">
        <v>592</v>
      </c>
      <c r="K2248" s="24" t="s">
        <v>600</v>
      </c>
    </row>
    <row r="2249" spans="1:11">
      <c r="A2249" s="12">
        <v>2019</v>
      </c>
      <c r="B2249" s="15" t="s">
        <v>160</v>
      </c>
      <c r="C2249" s="15" t="s">
        <v>239</v>
      </c>
      <c r="D2249" s="15" t="s">
        <v>240</v>
      </c>
      <c r="E2249" s="19">
        <v>205089</v>
      </c>
      <c r="F2249" s="19">
        <v>162187</v>
      </c>
      <c r="G2249" s="20">
        <f t="shared" si="35"/>
        <v>0.44159433232773171</v>
      </c>
      <c r="H2249" s="24" t="s">
        <v>579</v>
      </c>
      <c r="I2249" s="24" t="s">
        <v>591</v>
      </c>
      <c r="J2249" s="24" t="s">
        <v>592</v>
      </c>
      <c r="K2249" s="24" t="s">
        <v>600</v>
      </c>
    </row>
    <row r="2250" spans="1:11">
      <c r="A2250" s="12">
        <v>2019</v>
      </c>
      <c r="B2250" s="15" t="s">
        <v>160</v>
      </c>
      <c r="C2250" s="15" t="s">
        <v>241</v>
      </c>
      <c r="D2250" s="15" t="s">
        <v>242</v>
      </c>
      <c r="E2250" s="19">
        <v>110121</v>
      </c>
      <c r="F2250" s="19">
        <v>135346</v>
      </c>
      <c r="G2250" s="20">
        <f t="shared" si="35"/>
        <v>0.55138165211617041</v>
      </c>
      <c r="H2250" s="24" t="s">
        <v>579</v>
      </c>
      <c r="I2250" s="24" t="s">
        <v>591</v>
      </c>
      <c r="J2250" s="24" t="s">
        <v>592</v>
      </c>
      <c r="K2250" s="24" t="s">
        <v>600</v>
      </c>
    </row>
    <row r="2251" spans="1:11">
      <c r="A2251" s="12">
        <v>2019</v>
      </c>
      <c r="B2251" s="15" t="s">
        <v>160</v>
      </c>
      <c r="C2251" s="15" t="s">
        <v>243</v>
      </c>
      <c r="D2251" s="15" t="s">
        <v>244</v>
      </c>
      <c r="E2251" s="19">
        <v>383644</v>
      </c>
      <c r="F2251" s="19">
        <v>230410</v>
      </c>
      <c r="G2251" s="20">
        <f t="shared" si="35"/>
        <v>0.37522758584749877</v>
      </c>
      <c r="H2251" s="24" t="s">
        <v>579</v>
      </c>
      <c r="I2251" s="24" t="s">
        <v>596</v>
      </c>
      <c r="J2251" s="24" t="s">
        <v>597</v>
      </c>
      <c r="K2251" s="24" t="s">
        <v>600</v>
      </c>
    </row>
    <row r="2252" spans="1:11">
      <c r="A2252" s="12">
        <v>2019</v>
      </c>
      <c r="B2252" s="15" t="s">
        <v>160</v>
      </c>
      <c r="C2252" s="15" t="s">
        <v>245</v>
      </c>
      <c r="D2252" s="15" t="s">
        <v>246</v>
      </c>
      <c r="E2252" s="19">
        <v>188561</v>
      </c>
      <c r="F2252" s="19">
        <v>112667</v>
      </c>
      <c r="G2252" s="20">
        <f t="shared" si="35"/>
        <v>0.37402565498559232</v>
      </c>
      <c r="H2252" s="24" t="s">
        <v>579</v>
      </c>
      <c r="I2252" s="24" t="s">
        <v>591</v>
      </c>
      <c r="J2252" s="24" t="s">
        <v>592</v>
      </c>
      <c r="K2252" s="24" t="s">
        <v>600</v>
      </c>
    </row>
    <row r="2253" spans="1:11">
      <c r="A2253" s="12">
        <v>2019</v>
      </c>
      <c r="B2253" s="15" t="s">
        <v>160</v>
      </c>
      <c r="C2253" s="15" t="s">
        <v>247</v>
      </c>
      <c r="D2253" s="15" t="s">
        <v>248</v>
      </c>
      <c r="E2253" s="19">
        <v>382542</v>
      </c>
      <c r="F2253" s="19">
        <v>277737</v>
      </c>
      <c r="G2253" s="20">
        <f t="shared" si="35"/>
        <v>0.42063582212973605</v>
      </c>
      <c r="H2253" s="24" t="s">
        <v>579</v>
      </c>
      <c r="I2253" s="24" t="s">
        <v>591</v>
      </c>
      <c r="J2253" s="24" t="s">
        <v>592</v>
      </c>
      <c r="K2253" s="24" t="s">
        <v>600</v>
      </c>
    </row>
    <row r="2254" spans="1:11">
      <c r="A2254" s="12">
        <v>2019</v>
      </c>
      <c r="B2254" s="15" t="s">
        <v>160</v>
      </c>
      <c r="C2254" s="15" t="s">
        <v>249</v>
      </c>
      <c r="D2254" s="15" t="s">
        <v>250</v>
      </c>
      <c r="E2254" s="19">
        <v>450810</v>
      </c>
      <c r="F2254" s="19">
        <v>256728</v>
      </c>
      <c r="G2254" s="20">
        <f t="shared" si="35"/>
        <v>0.36284694249637478</v>
      </c>
      <c r="H2254" s="24" t="s">
        <v>579</v>
      </c>
      <c r="I2254" s="24" t="s">
        <v>591</v>
      </c>
      <c r="J2254" s="24" t="s">
        <v>592</v>
      </c>
      <c r="K2254" s="24" t="s">
        <v>600</v>
      </c>
    </row>
    <row r="2255" spans="1:11">
      <c r="A2255" s="12">
        <v>2019</v>
      </c>
      <c r="B2255" s="15" t="s">
        <v>160</v>
      </c>
      <c r="C2255" s="15" t="s">
        <v>251</v>
      </c>
      <c r="D2255" s="15" t="s">
        <v>252</v>
      </c>
      <c r="E2255" s="19">
        <v>124738</v>
      </c>
      <c r="F2255" s="19">
        <v>93163</v>
      </c>
      <c r="G2255" s="20">
        <f t="shared" si="35"/>
        <v>0.4275473724305992</v>
      </c>
      <c r="H2255" s="24" t="s">
        <v>579</v>
      </c>
      <c r="I2255" s="24" t="s">
        <v>591</v>
      </c>
      <c r="J2255" s="24" t="s">
        <v>592</v>
      </c>
      <c r="K2255" s="24" t="s">
        <v>600</v>
      </c>
    </row>
    <row r="2256" spans="1:11">
      <c r="A2256" s="12">
        <v>2019</v>
      </c>
      <c r="B2256" s="15" t="s">
        <v>160</v>
      </c>
      <c r="C2256" s="15" t="s">
        <v>253</v>
      </c>
      <c r="D2256" s="15" t="s">
        <v>254</v>
      </c>
      <c r="E2256" s="19">
        <v>197250</v>
      </c>
      <c r="F2256" s="19">
        <v>201650</v>
      </c>
      <c r="G2256" s="20">
        <f t="shared" si="35"/>
        <v>0.5055151667084482</v>
      </c>
      <c r="H2256" s="24" t="s">
        <v>579</v>
      </c>
      <c r="I2256" s="24" t="s">
        <v>591</v>
      </c>
      <c r="J2256" s="24" t="s">
        <v>592</v>
      </c>
      <c r="K2256" s="24" t="s">
        <v>600</v>
      </c>
    </row>
    <row r="2257" spans="1:11">
      <c r="A2257" s="12">
        <v>2019</v>
      </c>
      <c r="B2257" s="15" t="s">
        <v>160</v>
      </c>
      <c r="C2257" s="15" t="s">
        <v>255</v>
      </c>
      <c r="D2257" s="15" t="s">
        <v>256</v>
      </c>
      <c r="E2257" s="19">
        <v>695483</v>
      </c>
      <c r="F2257" s="19">
        <v>539936</v>
      </c>
      <c r="G2257" s="20">
        <f t="shared" si="35"/>
        <v>0.43704686426224626</v>
      </c>
      <c r="H2257" s="24" t="s">
        <v>579</v>
      </c>
      <c r="I2257" s="24" t="s">
        <v>591</v>
      </c>
      <c r="J2257" s="24" t="s">
        <v>592</v>
      </c>
      <c r="K2257" s="24" t="s">
        <v>600</v>
      </c>
    </row>
    <row r="2258" spans="1:11">
      <c r="A2258" s="12">
        <v>2019</v>
      </c>
      <c r="B2258" s="15" t="s">
        <v>257</v>
      </c>
      <c r="C2258" s="15" t="s">
        <v>22</v>
      </c>
      <c r="D2258" s="15" t="s">
        <v>257</v>
      </c>
      <c r="E2258" s="19">
        <v>1366191</v>
      </c>
      <c r="F2258" s="19">
        <v>455164</v>
      </c>
      <c r="G2258" s="20">
        <f t="shared" si="35"/>
        <v>0.24990405494810183</v>
      </c>
      <c r="H2258" s="24" t="s">
        <v>579</v>
      </c>
      <c r="I2258" s="24" t="s">
        <v>591</v>
      </c>
      <c r="J2258" s="24" t="s">
        <v>592</v>
      </c>
      <c r="K2258" s="24" t="s">
        <v>600</v>
      </c>
    </row>
    <row r="2259" spans="1:11">
      <c r="A2259" s="12">
        <v>2019</v>
      </c>
      <c r="B2259" s="15" t="s">
        <v>257</v>
      </c>
      <c r="C2259" s="15" t="s">
        <v>258</v>
      </c>
      <c r="D2259" s="15" t="s">
        <v>259</v>
      </c>
      <c r="E2259" s="19">
        <v>189295</v>
      </c>
      <c r="F2259" s="19">
        <v>59708</v>
      </c>
      <c r="G2259" s="20">
        <f t="shared" si="35"/>
        <v>0.23978827564326535</v>
      </c>
      <c r="H2259" s="24" t="s">
        <v>579</v>
      </c>
      <c r="I2259" s="24" t="s">
        <v>591</v>
      </c>
      <c r="J2259" s="24" t="s">
        <v>592</v>
      </c>
      <c r="K2259" s="24" t="s">
        <v>600</v>
      </c>
    </row>
    <row r="2260" spans="1:11">
      <c r="A2260" s="12">
        <v>2019</v>
      </c>
      <c r="B2260" s="15" t="s">
        <v>257</v>
      </c>
      <c r="C2260" s="15" t="s">
        <v>260</v>
      </c>
      <c r="D2260" s="15" t="s">
        <v>261</v>
      </c>
      <c r="E2260" s="19">
        <v>15626</v>
      </c>
      <c r="F2260" s="19">
        <v>23393</v>
      </c>
      <c r="G2260" s="20">
        <f t="shared" si="35"/>
        <v>0.59952843486506568</v>
      </c>
      <c r="H2260" s="24" t="s">
        <v>579</v>
      </c>
      <c r="I2260" s="24" t="s">
        <v>591</v>
      </c>
      <c r="J2260" s="24" t="s">
        <v>592</v>
      </c>
      <c r="K2260" s="24" t="s">
        <v>600</v>
      </c>
    </row>
    <row r="2261" spans="1:11">
      <c r="A2261" s="12">
        <v>2019</v>
      </c>
      <c r="B2261" s="15" t="s">
        <v>257</v>
      </c>
      <c r="C2261" s="15" t="s">
        <v>262</v>
      </c>
      <c r="D2261" s="15" t="s">
        <v>263</v>
      </c>
      <c r="E2261" s="19">
        <v>79497</v>
      </c>
      <c r="F2261" s="19">
        <v>45754</v>
      </c>
      <c r="G2261" s="20">
        <f t="shared" si="35"/>
        <v>0.36529848065085307</v>
      </c>
      <c r="H2261" s="24" t="s">
        <v>579</v>
      </c>
      <c r="I2261" s="24" t="s">
        <v>591</v>
      </c>
      <c r="J2261" s="24" t="s">
        <v>592</v>
      </c>
      <c r="K2261" s="24" t="s">
        <v>600</v>
      </c>
    </row>
    <row r="2262" spans="1:11">
      <c r="A2262" s="12">
        <v>2019</v>
      </c>
      <c r="B2262" s="15" t="s">
        <v>257</v>
      </c>
      <c r="C2262" s="15" t="s">
        <v>264</v>
      </c>
      <c r="D2262" s="15" t="s">
        <v>265</v>
      </c>
      <c r="E2262" s="19">
        <v>55722</v>
      </c>
      <c r="F2262" s="19">
        <v>41894</v>
      </c>
      <c r="G2262" s="20">
        <f t="shared" si="35"/>
        <v>0.4291714473037207</v>
      </c>
      <c r="H2262" s="24" t="s">
        <v>579</v>
      </c>
      <c r="I2262" s="24" t="s">
        <v>591</v>
      </c>
      <c r="J2262" s="24" t="s">
        <v>592</v>
      </c>
      <c r="K2262" s="24" t="s">
        <v>600</v>
      </c>
    </row>
    <row r="2263" spans="1:11">
      <c r="A2263" s="12">
        <v>2019</v>
      </c>
      <c r="B2263" s="15" t="s">
        <v>257</v>
      </c>
      <c r="C2263" s="15" t="s">
        <v>266</v>
      </c>
      <c r="D2263" s="15" t="s">
        <v>267</v>
      </c>
      <c r="E2263" s="19">
        <v>70899</v>
      </c>
      <c r="F2263" s="19">
        <v>38924</v>
      </c>
      <c r="G2263" s="20">
        <f t="shared" si="35"/>
        <v>0.35442484725421813</v>
      </c>
      <c r="H2263" s="24" t="s">
        <v>579</v>
      </c>
      <c r="I2263" s="24" t="s">
        <v>591</v>
      </c>
      <c r="J2263" s="24" t="s">
        <v>592</v>
      </c>
      <c r="K2263" s="24" t="s">
        <v>600</v>
      </c>
    </row>
    <row r="2264" spans="1:11">
      <c r="A2264" s="12">
        <v>2019</v>
      </c>
      <c r="B2264" s="15" t="s">
        <v>257</v>
      </c>
      <c r="C2264" s="15" t="s">
        <v>268</v>
      </c>
      <c r="D2264" s="15" t="s">
        <v>269</v>
      </c>
      <c r="E2264" s="19">
        <v>17656</v>
      </c>
      <c r="F2264" s="19">
        <v>18046</v>
      </c>
      <c r="G2264" s="20">
        <f t="shared" si="35"/>
        <v>0.50546187888633687</v>
      </c>
      <c r="H2264" s="24" t="s">
        <v>579</v>
      </c>
      <c r="I2264" s="24" t="s">
        <v>591</v>
      </c>
      <c r="J2264" s="24" t="s">
        <v>592</v>
      </c>
      <c r="K2264" s="24" t="s">
        <v>600</v>
      </c>
    </row>
    <row r="2265" spans="1:11">
      <c r="A2265" s="12">
        <v>2019</v>
      </c>
      <c r="B2265" s="15" t="s">
        <v>257</v>
      </c>
      <c r="C2265" s="15" t="s">
        <v>270</v>
      </c>
      <c r="D2265" s="15" t="s">
        <v>271</v>
      </c>
      <c r="E2265" s="19">
        <v>17996</v>
      </c>
      <c r="F2265" s="19">
        <v>23451</v>
      </c>
      <c r="G2265" s="20">
        <f t="shared" si="35"/>
        <v>0.565806934156875</v>
      </c>
      <c r="H2265" s="24" t="s">
        <v>579</v>
      </c>
      <c r="I2265" s="24" t="s">
        <v>591</v>
      </c>
      <c r="J2265" s="24" t="s">
        <v>592</v>
      </c>
      <c r="K2265" s="24" t="s">
        <v>600</v>
      </c>
    </row>
    <row r="2266" spans="1:11">
      <c r="A2266" s="12">
        <v>2019</v>
      </c>
      <c r="B2266" s="15" t="s">
        <v>257</v>
      </c>
      <c r="C2266" s="15" t="s">
        <v>272</v>
      </c>
      <c r="D2266" s="15" t="s">
        <v>273</v>
      </c>
      <c r="E2266" s="19">
        <v>29030</v>
      </c>
      <c r="F2266" s="19">
        <v>28825</v>
      </c>
      <c r="G2266" s="20">
        <f t="shared" si="35"/>
        <v>0.4982283294443004</v>
      </c>
      <c r="H2266" s="24" t="s">
        <v>579</v>
      </c>
      <c r="I2266" s="24" t="s">
        <v>591</v>
      </c>
      <c r="J2266" s="24" t="s">
        <v>592</v>
      </c>
      <c r="K2266" s="24" t="s">
        <v>600</v>
      </c>
    </row>
    <row r="2267" spans="1:11">
      <c r="A2267" s="12">
        <v>2019</v>
      </c>
      <c r="B2267" s="15" t="s">
        <v>257</v>
      </c>
      <c r="C2267" s="15" t="s">
        <v>274</v>
      </c>
      <c r="D2267" s="15" t="s">
        <v>275</v>
      </c>
      <c r="E2267" s="19">
        <v>311074</v>
      </c>
      <c r="F2267" s="19">
        <v>104579</v>
      </c>
      <c r="G2267" s="20">
        <f t="shared" si="35"/>
        <v>0.25160169660750675</v>
      </c>
      <c r="H2267" s="24" t="s">
        <v>579</v>
      </c>
      <c r="I2267" s="24" t="s">
        <v>591</v>
      </c>
      <c r="J2267" s="24" t="s">
        <v>592</v>
      </c>
      <c r="K2267" s="24" t="s">
        <v>600</v>
      </c>
    </row>
    <row r="2268" spans="1:11">
      <c r="A2268" s="12">
        <v>2019</v>
      </c>
      <c r="B2268" s="15" t="s">
        <v>257</v>
      </c>
      <c r="C2268" s="15" t="s">
        <v>276</v>
      </c>
      <c r="D2268" s="15" t="s">
        <v>277</v>
      </c>
      <c r="E2268" s="19">
        <v>24191</v>
      </c>
      <c r="F2268" s="19">
        <v>24872</v>
      </c>
      <c r="G2268" s="20">
        <f t="shared" si="35"/>
        <v>0.50694005666184294</v>
      </c>
      <c r="H2268" s="24" t="s">
        <v>579</v>
      </c>
      <c r="I2268" s="24" t="s">
        <v>591</v>
      </c>
      <c r="J2268" s="24" t="s">
        <v>592</v>
      </c>
      <c r="K2268" s="24" t="s">
        <v>600</v>
      </c>
    </row>
    <row r="2269" spans="1:11">
      <c r="A2269" s="12">
        <v>2019</v>
      </c>
      <c r="B2269" s="15" t="s">
        <v>257</v>
      </c>
      <c r="C2269" s="15" t="s">
        <v>278</v>
      </c>
      <c r="D2269" s="15" t="s">
        <v>279</v>
      </c>
      <c r="E2269" s="19">
        <v>26099</v>
      </c>
      <c r="F2269" s="19">
        <v>29237</v>
      </c>
      <c r="G2269" s="20">
        <f t="shared" si="35"/>
        <v>0.52835405522625412</v>
      </c>
      <c r="H2269" s="24" t="s">
        <v>579</v>
      </c>
      <c r="I2269" s="24" t="s">
        <v>591</v>
      </c>
      <c r="J2269" s="24" t="s">
        <v>592</v>
      </c>
      <c r="K2269" s="24" t="s">
        <v>600</v>
      </c>
    </row>
    <row r="2270" spans="1:11">
      <c r="A2270" s="12">
        <v>2019</v>
      </c>
      <c r="B2270" s="15" t="s">
        <v>257</v>
      </c>
      <c r="C2270" s="15" t="s">
        <v>280</v>
      </c>
      <c r="D2270" s="15" t="s">
        <v>281</v>
      </c>
      <c r="E2270" s="19">
        <v>36268</v>
      </c>
      <c r="F2270" s="19">
        <v>33792</v>
      </c>
      <c r="G2270" s="20">
        <f t="shared" si="35"/>
        <v>0.48232943191550098</v>
      </c>
      <c r="H2270" s="24" t="s">
        <v>579</v>
      </c>
      <c r="I2270" s="24" t="s">
        <v>591</v>
      </c>
      <c r="J2270" s="24" t="s">
        <v>592</v>
      </c>
      <c r="K2270" s="24" t="s">
        <v>600</v>
      </c>
    </row>
    <row r="2271" spans="1:11">
      <c r="A2271" s="12">
        <v>2019</v>
      </c>
      <c r="B2271" s="15" t="s">
        <v>257</v>
      </c>
      <c r="C2271" s="15" t="s">
        <v>282</v>
      </c>
      <c r="D2271" s="15" t="s">
        <v>283</v>
      </c>
      <c r="E2271" s="19">
        <v>251664</v>
      </c>
      <c r="F2271" s="19">
        <v>79469</v>
      </c>
      <c r="G2271" s="20">
        <f t="shared" si="35"/>
        <v>0.2399911817910024</v>
      </c>
      <c r="H2271" s="24" t="s">
        <v>579</v>
      </c>
      <c r="I2271" s="24" t="s">
        <v>591</v>
      </c>
      <c r="J2271" s="24" t="s">
        <v>592</v>
      </c>
      <c r="K2271" s="24" t="s">
        <v>600</v>
      </c>
    </row>
    <row r="2272" spans="1:11">
      <c r="A2272" s="12">
        <v>2019</v>
      </c>
      <c r="B2272" s="15" t="s">
        <v>257</v>
      </c>
      <c r="C2272" s="15" t="s">
        <v>284</v>
      </c>
      <c r="D2272" s="15" t="s">
        <v>285</v>
      </c>
      <c r="E2272" s="19">
        <v>36696</v>
      </c>
      <c r="F2272" s="19">
        <v>26153</v>
      </c>
      <c r="G2272" s="20">
        <f t="shared" si="35"/>
        <v>0.41612436156502092</v>
      </c>
      <c r="H2272" s="24" t="s">
        <v>579</v>
      </c>
      <c r="I2272" s="24" t="s">
        <v>591</v>
      </c>
      <c r="J2272" s="24" t="s">
        <v>592</v>
      </c>
      <c r="K2272" s="24" t="s">
        <v>600</v>
      </c>
    </row>
    <row r="2273" spans="1:11">
      <c r="A2273" s="12">
        <v>2019</v>
      </c>
      <c r="B2273" s="15" t="s">
        <v>257</v>
      </c>
      <c r="C2273" s="15" t="s">
        <v>286</v>
      </c>
      <c r="D2273" s="15" t="s">
        <v>287</v>
      </c>
      <c r="E2273" s="19">
        <v>30817</v>
      </c>
      <c r="F2273" s="19">
        <v>33724</v>
      </c>
      <c r="G2273" s="20">
        <f t="shared" si="35"/>
        <v>0.52252056832091232</v>
      </c>
      <c r="H2273" s="24" t="s">
        <v>579</v>
      </c>
      <c r="I2273" s="24" t="s">
        <v>591</v>
      </c>
      <c r="J2273" s="24" t="s">
        <v>592</v>
      </c>
      <c r="K2273" s="24" t="s">
        <v>600</v>
      </c>
    </row>
    <row r="2274" spans="1:11">
      <c r="A2274" s="12">
        <v>2019</v>
      </c>
      <c r="B2274" s="15" t="s">
        <v>257</v>
      </c>
      <c r="C2274" s="15" t="s">
        <v>288</v>
      </c>
      <c r="D2274" s="15" t="s">
        <v>289</v>
      </c>
      <c r="E2274" s="19">
        <v>55484</v>
      </c>
      <c r="F2274" s="19">
        <v>44923</v>
      </c>
      <c r="G2274" s="20">
        <f t="shared" si="35"/>
        <v>0.44740904518609259</v>
      </c>
      <c r="H2274" s="24" t="s">
        <v>579</v>
      </c>
      <c r="I2274" s="24" t="s">
        <v>591</v>
      </c>
      <c r="J2274" s="24" t="s">
        <v>592</v>
      </c>
      <c r="K2274" s="24" t="s">
        <v>600</v>
      </c>
    </row>
    <row r="2275" spans="1:11">
      <c r="A2275" s="12">
        <v>2019</v>
      </c>
      <c r="B2275" s="15" t="s">
        <v>257</v>
      </c>
      <c r="C2275" s="15" t="s">
        <v>290</v>
      </c>
      <c r="D2275" s="15" t="s">
        <v>291</v>
      </c>
      <c r="E2275" s="19">
        <v>17821</v>
      </c>
      <c r="F2275" s="19">
        <v>20781</v>
      </c>
      <c r="G2275" s="20">
        <f t="shared" si="35"/>
        <v>0.53833998238433245</v>
      </c>
      <c r="H2275" s="24" t="s">
        <v>579</v>
      </c>
      <c r="I2275" s="24" t="s">
        <v>591</v>
      </c>
      <c r="J2275" s="24" t="s">
        <v>592</v>
      </c>
      <c r="K2275" s="24" t="s">
        <v>600</v>
      </c>
    </row>
    <row r="2276" spans="1:11">
      <c r="A2276" s="12">
        <v>2019</v>
      </c>
      <c r="B2276" s="15" t="s">
        <v>257</v>
      </c>
      <c r="C2276" s="15" t="s">
        <v>292</v>
      </c>
      <c r="D2276" s="15" t="s">
        <v>293</v>
      </c>
      <c r="E2276" s="19">
        <v>34637</v>
      </c>
      <c r="F2276" s="19">
        <v>36701</v>
      </c>
      <c r="G2276" s="20">
        <f t="shared" si="35"/>
        <v>0.51446634332333396</v>
      </c>
      <c r="H2276" s="24" t="s">
        <v>579</v>
      </c>
      <c r="I2276" s="24" t="s">
        <v>591</v>
      </c>
      <c r="J2276" s="24" t="s">
        <v>592</v>
      </c>
      <c r="K2276" s="24" t="s">
        <v>600</v>
      </c>
    </row>
    <row r="2277" spans="1:11">
      <c r="A2277" s="12">
        <v>2019</v>
      </c>
      <c r="B2277" s="15" t="s">
        <v>294</v>
      </c>
      <c r="C2277" s="15" t="s">
        <v>22</v>
      </c>
      <c r="D2277" s="15" t="s">
        <v>294</v>
      </c>
      <c r="E2277" s="19">
        <v>1462152</v>
      </c>
      <c r="F2277" s="19">
        <v>511392</v>
      </c>
      <c r="G2277" s="20">
        <f t="shared" si="35"/>
        <v>0.25912368814680597</v>
      </c>
      <c r="H2277" s="24" t="s">
        <v>589</v>
      </c>
      <c r="I2277" s="24" t="s">
        <v>560</v>
      </c>
      <c r="J2277" s="24" t="s">
        <v>590</v>
      </c>
      <c r="K2277" s="24" t="s">
        <v>600</v>
      </c>
    </row>
    <row r="2278" spans="1:11">
      <c r="A2278" s="12">
        <v>2019</v>
      </c>
      <c r="B2278" s="15" t="s">
        <v>294</v>
      </c>
      <c r="C2278" s="15" t="s">
        <v>295</v>
      </c>
      <c r="D2278" s="15" t="s">
        <v>296</v>
      </c>
      <c r="E2278" s="19">
        <v>25475</v>
      </c>
      <c r="F2278" s="19">
        <v>33218</v>
      </c>
      <c r="G2278" s="20">
        <f t="shared" si="35"/>
        <v>0.56596186938817239</v>
      </c>
      <c r="H2278" s="24" t="s">
        <v>589</v>
      </c>
      <c r="I2278" s="24" t="s">
        <v>560</v>
      </c>
      <c r="J2278" s="24" t="s">
        <v>590</v>
      </c>
      <c r="K2278" s="24" t="s">
        <v>600</v>
      </c>
    </row>
    <row r="2279" spans="1:11">
      <c r="A2279" s="12">
        <v>2019</v>
      </c>
      <c r="B2279" s="15" t="s">
        <v>294</v>
      </c>
      <c r="C2279" s="15" t="s">
        <v>297</v>
      </c>
      <c r="D2279" s="15" t="s">
        <v>298</v>
      </c>
      <c r="E2279" s="19">
        <v>21819</v>
      </c>
      <c r="F2279" s="19">
        <v>24838</v>
      </c>
      <c r="G2279" s="20">
        <f t="shared" si="35"/>
        <v>0.53235313029127462</v>
      </c>
      <c r="H2279" s="24" t="s">
        <v>589</v>
      </c>
      <c r="I2279" s="24" t="s">
        <v>560</v>
      </c>
      <c r="J2279" s="24" t="s">
        <v>590</v>
      </c>
      <c r="K2279" s="24" t="s">
        <v>600</v>
      </c>
    </row>
    <row r="2280" spans="1:11">
      <c r="A2280" s="12">
        <v>2019</v>
      </c>
      <c r="B2280" s="15" t="s">
        <v>294</v>
      </c>
      <c r="C2280" s="15" t="s">
        <v>299</v>
      </c>
      <c r="D2280" s="15" t="s">
        <v>300</v>
      </c>
      <c r="E2280" s="19">
        <v>26218</v>
      </c>
      <c r="F2280" s="19">
        <v>24452</v>
      </c>
      <c r="G2280" s="20">
        <f t="shared" si="35"/>
        <v>0.48257351490033551</v>
      </c>
      <c r="H2280" s="24" t="s">
        <v>589</v>
      </c>
      <c r="I2280" s="24" t="s">
        <v>560</v>
      </c>
      <c r="J2280" s="24" t="s">
        <v>590</v>
      </c>
      <c r="K2280" s="24" t="s">
        <v>600</v>
      </c>
    </row>
    <row r="2281" spans="1:11">
      <c r="A2281" s="12">
        <v>2019</v>
      </c>
      <c r="B2281" s="15" t="s">
        <v>294</v>
      </c>
      <c r="C2281" s="15" t="s">
        <v>301</v>
      </c>
      <c r="D2281" s="15" t="s">
        <v>302</v>
      </c>
      <c r="E2281" s="19">
        <v>39207</v>
      </c>
      <c r="F2281" s="19">
        <v>34641</v>
      </c>
      <c r="G2281" s="20">
        <f t="shared" si="35"/>
        <v>0.46908514787130323</v>
      </c>
      <c r="H2281" s="24" t="s">
        <v>589</v>
      </c>
      <c r="I2281" s="24" t="s">
        <v>560</v>
      </c>
      <c r="J2281" s="24" t="s">
        <v>590</v>
      </c>
      <c r="K2281" s="24" t="s">
        <v>600</v>
      </c>
    </row>
    <row r="2282" spans="1:11">
      <c r="A2282" s="12">
        <v>2019</v>
      </c>
      <c r="B2282" s="15" t="s">
        <v>294</v>
      </c>
      <c r="C2282" s="15" t="s">
        <v>303</v>
      </c>
      <c r="D2282" s="15" t="s">
        <v>304</v>
      </c>
      <c r="E2282" s="19">
        <v>42177</v>
      </c>
      <c r="F2282" s="19">
        <v>36515</v>
      </c>
      <c r="G2282" s="20">
        <f t="shared" si="35"/>
        <v>0.46402429726020433</v>
      </c>
      <c r="H2282" s="24" t="s">
        <v>589</v>
      </c>
      <c r="I2282" s="24" t="s">
        <v>560</v>
      </c>
      <c r="J2282" s="24" t="s">
        <v>590</v>
      </c>
      <c r="K2282" s="24" t="s">
        <v>600</v>
      </c>
    </row>
    <row r="2283" spans="1:11">
      <c r="A2283" s="12">
        <v>2019</v>
      </c>
      <c r="B2283" s="15" t="s">
        <v>294</v>
      </c>
      <c r="C2283" s="15" t="s">
        <v>305</v>
      </c>
      <c r="D2283" s="15" t="s">
        <v>306</v>
      </c>
      <c r="E2283" s="19">
        <v>81619</v>
      </c>
      <c r="F2283" s="19">
        <v>74706</v>
      </c>
      <c r="G2283" s="20">
        <f t="shared" si="35"/>
        <v>0.47788901327362865</v>
      </c>
      <c r="H2283" s="24" t="s">
        <v>589</v>
      </c>
      <c r="I2283" s="24" t="s">
        <v>560</v>
      </c>
      <c r="J2283" s="24" t="s">
        <v>590</v>
      </c>
      <c r="K2283" s="24" t="s">
        <v>600</v>
      </c>
    </row>
    <row r="2284" spans="1:11">
      <c r="A2284" s="12">
        <v>2019</v>
      </c>
      <c r="B2284" s="15" t="s">
        <v>294</v>
      </c>
      <c r="C2284" s="15" t="s">
        <v>307</v>
      </c>
      <c r="D2284" s="15" t="s">
        <v>308</v>
      </c>
      <c r="E2284" s="19">
        <v>118542</v>
      </c>
      <c r="F2284" s="19">
        <v>61041</v>
      </c>
      <c r="G2284" s="20">
        <f t="shared" si="35"/>
        <v>0.33990411119092562</v>
      </c>
      <c r="H2284" s="24" t="s">
        <v>589</v>
      </c>
      <c r="I2284" s="24" t="s">
        <v>560</v>
      </c>
      <c r="J2284" s="24" t="s">
        <v>590</v>
      </c>
      <c r="K2284" s="24" t="s">
        <v>600</v>
      </c>
    </row>
    <row r="2285" spans="1:11">
      <c r="A2285" s="12">
        <v>2019</v>
      </c>
      <c r="B2285" s="15" t="s">
        <v>294</v>
      </c>
      <c r="C2285" s="15" t="s">
        <v>309</v>
      </c>
      <c r="D2285" s="15" t="s">
        <v>310</v>
      </c>
      <c r="E2285" s="19">
        <v>30761</v>
      </c>
      <c r="F2285" s="19">
        <v>27811</v>
      </c>
      <c r="G2285" s="20">
        <f t="shared" si="35"/>
        <v>0.47481731885542577</v>
      </c>
      <c r="H2285" s="24" t="s">
        <v>589</v>
      </c>
      <c r="I2285" s="24" t="s">
        <v>560</v>
      </c>
      <c r="J2285" s="24" t="s">
        <v>590</v>
      </c>
      <c r="K2285" s="24" t="s">
        <v>600</v>
      </c>
    </row>
    <row r="2286" spans="1:11">
      <c r="A2286" s="12">
        <v>2019</v>
      </c>
      <c r="B2286" s="15" t="s">
        <v>294</v>
      </c>
      <c r="C2286" s="15" t="s">
        <v>311</v>
      </c>
      <c r="D2286" s="15" t="s">
        <v>312</v>
      </c>
      <c r="E2286" s="19">
        <v>68093</v>
      </c>
      <c r="F2286" s="19">
        <v>59178</v>
      </c>
      <c r="G2286" s="20">
        <f t="shared" si="35"/>
        <v>0.46497631039278392</v>
      </c>
      <c r="H2286" s="24" t="s">
        <v>589</v>
      </c>
      <c r="I2286" s="24" t="s">
        <v>560</v>
      </c>
      <c r="J2286" s="24" t="s">
        <v>590</v>
      </c>
      <c r="K2286" s="24" t="s">
        <v>600</v>
      </c>
    </row>
    <row r="2287" spans="1:11">
      <c r="A2287" s="12">
        <v>2019</v>
      </c>
      <c r="B2287" s="15" t="s">
        <v>294</v>
      </c>
      <c r="C2287" s="15" t="s">
        <v>315</v>
      </c>
      <c r="D2287" s="15" t="s">
        <v>316</v>
      </c>
      <c r="E2287" s="19">
        <v>148383</v>
      </c>
      <c r="F2287" s="19">
        <v>124968</v>
      </c>
      <c r="G2287" s="20">
        <f t="shared" si="35"/>
        <v>0.45717045117815558</v>
      </c>
      <c r="H2287" s="24" t="s">
        <v>589</v>
      </c>
      <c r="I2287" s="24" t="s">
        <v>560</v>
      </c>
      <c r="J2287" s="24" t="s">
        <v>590</v>
      </c>
      <c r="K2287" s="24" t="s">
        <v>600</v>
      </c>
    </row>
    <row r="2288" spans="1:11">
      <c r="A2288" s="12">
        <v>2019</v>
      </c>
      <c r="B2288" s="15" t="s">
        <v>294</v>
      </c>
      <c r="C2288" s="15" t="s">
        <v>317</v>
      </c>
      <c r="D2288" s="15" t="s">
        <v>318</v>
      </c>
      <c r="E2288" s="19">
        <v>163827</v>
      </c>
      <c r="F2288" s="19">
        <v>158954</v>
      </c>
      <c r="G2288" s="20">
        <f t="shared" si="35"/>
        <v>0.49245153834953109</v>
      </c>
      <c r="H2288" s="24" t="s">
        <v>589</v>
      </c>
      <c r="I2288" s="24" t="s">
        <v>560</v>
      </c>
      <c r="J2288" s="24" t="s">
        <v>590</v>
      </c>
      <c r="K2288" s="24" t="s">
        <v>600</v>
      </c>
    </row>
    <row r="2289" spans="1:11">
      <c r="A2289" s="12">
        <v>2019</v>
      </c>
      <c r="B2289" s="15" t="s">
        <v>294</v>
      </c>
      <c r="C2289" s="15" t="s">
        <v>319</v>
      </c>
      <c r="D2289" s="15" t="s">
        <v>320</v>
      </c>
      <c r="E2289" s="19">
        <v>168140</v>
      </c>
      <c r="F2289" s="19">
        <v>129674</v>
      </c>
      <c r="G2289" s="20">
        <f t="shared" si="35"/>
        <v>0.43541942286124896</v>
      </c>
      <c r="H2289" s="24" t="s">
        <v>589</v>
      </c>
      <c r="I2289" s="24" t="s">
        <v>560</v>
      </c>
      <c r="J2289" s="24" t="s">
        <v>590</v>
      </c>
      <c r="K2289" s="24" t="s">
        <v>600</v>
      </c>
    </row>
    <row r="2290" spans="1:11">
      <c r="A2290" s="12">
        <v>2019</v>
      </c>
      <c r="B2290" s="15" t="s">
        <v>294</v>
      </c>
      <c r="C2290" s="15" t="s">
        <v>321</v>
      </c>
      <c r="D2290" s="15" t="s">
        <v>322</v>
      </c>
      <c r="E2290" s="19">
        <v>219650</v>
      </c>
      <c r="F2290" s="19">
        <v>184663</v>
      </c>
      <c r="G2290" s="20">
        <f t="shared" si="35"/>
        <v>0.45673277881245472</v>
      </c>
      <c r="H2290" s="24" t="s">
        <v>589</v>
      </c>
      <c r="I2290" s="24" t="s">
        <v>560</v>
      </c>
      <c r="J2290" s="24" t="s">
        <v>590</v>
      </c>
      <c r="K2290" s="24" t="s">
        <v>600</v>
      </c>
    </row>
    <row r="2291" spans="1:11">
      <c r="A2291" s="12">
        <v>2019</v>
      </c>
      <c r="B2291" s="15" t="s">
        <v>294</v>
      </c>
      <c r="C2291" s="15" t="s">
        <v>323</v>
      </c>
      <c r="D2291" s="15" t="s">
        <v>324</v>
      </c>
      <c r="E2291" s="19">
        <v>189760</v>
      </c>
      <c r="F2291" s="19">
        <v>83627</v>
      </c>
      <c r="G2291" s="20">
        <f t="shared" si="35"/>
        <v>0.30589237966691907</v>
      </c>
      <c r="H2291" s="24" t="s">
        <v>589</v>
      </c>
      <c r="I2291" s="24" t="s">
        <v>560</v>
      </c>
      <c r="J2291" s="24" t="s">
        <v>590</v>
      </c>
      <c r="K2291" s="24" t="s">
        <v>600</v>
      </c>
    </row>
    <row r="2292" spans="1:11">
      <c r="A2292" s="12">
        <v>2019</v>
      </c>
      <c r="B2292" s="15" t="s">
        <v>325</v>
      </c>
      <c r="C2292" s="15" t="s">
        <v>22</v>
      </c>
      <c r="D2292" s="15" t="s">
        <v>325</v>
      </c>
      <c r="E2292" s="19">
        <v>1928282</v>
      </c>
      <c r="F2292" s="19">
        <v>830100</v>
      </c>
      <c r="G2292" s="20">
        <f t="shared" si="35"/>
        <v>0.30093728859889601</v>
      </c>
      <c r="H2292" s="24" t="s">
        <v>589</v>
      </c>
      <c r="I2292" s="24" t="s">
        <v>560</v>
      </c>
      <c r="J2292" s="24" t="s">
        <v>590</v>
      </c>
      <c r="K2292" s="24" t="s">
        <v>600</v>
      </c>
    </row>
    <row r="2293" spans="1:11">
      <c r="A2293" s="12">
        <v>2019</v>
      </c>
      <c r="B2293" s="15" t="s">
        <v>325</v>
      </c>
      <c r="C2293" s="15" t="s">
        <v>326</v>
      </c>
      <c r="D2293" s="15" t="s">
        <v>327</v>
      </c>
      <c r="E2293" s="19">
        <v>33852</v>
      </c>
      <c r="F2293" s="19">
        <v>33784</v>
      </c>
      <c r="G2293" s="20">
        <f t="shared" si="35"/>
        <v>0.49949730912531787</v>
      </c>
      <c r="H2293" s="24" t="s">
        <v>589</v>
      </c>
      <c r="I2293" s="24" t="s">
        <v>560</v>
      </c>
      <c r="J2293" s="24" t="s">
        <v>590</v>
      </c>
      <c r="K2293" s="24" t="s">
        <v>600</v>
      </c>
    </row>
    <row r="2294" spans="1:11">
      <c r="A2294" s="12">
        <v>2019</v>
      </c>
      <c r="B2294" s="15" t="s">
        <v>325</v>
      </c>
      <c r="C2294" s="15" t="s">
        <v>328</v>
      </c>
      <c r="D2294" s="15" t="s">
        <v>329</v>
      </c>
      <c r="E2294" s="19">
        <v>88416</v>
      </c>
      <c r="F2294" s="19">
        <v>66307</v>
      </c>
      <c r="G2294" s="20">
        <f t="shared" si="35"/>
        <v>0.42855296239085333</v>
      </c>
      <c r="H2294" s="24" t="s">
        <v>589</v>
      </c>
      <c r="I2294" s="24" t="s">
        <v>560</v>
      </c>
      <c r="J2294" s="24" t="s">
        <v>590</v>
      </c>
      <c r="K2294" s="24" t="s">
        <v>600</v>
      </c>
    </row>
    <row r="2295" spans="1:11">
      <c r="A2295" s="12">
        <v>2019</v>
      </c>
      <c r="B2295" s="15" t="s">
        <v>325</v>
      </c>
      <c r="C2295" s="15" t="s">
        <v>330</v>
      </c>
      <c r="D2295" s="15" t="s">
        <v>331</v>
      </c>
      <c r="E2295" s="19">
        <v>42135</v>
      </c>
      <c r="F2295" s="19">
        <v>39130</v>
      </c>
      <c r="G2295" s="20">
        <f t="shared" si="35"/>
        <v>0.48151110564203531</v>
      </c>
      <c r="H2295" s="24" t="s">
        <v>589</v>
      </c>
      <c r="I2295" s="24" t="s">
        <v>560</v>
      </c>
      <c r="J2295" s="24" t="s">
        <v>590</v>
      </c>
      <c r="K2295" s="24" t="s">
        <v>600</v>
      </c>
    </row>
    <row r="2296" spans="1:11">
      <c r="A2296" s="12">
        <v>2019</v>
      </c>
      <c r="B2296" s="15" t="s">
        <v>325</v>
      </c>
      <c r="C2296" s="15" t="s">
        <v>332</v>
      </c>
      <c r="D2296" s="15" t="s">
        <v>333</v>
      </c>
      <c r="E2296" s="19">
        <v>101872</v>
      </c>
      <c r="F2296" s="19">
        <v>69525</v>
      </c>
      <c r="G2296" s="20">
        <f t="shared" si="35"/>
        <v>0.40563720485189358</v>
      </c>
      <c r="H2296" s="24" t="s">
        <v>589</v>
      </c>
      <c r="I2296" s="24" t="s">
        <v>560</v>
      </c>
      <c r="J2296" s="24" t="s">
        <v>590</v>
      </c>
      <c r="K2296" s="24" t="s">
        <v>600</v>
      </c>
    </row>
    <row r="2297" spans="1:11">
      <c r="A2297" s="12">
        <v>2019</v>
      </c>
      <c r="B2297" s="15" t="s">
        <v>325</v>
      </c>
      <c r="C2297" s="15" t="s">
        <v>336</v>
      </c>
      <c r="D2297" s="15" t="s">
        <v>337</v>
      </c>
      <c r="E2297" s="19">
        <v>149411</v>
      </c>
      <c r="F2297" s="19">
        <v>89330</v>
      </c>
      <c r="G2297" s="20">
        <f t="shared" si="35"/>
        <v>0.37417117294473928</v>
      </c>
      <c r="H2297" s="24" t="s">
        <v>589</v>
      </c>
      <c r="I2297" s="24" t="s">
        <v>560</v>
      </c>
      <c r="J2297" s="24" t="s">
        <v>590</v>
      </c>
      <c r="K2297" s="24" t="s">
        <v>600</v>
      </c>
    </row>
    <row r="2298" spans="1:11">
      <c r="A2298" s="12">
        <v>2019</v>
      </c>
      <c r="B2298" s="15" t="s">
        <v>325</v>
      </c>
      <c r="C2298" s="15" t="s">
        <v>338</v>
      </c>
      <c r="D2298" s="15" t="s">
        <v>339</v>
      </c>
      <c r="E2298" s="19">
        <v>87092</v>
      </c>
      <c r="F2298" s="19">
        <v>57738</v>
      </c>
      <c r="G2298" s="20">
        <f t="shared" si="35"/>
        <v>0.39866049851550095</v>
      </c>
      <c r="H2298" s="24" t="s">
        <v>589</v>
      </c>
      <c r="I2298" s="24" t="s">
        <v>560</v>
      </c>
      <c r="J2298" s="24" t="s">
        <v>590</v>
      </c>
      <c r="K2298" s="24" t="s">
        <v>600</v>
      </c>
    </row>
    <row r="2299" spans="1:11">
      <c r="A2299" s="12">
        <v>2019</v>
      </c>
      <c r="B2299" s="15" t="s">
        <v>325</v>
      </c>
      <c r="C2299" s="15" t="s">
        <v>340</v>
      </c>
      <c r="D2299" s="15" t="s">
        <v>341</v>
      </c>
      <c r="E2299" s="19">
        <v>54142</v>
      </c>
      <c r="F2299" s="19">
        <v>49434</v>
      </c>
      <c r="G2299" s="20">
        <f t="shared" si="35"/>
        <v>0.47727272727272729</v>
      </c>
      <c r="H2299" s="24" t="s">
        <v>589</v>
      </c>
      <c r="I2299" s="24" t="s">
        <v>560</v>
      </c>
      <c r="J2299" s="24" t="s">
        <v>590</v>
      </c>
      <c r="K2299" s="24" t="s">
        <v>600</v>
      </c>
    </row>
    <row r="2300" spans="1:11">
      <c r="A2300" s="12">
        <v>2019</v>
      </c>
      <c r="B2300" s="15" t="s">
        <v>325</v>
      </c>
      <c r="C2300" s="15" t="s">
        <v>342</v>
      </c>
      <c r="D2300" s="15" t="s">
        <v>343</v>
      </c>
      <c r="E2300" s="19">
        <v>155318</v>
      </c>
      <c r="F2300" s="19">
        <v>86936</v>
      </c>
      <c r="G2300" s="20">
        <f t="shared" si="35"/>
        <v>0.35886301154986089</v>
      </c>
      <c r="H2300" s="24" t="s">
        <v>589</v>
      </c>
      <c r="I2300" s="24" t="s">
        <v>560</v>
      </c>
      <c r="J2300" s="24" t="s">
        <v>590</v>
      </c>
      <c r="K2300" s="24" t="s">
        <v>600</v>
      </c>
    </row>
    <row r="2301" spans="1:11">
      <c r="A2301" s="12">
        <v>2019</v>
      </c>
      <c r="B2301" s="15" t="s">
        <v>325</v>
      </c>
      <c r="C2301" s="15" t="s">
        <v>344</v>
      </c>
      <c r="D2301" s="15" t="s">
        <v>345</v>
      </c>
      <c r="E2301" s="19">
        <v>44591</v>
      </c>
      <c r="F2301" s="19">
        <v>38206</v>
      </c>
      <c r="G2301" s="20">
        <f t="shared" si="35"/>
        <v>0.46144183968018165</v>
      </c>
      <c r="H2301" s="24" t="s">
        <v>589</v>
      </c>
      <c r="I2301" s="24" t="s">
        <v>560</v>
      </c>
      <c r="J2301" s="24" t="s">
        <v>590</v>
      </c>
      <c r="K2301" s="24" t="s">
        <v>600</v>
      </c>
    </row>
    <row r="2302" spans="1:11">
      <c r="A2302" s="12">
        <v>2019</v>
      </c>
      <c r="B2302" s="15" t="s">
        <v>325</v>
      </c>
      <c r="C2302" s="15" t="s">
        <v>346</v>
      </c>
      <c r="D2302" s="15" t="s">
        <v>347</v>
      </c>
      <c r="E2302" s="19">
        <v>273213</v>
      </c>
      <c r="F2302" s="19">
        <v>200786</v>
      </c>
      <c r="G2302" s="20">
        <f t="shared" si="35"/>
        <v>0.42360004978913457</v>
      </c>
      <c r="H2302" s="24" t="s">
        <v>589</v>
      </c>
      <c r="I2302" s="24" t="s">
        <v>560</v>
      </c>
      <c r="J2302" s="24" t="s">
        <v>590</v>
      </c>
      <c r="K2302" s="24" t="s">
        <v>600</v>
      </c>
    </row>
    <row r="2303" spans="1:11">
      <c r="A2303" s="12">
        <v>2019</v>
      </c>
      <c r="B2303" s="15" t="s">
        <v>325</v>
      </c>
      <c r="C2303" s="15" t="s">
        <v>350</v>
      </c>
      <c r="D2303" s="15" t="s">
        <v>351</v>
      </c>
      <c r="E2303" s="19">
        <v>64540</v>
      </c>
      <c r="F2303" s="19">
        <v>56363</v>
      </c>
      <c r="G2303" s="20">
        <f t="shared" si="35"/>
        <v>0.46618363481468617</v>
      </c>
      <c r="H2303" s="24" t="s">
        <v>589</v>
      </c>
      <c r="I2303" s="24" t="s">
        <v>560</v>
      </c>
      <c r="J2303" s="24" t="s">
        <v>590</v>
      </c>
      <c r="K2303" s="24" t="s">
        <v>600</v>
      </c>
    </row>
    <row r="2304" spans="1:11">
      <c r="A2304" s="12">
        <v>2019</v>
      </c>
      <c r="B2304" s="15" t="s">
        <v>325</v>
      </c>
      <c r="C2304" s="15" t="s">
        <v>354</v>
      </c>
      <c r="D2304" s="15" t="s">
        <v>355</v>
      </c>
      <c r="E2304" s="19">
        <v>208390</v>
      </c>
      <c r="F2304" s="19">
        <v>199063</v>
      </c>
      <c r="G2304" s="20">
        <f t="shared" si="35"/>
        <v>0.48855450812731777</v>
      </c>
      <c r="H2304" s="24" t="s">
        <v>589</v>
      </c>
      <c r="I2304" s="24" t="s">
        <v>560</v>
      </c>
      <c r="J2304" s="24" t="s">
        <v>590</v>
      </c>
      <c r="K2304" s="24" t="s">
        <v>600</v>
      </c>
    </row>
    <row r="2305" spans="1:11">
      <c r="A2305" s="12">
        <v>2019</v>
      </c>
      <c r="B2305" s="15" t="s">
        <v>325</v>
      </c>
      <c r="C2305" s="15" t="s">
        <v>356</v>
      </c>
      <c r="D2305" s="15" t="s">
        <v>357</v>
      </c>
      <c r="E2305" s="19">
        <v>342726</v>
      </c>
      <c r="F2305" s="19">
        <v>256051</v>
      </c>
      <c r="G2305" s="20">
        <f t="shared" si="35"/>
        <v>0.42762330550438643</v>
      </c>
      <c r="H2305" s="24" t="s">
        <v>589</v>
      </c>
      <c r="I2305" s="24" t="s">
        <v>560</v>
      </c>
      <c r="J2305" s="24" t="s">
        <v>590</v>
      </c>
      <c r="K2305" s="24" t="s">
        <v>600</v>
      </c>
    </row>
    <row r="2306" spans="1:11">
      <c r="A2306" s="12">
        <v>2019</v>
      </c>
      <c r="B2306" s="15" t="s">
        <v>325</v>
      </c>
      <c r="C2306" s="15" t="s">
        <v>358</v>
      </c>
      <c r="D2306" s="15" t="s">
        <v>359</v>
      </c>
      <c r="E2306" s="19">
        <v>23251</v>
      </c>
      <c r="F2306" s="19">
        <v>26830</v>
      </c>
      <c r="G2306" s="20">
        <f t="shared" si="35"/>
        <v>0.53573211397535991</v>
      </c>
      <c r="H2306" s="24" t="s">
        <v>589</v>
      </c>
      <c r="I2306" s="24" t="s">
        <v>560</v>
      </c>
      <c r="J2306" s="24" t="s">
        <v>590</v>
      </c>
      <c r="K2306" s="24" t="s">
        <v>600</v>
      </c>
    </row>
    <row r="2307" spans="1:11">
      <c r="A2307" s="12">
        <v>2019</v>
      </c>
      <c r="B2307" s="15" t="s">
        <v>325</v>
      </c>
      <c r="C2307" s="15" t="s">
        <v>360</v>
      </c>
      <c r="D2307" s="15" t="s">
        <v>361</v>
      </c>
      <c r="E2307" s="19">
        <v>51810</v>
      </c>
      <c r="F2307" s="19">
        <v>45665</v>
      </c>
      <c r="G2307" s="20">
        <f t="shared" si="35"/>
        <v>0.46847909720441139</v>
      </c>
      <c r="H2307" s="24" t="s">
        <v>589</v>
      </c>
      <c r="I2307" s="24" t="s">
        <v>560</v>
      </c>
      <c r="J2307" s="24" t="s">
        <v>590</v>
      </c>
      <c r="K2307" s="24" t="s">
        <v>600</v>
      </c>
    </row>
    <row r="2308" spans="1:11">
      <c r="A2308" s="12">
        <v>2019</v>
      </c>
      <c r="B2308" s="15" t="s">
        <v>325</v>
      </c>
      <c r="C2308" s="15" t="s">
        <v>362</v>
      </c>
      <c r="D2308" s="15" t="s">
        <v>363</v>
      </c>
      <c r="E2308" s="19">
        <v>88740</v>
      </c>
      <c r="F2308" s="19">
        <v>57083</v>
      </c>
      <c r="G2308" s="20">
        <f t="shared" si="35"/>
        <v>0.39145402302791743</v>
      </c>
      <c r="H2308" s="24" t="s">
        <v>589</v>
      </c>
      <c r="I2308" s="24" t="s">
        <v>560</v>
      </c>
      <c r="J2308" s="24" t="s">
        <v>590</v>
      </c>
      <c r="K2308" s="24" t="s">
        <v>600</v>
      </c>
    </row>
    <row r="2309" spans="1:11">
      <c r="A2309" s="12">
        <v>2019</v>
      </c>
      <c r="B2309" s="15" t="s">
        <v>364</v>
      </c>
      <c r="C2309" s="15" t="s">
        <v>22</v>
      </c>
      <c r="D2309" s="15" t="s">
        <v>364</v>
      </c>
      <c r="E2309" s="19">
        <v>1678061</v>
      </c>
      <c r="F2309" s="19">
        <v>412199</v>
      </c>
      <c r="G2309" s="20">
        <f t="shared" si="35"/>
        <v>0.19719986987264743</v>
      </c>
      <c r="H2309" s="24" t="s">
        <v>586</v>
      </c>
      <c r="I2309" s="24" t="s">
        <v>587</v>
      </c>
      <c r="J2309" s="24" t="s">
        <v>588</v>
      </c>
      <c r="K2309" s="24" t="s">
        <v>600</v>
      </c>
    </row>
    <row r="2310" spans="1:11">
      <c r="A2310" s="12">
        <v>2019</v>
      </c>
      <c r="B2310" s="15" t="s">
        <v>364</v>
      </c>
      <c r="C2310" s="15" t="s">
        <v>365</v>
      </c>
      <c r="D2310" s="15" t="s">
        <v>366</v>
      </c>
      <c r="E2310" s="19">
        <v>45583</v>
      </c>
      <c r="F2310" s="19">
        <v>38989</v>
      </c>
      <c r="G2310" s="20">
        <f t="shared" ref="G2310:G2373" si="36">IFERROR(F2310/(E2310+F2310),"")</f>
        <v>0.46101546611171546</v>
      </c>
      <c r="H2310" s="24" t="s">
        <v>586</v>
      </c>
      <c r="I2310" s="24" t="s">
        <v>587</v>
      </c>
      <c r="J2310" s="24" t="s">
        <v>588</v>
      </c>
      <c r="K2310" s="24" t="s">
        <v>600</v>
      </c>
    </row>
    <row r="2311" spans="1:11">
      <c r="A2311" s="12">
        <v>2019</v>
      </c>
      <c r="B2311" s="15" t="s">
        <v>364</v>
      </c>
      <c r="C2311" s="15" t="s">
        <v>367</v>
      </c>
      <c r="D2311" s="15" t="s">
        <v>368</v>
      </c>
      <c r="E2311" s="19">
        <v>243962</v>
      </c>
      <c r="F2311" s="19">
        <v>107002</v>
      </c>
      <c r="G2311" s="20">
        <f t="shared" si="36"/>
        <v>0.30488027262055367</v>
      </c>
      <c r="H2311" s="24" t="s">
        <v>586</v>
      </c>
      <c r="I2311" s="24" t="s">
        <v>587</v>
      </c>
      <c r="J2311" s="24" t="s">
        <v>588</v>
      </c>
      <c r="K2311" s="24" t="s">
        <v>600</v>
      </c>
    </row>
    <row r="2312" spans="1:11">
      <c r="A2312" s="12">
        <v>2019</v>
      </c>
      <c r="B2312" s="15" t="s">
        <v>364</v>
      </c>
      <c r="C2312" s="15" t="s">
        <v>369</v>
      </c>
      <c r="D2312" s="15" t="s">
        <v>370</v>
      </c>
      <c r="E2312" s="19">
        <v>66025</v>
      </c>
      <c r="F2312" s="19">
        <v>57802</v>
      </c>
      <c r="G2312" s="20">
        <f t="shared" si="36"/>
        <v>0.46679641758259505</v>
      </c>
      <c r="H2312" s="24" t="s">
        <v>586</v>
      </c>
      <c r="I2312" s="24" t="s">
        <v>587</v>
      </c>
      <c r="J2312" s="24" t="s">
        <v>588</v>
      </c>
      <c r="K2312" s="24" t="s">
        <v>600</v>
      </c>
    </row>
    <row r="2313" spans="1:11">
      <c r="A2313" s="12">
        <v>2019</v>
      </c>
      <c r="B2313" s="15" t="s">
        <v>364</v>
      </c>
      <c r="C2313" s="15" t="s">
        <v>371</v>
      </c>
      <c r="D2313" s="15" t="s">
        <v>372</v>
      </c>
      <c r="E2313" s="19">
        <v>71607</v>
      </c>
      <c r="F2313" s="19">
        <v>43852</v>
      </c>
      <c r="G2313" s="20">
        <f t="shared" si="36"/>
        <v>0.37980581851566358</v>
      </c>
      <c r="H2313" s="24" t="s">
        <v>586</v>
      </c>
      <c r="I2313" s="24" t="s">
        <v>587</v>
      </c>
      <c r="J2313" s="24" t="s">
        <v>588</v>
      </c>
      <c r="K2313" s="24" t="s">
        <v>600</v>
      </c>
    </row>
    <row r="2314" spans="1:11">
      <c r="A2314" s="12">
        <v>2019</v>
      </c>
      <c r="B2314" s="15" t="s">
        <v>364</v>
      </c>
      <c r="C2314" s="15" t="s">
        <v>373</v>
      </c>
      <c r="D2314" s="15" t="s">
        <v>374</v>
      </c>
      <c r="E2314" s="19">
        <v>19496</v>
      </c>
      <c r="F2314" s="19">
        <v>19660</v>
      </c>
      <c r="G2314" s="20">
        <f t="shared" si="36"/>
        <v>0.50209418735315148</v>
      </c>
      <c r="H2314" s="24" t="s">
        <v>586</v>
      </c>
      <c r="I2314" s="24" t="s">
        <v>587</v>
      </c>
      <c r="J2314" s="24" t="s">
        <v>588</v>
      </c>
      <c r="K2314" s="24" t="s">
        <v>600</v>
      </c>
    </row>
    <row r="2315" spans="1:11">
      <c r="A2315" s="12">
        <v>2019</v>
      </c>
      <c r="B2315" s="15" t="s">
        <v>364</v>
      </c>
      <c r="C2315" s="15" t="s">
        <v>375</v>
      </c>
      <c r="D2315" s="15" t="s">
        <v>376</v>
      </c>
      <c r="E2315" s="19">
        <v>44384</v>
      </c>
      <c r="F2315" s="19">
        <v>34688</v>
      </c>
      <c r="G2315" s="20">
        <f t="shared" si="36"/>
        <v>0.43868878996357752</v>
      </c>
      <c r="H2315" s="24" t="s">
        <v>586</v>
      </c>
      <c r="I2315" s="24" t="s">
        <v>587</v>
      </c>
      <c r="J2315" s="24" t="s">
        <v>588</v>
      </c>
      <c r="K2315" s="24" t="s">
        <v>600</v>
      </c>
    </row>
    <row r="2316" spans="1:11">
      <c r="A2316" s="12">
        <v>2019</v>
      </c>
      <c r="B2316" s="15" t="s">
        <v>364</v>
      </c>
      <c r="C2316" s="15" t="s">
        <v>377</v>
      </c>
      <c r="D2316" s="15" t="s">
        <v>378</v>
      </c>
      <c r="E2316" s="19">
        <v>21324</v>
      </c>
      <c r="F2316" s="19">
        <v>23193</v>
      </c>
      <c r="G2316" s="20">
        <f t="shared" si="36"/>
        <v>0.52099198059168406</v>
      </c>
      <c r="H2316" s="24" t="s">
        <v>586</v>
      </c>
      <c r="I2316" s="24" t="s">
        <v>587</v>
      </c>
      <c r="J2316" s="24" t="s">
        <v>588</v>
      </c>
      <c r="K2316" s="24" t="s">
        <v>600</v>
      </c>
    </row>
    <row r="2317" spans="1:11">
      <c r="A2317" s="12">
        <v>2019</v>
      </c>
      <c r="B2317" s="15" t="s">
        <v>364</v>
      </c>
      <c r="C2317" s="15" t="s">
        <v>379</v>
      </c>
      <c r="D2317" s="15" t="s">
        <v>380</v>
      </c>
      <c r="E2317" s="19">
        <v>62212</v>
      </c>
      <c r="F2317" s="19">
        <v>80333</v>
      </c>
      <c r="G2317" s="20">
        <f t="shared" si="36"/>
        <v>0.56356238380862189</v>
      </c>
      <c r="H2317" s="24" t="s">
        <v>586</v>
      </c>
      <c r="I2317" s="24" t="s">
        <v>587</v>
      </c>
      <c r="J2317" s="24" t="s">
        <v>588</v>
      </c>
      <c r="K2317" s="24" t="s">
        <v>600</v>
      </c>
    </row>
    <row r="2318" spans="1:11">
      <c r="A2318" s="12">
        <v>2019</v>
      </c>
      <c r="B2318" s="15" t="s">
        <v>364</v>
      </c>
      <c r="C2318" s="15" t="s">
        <v>381</v>
      </c>
      <c r="D2318" s="15" t="s">
        <v>382</v>
      </c>
      <c r="E2318" s="19">
        <v>256862</v>
      </c>
      <c r="F2318" s="19">
        <v>103802</v>
      </c>
      <c r="G2318" s="20">
        <f t="shared" si="36"/>
        <v>0.28780804294301621</v>
      </c>
      <c r="H2318" s="24" t="s">
        <v>586</v>
      </c>
      <c r="I2318" s="24" t="s">
        <v>587</v>
      </c>
      <c r="J2318" s="24" t="s">
        <v>588</v>
      </c>
      <c r="K2318" s="24" t="s">
        <v>600</v>
      </c>
    </row>
    <row r="2319" spans="1:11">
      <c r="A2319" s="12">
        <v>2019</v>
      </c>
      <c r="B2319" s="15" t="s">
        <v>364</v>
      </c>
      <c r="C2319" s="15" t="s">
        <v>383</v>
      </c>
      <c r="D2319" s="15" t="s">
        <v>384</v>
      </c>
      <c r="E2319" s="19">
        <v>19956</v>
      </c>
      <c r="F2319" s="19">
        <v>24826</v>
      </c>
      <c r="G2319" s="20">
        <f t="shared" si="36"/>
        <v>0.55437452547898713</v>
      </c>
      <c r="H2319" s="24" t="s">
        <v>586</v>
      </c>
      <c r="I2319" s="24" t="s">
        <v>587</v>
      </c>
      <c r="J2319" s="24" t="s">
        <v>588</v>
      </c>
      <c r="K2319" s="24" t="s">
        <v>600</v>
      </c>
    </row>
    <row r="2320" spans="1:11">
      <c r="A2320" s="12">
        <v>2019</v>
      </c>
      <c r="B2320" s="15" t="s">
        <v>364</v>
      </c>
      <c r="C2320" s="15" t="s">
        <v>385</v>
      </c>
      <c r="D2320" s="15" t="s">
        <v>386</v>
      </c>
      <c r="E2320" s="19">
        <v>16457</v>
      </c>
      <c r="F2320" s="19">
        <v>19390</v>
      </c>
      <c r="G2320" s="20">
        <f t="shared" si="36"/>
        <v>0.54090997851982037</v>
      </c>
      <c r="H2320" s="24" t="s">
        <v>586</v>
      </c>
      <c r="I2320" s="24" t="s">
        <v>587</v>
      </c>
      <c r="J2320" s="24" t="s">
        <v>588</v>
      </c>
      <c r="K2320" s="24" t="s">
        <v>600</v>
      </c>
    </row>
    <row r="2321" spans="1:11">
      <c r="A2321" s="12">
        <v>2019</v>
      </c>
      <c r="B2321" s="15" t="s">
        <v>364</v>
      </c>
      <c r="C2321" s="15" t="s">
        <v>387</v>
      </c>
      <c r="D2321" s="15" t="s">
        <v>388</v>
      </c>
      <c r="E2321" s="19">
        <v>270667</v>
      </c>
      <c r="F2321" s="19">
        <v>205622</v>
      </c>
      <c r="G2321" s="20">
        <f t="shared" si="36"/>
        <v>0.43171687777798773</v>
      </c>
      <c r="H2321" s="24" t="s">
        <v>586</v>
      </c>
      <c r="I2321" s="24" t="s">
        <v>587</v>
      </c>
      <c r="J2321" s="24" t="s">
        <v>588</v>
      </c>
      <c r="K2321" s="24" t="s">
        <v>600</v>
      </c>
    </row>
    <row r="2322" spans="1:11">
      <c r="A2322" s="12">
        <v>2019</v>
      </c>
      <c r="B2322" s="15" t="s">
        <v>364</v>
      </c>
      <c r="C2322" s="15" t="s">
        <v>389</v>
      </c>
      <c r="D2322" s="15" t="s">
        <v>390</v>
      </c>
      <c r="E2322" s="19">
        <v>298001</v>
      </c>
      <c r="F2322" s="19">
        <v>187933</v>
      </c>
      <c r="G2322" s="20">
        <f t="shared" si="36"/>
        <v>0.38674593669099094</v>
      </c>
      <c r="H2322" s="24" t="s">
        <v>586</v>
      </c>
      <c r="I2322" s="24" t="s">
        <v>587</v>
      </c>
      <c r="J2322" s="24" t="s">
        <v>588</v>
      </c>
      <c r="K2322" s="24" t="s">
        <v>600</v>
      </c>
    </row>
    <row r="2323" spans="1:11">
      <c r="A2323" s="12">
        <v>2019</v>
      </c>
      <c r="B2323" s="15" t="s">
        <v>364</v>
      </c>
      <c r="C2323" s="15" t="s">
        <v>391</v>
      </c>
      <c r="D2323" s="15" t="s">
        <v>392</v>
      </c>
      <c r="E2323" s="19">
        <v>95780</v>
      </c>
      <c r="F2323" s="19">
        <v>62075</v>
      </c>
      <c r="G2323" s="20">
        <f t="shared" si="36"/>
        <v>0.39324063222577682</v>
      </c>
      <c r="H2323" s="24" t="s">
        <v>586</v>
      </c>
      <c r="I2323" s="24" t="s">
        <v>587</v>
      </c>
      <c r="J2323" s="24" t="s">
        <v>588</v>
      </c>
      <c r="K2323" s="24" t="s">
        <v>600</v>
      </c>
    </row>
    <row r="2324" spans="1:11">
      <c r="A2324" s="12">
        <v>2019</v>
      </c>
      <c r="B2324" s="15" t="s">
        <v>364</v>
      </c>
      <c r="C2324" s="15" t="s">
        <v>393</v>
      </c>
      <c r="D2324" s="15" t="s">
        <v>394</v>
      </c>
      <c r="E2324" s="19">
        <v>18281</v>
      </c>
      <c r="F2324" s="19">
        <v>21473</v>
      </c>
      <c r="G2324" s="20">
        <f t="shared" si="36"/>
        <v>0.54014690345625593</v>
      </c>
      <c r="H2324" s="24" t="s">
        <v>586</v>
      </c>
      <c r="I2324" s="24" t="s">
        <v>587</v>
      </c>
      <c r="J2324" s="24" t="s">
        <v>588</v>
      </c>
      <c r="K2324" s="24" t="s">
        <v>600</v>
      </c>
    </row>
    <row r="2325" spans="1:11">
      <c r="A2325" s="12">
        <v>2019</v>
      </c>
      <c r="B2325" s="15" t="s">
        <v>395</v>
      </c>
      <c r="C2325" s="15" t="s">
        <v>22</v>
      </c>
      <c r="D2325" s="15" t="s">
        <v>395</v>
      </c>
      <c r="E2325" s="19">
        <v>1649485</v>
      </c>
      <c r="F2325" s="19">
        <v>782058</v>
      </c>
      <c r="G2325" s="20">
        <f t="shared" si="36"/>
        <v>0.32163033925371665</v>
      </c>
      <c r="H2325" s="24" t="s">
        <v>586</v>
      </c>
      <c r="I2325" s="24" t="s">
        <v>587</v>
      </c>
      <c r="J2325" s="24" t="s">
        <v>588</v>
      </c>
      <c r="K2325" s="24" t="s">
        <v>600</v>
      </c>
    </row>
    <row r="2326" spans="1:11">
      <c r="A2326" s="12">
        <v>2019</v>
      </c>
      <c r="B2326" s="15" t="s">
        <v>395</v>
      </c>
      <c r="C2326" s="15" t="s">
        <v>396</v>
      </c>
      <c r="D2326" s="15" t="s">
        <v>397</v>
      </c>
      <c r="E2326" s="19">
        <v>28679</v>
      </c>
      <c r="F2326" s="19">
        <v>25310</v>
      </c>
      <c r="G2326" s="20">
        <f t="shared" si="36"/>
        <v>0.46879919983700385</v>
      </c>
      <c r="H2326" s="24" t="s">
        <v>586</v>
      </c>
      <c r="I2326" s="24" t="s">
        <v>587</v>
      </c>
      <c r="J2326" s="24" t="s">
        <v>588</v>
      </c>
      <c r="K2326" s="24" t="s">
        <v>600</v>
      </c>
    </row>
    <row r="2327" spans="1:11">
      <c r="A2327" s="12">
        <v>2019</v>
      </c>
      <c r="B2327" s="15" t="s">
        <v>395</v>
      </c>
      <c r="C2327" s="15" t="s">
        <v>398</v>
      </c>
      <c r="D2327" s="15" t="s">
        <v>399</v>
      </c>
      <c r="E2327" s="19">
        <v>53477</v>
      </c>
      <c r="F2327" s="19">
        <v>45654</v>
      </c>
      <c r="G2327" s="20">
        <f t="shared" si="36"/>
        <v>0.46054211094410424</v>
      </c>
      <c r="H2327" s="24" t="s">
        <v>586</v>
      </c>
      <c r="I2327" s="24" t="s">
        <v>587</v>
      </c>
      <c r="J2327" s="24" t="s">
        <v>588</v>
      </c>
      <c r="K2327" s="24" t="s">
        <v>600</v>
      </c>
    </row>
    <row r="2328" spans="1:11">
      <c r="A2328" s="12">
        <v>2019</v>
      </c>
      <c r="B2328" s="15" t="s">
        <v>395</v>
      </c>
      <c r="C2328" s="15" t="s">
        <v>400</v>
      </c>
      <c r="D2328" s="15" t="s">
        <v>401</v>
      </c>
      <c r="E2328" s="19">
        <v>21393</v>
      </c>
      <c r="F2328" s="19">
        <v>24250</v>
      </c>
      <c r="G2328" s="20">
        <f t="shared" si="36"/>
        <v>0.53129724163617642</v>
      </c>
      <c r="H2328" s="24" t="s">
        <v>586</v>
      </c>
      <c r="I2328" s="24" t="s">
        <v>587</v>
      </c>
      <c r="J2328" s="24" t="s">
        <v>588</v>
      </c>
      <c r="K2328" s="24" t="s">
        <v>600</v>
      </c>
    </row>
    <row r="2329" spans="1:11">
      <c r="A2329" s="12">
        <v>2019</v>
      </c>
      <c r="B2329" s="15" t="s">
        <v>395</v>
      </c>
      <c r="C2329" s="15" t="s">
        <v>402</v>
      </c>
      <c r="D2329" s="15" t="s">
        <v>403</v>
      </c>
      <c r="E2329" s="19">
        <v>127596</v>
      </c>
      <c r="F2329" s="19">
        <v>100260</v>
      </c>
      <c r="G2329" s="20">
        <f t="shared" si="36"/>
        <v>0.4400147461554666</v>
      </c>
      <c r="H2329" s="24" t="s">
        <v>586</v>
      </c>
      <c r="I2329" s="24" t="s">
        <v>587</v>
      </c>
      <c r="J2329" s="24" t="s">
        <v>588</v>
      </c>
      <c r="K2329" s="24" t="s">
        <v>600</v>
      </c>
    </row>
    <row r="2330" spans="1:11">
      <c r="A2330" s="12">
        <v>2019</v>
      </c>
      <c r="B2330" s="15" t="s">
        <v>395</v>
      </c>
      <c r="C2330" s="15" t="s">
        <v>404</v>
      </c>
      <c r="D2330" s="15" t="s">
        <v>405</v>
      </c>
      <c r="E2330" s="19">
        <v>20255</v>
      </c>
      <c r="F2330" s="19">
        <v>21109</v>
      </c>
      <c r="G2330" s="20">
        <f t="shared" si="36"/>
        <v>0.51032298617155014</v>
      </c>
      <c r="H2330" s="24" t="s">
        <v>586</v>
      </c>
      <c r="I2330" s="24" t="s">
        <v>587</v>
      </c>
      <c r="J2330" s="24" t="s">
        <v>588</v>
      </c>
      <c r="K2330" s="24" t="s">
        <v>600</v>
      </c>
    </row>
    <row r="2331" spans="1:11">
      <c r="A2331" s="12">
        <v>2019</v>
      </c>
      <c r="B2331" s="15" t="s">
        <v>395</v>
      </c>
      <c r="C2331" s="15" t="s">
        <v>406</v>
      </c>
      <c r="D2331" s="15" t="s">
        <v>407</v>
      </c>
      <c r="E2331" s="19">
        <v>90721</v>
      </c>
      <c r="F2331" s="19">
        <v>82286</v>
      </c>
      <c r="G2331" s="20">
        <f t="shared" si="36"/>
        <v>0.47562237366118132</v>
      </c>
      <c r="H2331" s="24" t="s">
        <v>586</v>
      </c>
      <c r="I2331" s="24" t="s">
        <v>587</v>
      </c>
      <c r="J2331" s="24" t="s">
        <v>588</v>
      </c>
      <c r="K2331" s="24" t="s">
        <v>600</v>
      </c>
    </row>
    <row r="2332" spans="1:11">
      <c r="A2332" s="12">
        <v>2019</v>
      </c>
      <c r="B2332" s="15" t="s">
        <v>395</v>
      </c>
      <c r="C2332" s="15" t="s">
        <v>408</v>
      </c>
      <c r="D2332" s="15" t="s">
        <v>409</v>
      </c>
      <c r="E2332" s="19">
        <v>31479</v>
      </c>
      <c r="F2332" s="19">
        <v>38149</v>
      </c>
      <c r="G2332" s="20">
        <f t="shared" si="36"/>
        <v>0.54789739759866718</v>
      </c>
      <c r="H2332" s="24" t="s">
        <v>586</v>
      </c>
      <c r="I2332" s="24" t="s">
        <v>587</v>
      </c>
      <c r="J2332" s="24" t="s">
        <v>588</v>
      </c>
      <c r="K2332" s="24" t="s">
        <v>600</v>
      </c>
    </row>
    <row r="2333" spans="1:11">
      <c r="A2333" s="12">
        <v>2019</v>
      </c>
      <c r="B2333" s="15" t="s">
        <v>395</v>
      </c>
      <c r="C2333" s="15" t="s">
        <v>410</v>
      </c>
      <c r="D2333" s="15" t="s">
        <v>411</v>
      </c>
      <c r="E2333" s="19">
        <v>205759</v>
      </c>
      <c r="F2333" s="19">
        <v>103657</v>
      </c>
      <c r="G2333" s="20">
        <f t="shared" si="36"/>
        <v>0.33500853220260102</v>
      </c>
      <c r="H2333" s="24" t="s">
        <v>586</v>
      </c>
      <c r="I2333" s="24" t="s">
        <v>587</v>
      </c>
      <c r="J2333" s="24" t="s">
        <v>588</v>
      </c>
      <c r="K2333" s="24" t="s">
        <v>600</v>
      </c>
    </row>
    <row r="2334" spans="1:11">
      <c r="A2334" s="12">
        <v>2019</v>
      </c>
      <c r="B2334" s="15" t="s">
        <v>395</v>
      </c>
      <c r="C2334" s="15" t="s">
        <v>412</v>
      </c>
      <c r="D2334" s="15" t="s">
        <v>413</v>
      </c>
      <c r="E2334" s="19">
        <v>63141</v>
      </c>
      <c r="F2334" s="19">
        <v>65385</v>
      </c>
      <c r="G2334" s="20">
        <f t="shared" si="36"/>
        <v>0.50872975117874986</v>
      </c>
      <c r="H2334" s="24" t="s">
        <v>586</v>
      </c>
      <c r="I2334" s="24" t="s">
        <v>587</v>
      </c>
      <c r="J2334" s="24" t="s">
        <v>588</v>
      </c>
      <c r="K2334" s="24" t="s">
        <v>600</v>
      </c>
    </row>
    <row r="2335" spans="1:11">
      <c r="A2335" s="12">
        <v>2019</v>
      </c>
      <c r="B2335" s="15" t="s">
        <v>395</v>
      </c>
      <c r="C2335" s="15" t="s">
        <v>414</v>
      </c>
      <c r="D2335" s="15" t="s">
        <v>415</v>
      </c>
      <c r="E2335" s="19">
        <v>31574</v>
      </c>
      <c r="F2335" s="19">
        <v>32213</v>
      </c>
      <c r="G2335" s="20">
        <f t="shared" si="36"/>
        <v>0.50500885760421399</v>
      </c>
      <c r="H2335" s="24" t="s">
        <v>586</v>
      </c>
      <c r="I2335" s="24" t="s">
        <v>587</v>
      </c>
      <c r="J2335" s="24" t="s">
        <v>588</v>
      </c>
      <c r="K2335" s="24" t="s">
        <v>600</v>
      </c>
    </row>
    <row r="2336" spans="1:11">
      <c r="A2336" s="12">
        <v>2019</v>
      </c>
      <c r="B2336" s="15" t="s">
        <v>395</v>
      </c>
      <c r="C2336" s="15" t="s">
        <v>416</v>
      </c>
      <c r="D2336" s="15" t="s">
        <v>417</v>
      </c>
      <c r="E2336" s="19">
        <v>251109</v>
      </c>
      <c r="F2336" s="19">
        <v>108144</v>
      </c>
      <c r="G2336" s="20">
        <f t="shared" si="36"/>
        <v>0.30102462609915576</v>
      </c>
      <c r="H2336" s="24" t="s">
        <v>586</v>
      </c>
      <c r="I2336" s="24" t="s">
        <v>587</v>
      </c>
      <c r="J2336" s="24" t="s">
        <v>588</v>
      </c>
      <c r="K2336" s="24" t="s">
        <v>600</v>
      </c>
    </row>
    <row r="2337" spans="1:11">
      <c r="A2337" s="12">
        <v>2019</v>
      </c>
      <c r="B2337" s="15" t="s">
        <v>395</v>
      </c>
      <c r="C2337" s="15" t="s">
        <v>418</v>
      </c>
      <c r="D2337" s="15" t="s">
        <v>419</v>
      </c>
      <c r="E2337" s="19">
        <v>25372</v>
      </c>
      <c r="F2337" s="19">
        <v>36260</v>
      </c>
      <c r="G2337" s="20">
        <f t="shared" si="36"/>
        <v>0.58833073727933538</v>
      </c>
      <c r="H2337" s="24" t="s">
        <v>586</v>
      </c>
      <c r="I2337" s="24" t="s">
        <v>587</v>
      </c>
      <c r="J2337" s="24" t="s">
        <v>588</v>
      </c>
      <c r="K2337" s="24" t="s">
        <v>600</v>
      </c>
    </row>
    <row r="2338" spans="1:11">
      <c r="A2338" s="12">
        <v>2019</v>
      </c>
      <c r="B2338" s="15" t="s">
        <v>395</v>
      </c>
      <c r="C2338" s="15" t="s">
        <v>420</v>
      </c>
      <c r="D2338" s="15" t="s">
        <v>421</v>
      </c>
      <c r="E2338" s="19">
        <v>253868</v>
      </c>
      <c r="F2338" s="19">
        <v>114000</v>
      </c>
      <c r="G2338" s="20">
        <f t="shared" si="36"/>
        <v>0.30989376624223908</v>
      </c>
      <c r="H2338" s="24" t="s">
        <v>586</v>
      </c>
      <c r="I2338" s="24" t="s">
        <v>587</v>
      </c>
      <c r="J2338" s="24" t="s">
        <v>588</v>
      </c>
      <c r="K2338" s="24" t="s">
        <v>600</v>
      </c>
    </row>
    <row r="2339" spans="1:11">
      <c r="A2339" s="12">
        <v>2019</v>
      </c>
      <c r="B2339" s="15" t="s">
        <v>395</v>
      </c>
      <c r="C2339" s="15" t="s">
        <v>422</v>
      </c>
      <c r="D2339" s="15" t="s">
        <v>423</v>
      </c>
      <c r="E2339" s="19">
        <v>44172</v>
      </c>
      <c r="F2339" s="19">
        <v>34570</v>
      </c>
      <c r="G2339" s="20">
        <f t="shared" si="36"/>
        <v>0.43902872672779458</v>
      </c>
      <c r="H2339" s="24" t="s">
        <v>586</v>
      </c>
      <c r="I2339" s="24" t="s">
        <v>587</v>
      </c>
      <c r="J2339" s="24" t="s">
        <v>588</v>
      </c>
      <c r="K2339" s="24" t="s">
        <v>600</v>
      </c>
    </row>
    <row r="2340" spans="1:11">
      <c r="A2340" s="12">
        <v>2019</v>
      </c>
      <c r="B2340" s="15" t="s">
        <v>395</v>
      </c>
      <c r="C2340" s="15" t="s">
        <v>424</v>
      </c>
      <c r="D2340" s="15" t="s">
        <v>425</v>
      </c>
      <c r="E2340" s="19">
        <v>40300</v>
      </c>
      <c r="F2340" s="19">
        <v>49521</v>
      </c>
      <c r="G2340" s="20">
        <f t="shared" si="36"/>
        <v>0.55132986718028076</v>
      </c>
      <c r="H2340" s="24" t="s">
        <v>586</v>
      </c>
      <c r="I2340" s="24" t="s">
        <v>587</v>
      </c>
      <c r="J2340" s="24" t="s">
        <v>588</v>
      </c>
      <c r="K2340" s="24" t="s">
        <v>600</v>
      </c>
    </row>
    <row r="2341" spans="1:11">
      <c r="A2341" s="12">
        <v>2019</v>
      </c>
      <c r="B2341" s="15" t="s">
        <v>395</v>
      </c>
      <c r="C2341" s="15" t="s">
        <v>426</v>
      </c>
      <c r="D2341" s="15" t="s">
        <v>427</v>
      </c>
      <c r="E2341" s="19">
        <v>41614</v>
      </c>
      <c r="F2341" s="19">
        <v>42019</v>
      </c>
      <c r="G2341" s="20">
        <f t="shared" si="36"/>
        <v>0.50242129303026317</v>
      </c>
      <c r="H2341" s="24" t="s">
        <v>586</v>
      </c>
      <c r="I2341" s="24" t="s">
        <v>587</v>
      </c>
      <c r="J2341" s="24" t="s">
        <v>588</v>
      </c>
      <c r="K2341" s="24" t="s">
        <v>600</v>
      </c>
    </row>
    <row r="2342" spans="1:11">
      <c r="A2342" s="12">
        <v>2019</v>
      </c>
      <c r="B2342" s="15" t="s">
        <v>395</v>
      </c>
      <c r="C2342" s="15" t="s">
        <v>428</v>
      </c>
      <c r="D2342" s="15" t="s">
        <v>429</v>
      </c>
      <c r="E2342" s="19">
        <v>30252</v>
      </c>
      <c r="F2342" s="19">
        <v>38498</v>
      </c>
      <c r="G2342" s="20">
        <f t="shared" si="36"/>
        <v>0.55997090909090907</v>
      </c>
      <c r="H2342" s="24" t="s">
        <v>586</v>
      </c>
      <c r="I2342" s="24" t="s">
        <v>587</v>
      </c>
      <c r="J2342" s="24" t="s">
        <v>588</v>
      </c>
      <c r="K2342" s="24" t="s">
        <v>600</v>
      </c>
    </row>
    <row r="2343" spans="1:11">
      <c r="A2343" s="12">
        <v>2019</v>
      </c>
      <c r="B2343" s="15" t="s">
        <v>395</v>
      </c>
      <c r="C2343" s="15" t="s">
        <v>430</v>
      </c>
      <c r="D2343" s="15" t="s">
        <v>431</v>
      </c>
      <c r="E2343" s="19">
        <v>31408</v>
      </c>
      <c r="F2343" s="19">
        <v>28053</v>
      </c>
      <c r="G2343" s="20">
        <f t="shared" si="36"/>
        <v>0.47178823094128924</v>
      </c>
      <c r="H2343" s="24" t="s">
        <v>586</v>
      </c>
      <c r="I2343" s="24" t="s">
        <v>587</v>
      </c>
      <c r="J2343" s="24" t="s">
        <v>588</v>
      </c>
      <c r="K2343" s="24" t="s">
        <v>600</v>
      </c>
    </row>
    <row r="2344" spans="1:11">
      <c r="A2344" s="12">
        <v>2019</v>
      </c>
      <c r="B2344" s="15" t="s">
        <v>395</v>
      </c>
      <c r="C2344" s="15" t="s">
        <v>432</v>
      </c>
      <c r="D2344" s="15" t="s">
        <v>433</v>
      </c>
      <c r="E2344" s="19">
        <v>24281</v>
      </c>
      <c r="F2344" s="19">
        <v>25188</v>
      </c>
      <c r="G2344" s="20">
        <f t="shared" si="36"/>
        <v>0.5091673573348966</v>
      </c>
      <c r="H2344" s="24" t="s">
        <v>586</v>
      </c>
      <c r="I2344" s="24" t="s">
        <v>587</v>
      </c>
      <c r="J2344" s="24" t="s">
        <v>588</v>
      </c>
      <c r="K2344" s="24" t="s">
        <v>600</v>
      </c>
    </row>
    <row r="2345" spans="1:11">
      <c r="A2345" s="12">
        <v>2019</v>
      </c>
      <c r="B2345" s="15" t="s">
        <v>395</v>
      </c>
      <c r="C2345" s="15" t="s">
        <v>434</v>
      </c>
      <c r="D2345" s="15" t="s">
        <v>435</v>
      </c>
      <c r="E2345" s="19">
        <v>23608</v>
      </c>
      <c r="F2345" s="19">
        <v>28376</v>
      </c>
      <c r="G2345" s="20">
        <f t="shared" si="36"/>
        <v>0.5458602646968298</v>
      </c>
      <c r="H2345" s="24" t="s">
        <v>586</v>
      </c>
      <c r="I2345" s="24" t="s">
        <v>587</v>
      </c>
      <c r="J2345" s="24" t="s">
        <v>588</v>
      </c>
      <c r="K2345" s="24" t="s">
        <v>600</v>
      </c>
    </row>
    <row r="2346" spans="1:11">
      <c r="A2346" s="12">
        <v>2019</v>
      </c>
      <c r="B2346" s="15" t="s">
        <v>395</v>
      </c>
      <c r="C2346" s="15" t="s">
        <v>436</v>
      </c>
      <c r="D2346" s="15" t="s">
        <v>437</v>
      </c>
      <c r="E2346" s="19">
        <v>58504</v>
      </c>
      <c r="F2346" s="19">
        <v>44961</v>
      </c>
      <c r="G2346" s="20">
        <f t="shared" si="36"/>
        <v>0.43455274730585219</v>
      </c>
      <c r="H2346" s="24" t="s">
        <v>586</v>
      </c>
      <c r="I2346" s="24" t="s">
        <v>587</v>
      </c>
      <c r="J2346" s="24" t="s">
        <v>588</v>
      </c>
      <c r="K2346" s="24" t="s">
        <v>600</v>
      </c>
    </row>
    <row r="2347" spans="1:11">
      <c r="A2347" s="12">
        <v>2019</v>
      </c>
      <c r="B2347" s="15" t="s">
        <v>395</v>
      </c>
      <c r="C2347" s="15" t="s">
        <v>438</v>
      </c>
      <c r="D2347" s="15" t="s">
        <v>439</v>
      </c>
      <c r="E2347" s="19">
        <v>49700</v>
      </c>
      <c r="F2347" s="19">
        <v>43020</v>
      </c>
      <c r="G2347" s="20">
        <f t="shared" si="36"/>
        <v>0.46397756686798963</v>
      </c>
      <c r="H2347" s="24" t="s">
        <v>586</v>
      </c>
      <c r="I2347" s="24" t="s">
        <v>587</v>
      </c>
      <c r="J2347" s="24" t="s">
        <v>588</v>
      </c>
      <c r="K2347" s="24" t="s">
        <v>600</v>
      </c>
    </row>
    <row r="2348" spans="1:11">
      <c r="A2348" s="12">
        <v>2019</v>
      </c>
      <c r="B2348" s="15" t="s">
        <v>440</v>
      </c>
      <c r="C2348" s="15" t="s">
        <v>22</v>
      </c>
      <c r="D2348" s="15" t="s">
        <v>440</v>
      </c>
      <c r="E2348" s="19">
        <v>2365396</v>
      </c>
      <c r="F2348" s="19">
        <v>1071937</v>
      </c>
      <c r="G2348" s="20">
        <f t="shared" si="36"/>
        <v>0.31185136848830181</v>
      </c>
      <c r="H2348" s="24" t="s">
        <v>583</v>
      </c>
      <c r="I2348" s="24" t="s">
        <v>584</v>
      </c>
      <c r="J2348" s="24" t="s">
        <v>585</v>
      </c>
      <c r="K2348" s="24" t="s">
        <v>600</v>
      </c>
    </row>
    <row r="2349" spans="1:11">
      <c r="A2349" s="12">
        <v>2019</v>
      </c>
      <c r="B2349" s="15" t="s">
        <v>440</v>
      </c>
      <c r="C2349" s="15" t="s">
        <v>441</v>
      </c>
      <c r="D2349" s="15" t="s">
        <v>442</v>
      </c>
      <c r="E2349" s="19">
        <v>222017</v>
      </c>
      <c r="F2349" s="19">
        <v>171617</v>
      </c>
      <c r="G2349" s="20">
        <f t="shared" si="36"/>
        <v>0.43598113984056253</v>
      </c>
      <c r="H2349" s="24" t="s">
        <v>583</v>
      </c>
      <c r="I2349" s="24" t="s">
        <v>569</v>
      </c>
      <c r="J2349" s="24" t="s">
        <v>593</v>
      </c>
      <c r="K2349" s="24" t="s">
        <v>600</v>
      </c>
    </row>
    <row r="2350" spans="1:11">
      <c r="A2350" s="12">
        <v>2019</v>
      </c>
      <c r="B2350" s="15" t="s">
        <v>440</v>
      </c>
      <c r="C2350" s="15" t="s">
        <v>443</v>
      </c>
      <c r="D2350" s="15" t="s">
        <v>444</v>
      </c>
      <c r="E2350" s="19">
        <v>218667</v>
      </c>
      <c r="F2350" s="19">
        <v>127184</v>
      </c>
      <c r="G2350" s="20">
        <f t="shared" si="36"/>
        <v>0.36774217798994363</v>
      </c>
      <c r="H2350" s="24" t="s">
        <v>583</v>
      </c>
      <c r="I2350" s="24" t="s">
        <v>584</v>
      </c>
      <c r="J2350" s="24" t="s">
        <v>585</v>
      </c>
      <c r="K2350" s="24" t="s">
        <v>600</v>
      </c>
    </row>
    <row r="2351" spans="1:11">
      <c r="A2351" s="12">
        <v>2019</v>
      </c>
      <c r="B2351" s="15" t="s">
        <v>440</v>
      </c>
      <c r="C2351" s="15" t="s">
        <v>445</v>
      </c>
      <c r="D2351" s="15" t="s">
        <v>446</v>
      </c>
      <c r="E2351" s="19">
        <v>22789</v>
      </c>
      <c r="F2351" s="19">
        <v>27766</v>
      </c>
      <c r="G2351" s="20">
        <f t="shared" si="36"/>
        <v>0.54922361784195428</v>
      </c>
      <c r="H2351" s="24" t="s">
        <v>583</v>
      </c>
      <c r="I2351" s="24" t="s">
        <v>569</v>
      </c>
      <c r="J2351" s="24" t="s">
        <v>593</v>
      </c>
      <c r="K2351" s="24" t="s">
        <v>600</v>
      </c>
    </row>
    <row r="2352" spans="1:11">
      <c r="A2352" s="12">
        <v>2019</v>
      </c>
      <c r="B2352" s="15" t="s">
        <v>440</v>
      </c>
      <c r="C2352" s="15" t="s">
        <v>447</v>
      </c>
      <c r="D2352" s="15" t="s">
        <v>448</v>
      </c>
      <c r="E2352" s="19">
        <v>375113</v>
      </c>
      <c r="F2352" s="19">
        <v>160003</v>
      </c>
      <c r="G2352" s="20">
        <f t="shared" si="36"/>
        <v>0.29900619678723867</v>
      </c>
      <c r="H2352" s="24" t="s">
        <v>583</v>
      </c>
      <c r="I2352" s="24" t="s">
        <v>569</v>
      </c>
      <c r="J2352" s="24" t="s">
        <v>593</v>
      </c>
      <c r="K2352" s="24" t="s">
        <v>600</v>
      </c>
    </row>
    <row r="2353" spans="1:11">
      <c r="A2353" s="12">
        <v>2019</v>
      </c>
      <c r="B2353" s="15" t="s">
        <v>440</v>
      </c>
      <c r="C2353" s="15" t="s">
        <v>105</v>
      </c>
      <c r="D2353" s="15" t="s">
        <v>449</v>
      </c>
      <c r="E2353" s="19">
        <v>16040</v>
      </c>
      <c r="F2353" s="19">
        <v>20547</v>
      </c>
      <c r="G2353" s="20">
        <f t="shared" si="36"/>
        <v>0.56159291551644031</v>
      </c>
      <c r="H2353" s="24" t="s">
        <v>583</v>
      </c>
      <c r="I2353" s="24" t="s">
        <v>569</v>
      </c>
      <c r="J2353" s="24" t="s">
        <v>593</v>
      </c>
      <c r="K2353" s="24" t="s">
        <v>600</v>
      </c>
    </row>
    <row r="2354" spans="1:11">
      <c r="A2354" s="12">
        <v>2019</v>
      </c>
      <c r="B2354" s="15" t="s">
        <v>440</v>
      </c>
      <c r="C2354" s="15" t="s">
        <v>450</v>
      </c>
      <c r="D2354" s="15" t="s">
        <v>451</v>
      </c>
      <c r="E2354" s="19">
        <v>119022</v>
      </c>
      <c r="F2354" s="19">
        <v>79157</v>
      </c>
      <c r="G2354" s="20">
        <f t="shared" si="36"/>
        <v>0.39942173489623017</v>
      </c>
      <c r="H2354" s="24" t="s">
        <v>583</v>
      </c>
      <c r="I2354" s="24" t="s">
        <v>584</v>
      </c>
      <c r="J2354" s="24" t="s">
        <v>585</v>
      </c>
      <c r="K2354" s="24" t="s">
        <v>600</v>
      </c>
    </row>
    <row r="2355" spans="1:11">
      <c r="A2355" s="12">
        <v>2019</v>
      </c>
      <c r="B2355" s="15" t="s">
        <v>440</v>
      </c>
      <c r="C2355" s="15" t="s">
        <v>452</v>
      </c>
      <c r="D2355" s="15" t="s">
        <v>453</v>
      </c>
      <c r="E2355" s="19">
        <v>61566</v>
      </c>
      <c r="F2355" s="19">
        <v>42265</v>
      </c>
      <c r="G2355" s="20">
        <f t="shared" si="36"/>
        <v>0.40705569627567872</v>
      </c>
      <c r="H2355" s="24" t="s">
        <v>583</v>
      </c>
      <c r="I2355" s="24" t="s">
        <v>569</v>
      </c>
      <c r="J2355" s="24" t="s">
        <v>593</v>
      </c>
      <c r="K2355" s="24" t="s">
        <v>600</v>
      </c>
    </row>
    <row r="2356" spans="1:11">
      <c r="A2356" s="12">
        <v>2019</v>
      </c>
      <c r="B2356" s="15" t="s">
        <v>440</v>
      </c>
      <c r="C2356" s="15" t="s">
        <v>454</v>
      </c>
      <c r="D2356" s="15" t="s">
        <v>455</v>
      </c>
      <c r="E2356" s="19">
        <v>21785</v>
      </c>
      <c r="F2356" s="19">
        <v>27198</v>
      </c>
      <c r="G2356" s="20">
        <f t="shared" si="36"/>
        <v>0.55525386358532547</v>
      </c>
      <c r="H2356" s="24" t="s">
        <v>583</v>
      </c>
      <c r="I2356" s="24" t="s">
        <v>569</v>
      </c>
      <c r="J2356" s="24" t="s">
        <v>593</v>
      </c>
      <c r="K2356" s="24" t="s">
        <v>600</v>
      </c>
    </row>
    <row r="2357" spans="1:11">
      <c r="A2357" s="12">
        <v>2019</v>
      </c>
      <c r="B2357" s="15" t="s">
        <v>440</v>
      </c>
      <c r="C2357" s="15" t="s">
        <v>456</v>
      </c>
      <c r="D2357" s="15" t="s">
        <v>457</v>
      </c>
      <c r="E2357" s="19">
        <v>82813</v>
      </c>
      <c r="F2357" s="19">
        <v>60861</v>
      </c>
      <c r="G2357" s="20">
        <f t="shared" si="36"/>
        <v>0.4236048275958072</v>
      </c>
      <c r="H2357" s="24" t="s">
        <v>583</v>
      </c>
      <c r="I2357" s="24" t="s">
        <v>569</v>
      </c>
      <c r="J2357" s="24" t="s">
        <v>593</v>
      </c>
      <c r="K2357" s="24" t="s">
        <v>600</v>
      </c>
    </row>
    <row r="2358" spans="1:11">
      <c r="A2358" s="12">
        <v>2019</v>
      </c>
      <c r="B2358" s="15" t="s">
        <v>440</v>
      </c>
      <c r="C2358" s="15" t="s">
        <v>458</v>
      </c>
      <c r="D2358" s="15" t="s">
        <v>459</v>
      </c>
      <c r="E2358" s="19">
        <v>30377</v>
      </c>
      <c r="F2358" s="19">
        <v>37073</v>
      </c>
      <c r="G2358" s="20">
        <f t="shared" si="36"/>
        <v>0.5496367679762787</v>
      </c>
      <c r="H2358" s="24" t="s">
        <v>583</v>
      </c>
      <c r="I2358" s="24" t="s">
        <v>569</v>
      </c>
      <c r="J2358" s="24" t="s">
        <v>593</v>
      </c>
      <c r="K2358" s="24" t="s">
        <v>600</v>
      </c>
    </row>
    <row r="2359" spans="1:11">
      <c r="A2359" s="12">
        <v>2019</v>
      </c>
      <c r="B2359" s="15" t="s">
        <v>440</v>
      </c>
      <c r="C2359" s="15" t="s">
        <v>460</v>
      </c>
      <c r="D2359" s="15" t="s">
        <v>461</v>
      </c>
      <c r="E2359" s="19">
        <v>141942</v>
      </c>
      <c r="F2359" s="19">
        <v>60036</v>
      </c>
      <c r="G2359" s="20">
        <f t="shared" si="36"/>
        <v>0.29724029349731157</v>
      </c>
      <c r="H2359" s="24" t="s">
        <v>583</v>
      </c>
      <c r="I2359" s="24" t="s">
        <v>584</v>
      </c>
      <c r="J2359" s="24" t="s">
        <v>585</v>
      </c>
      <c r="K2359" s="24" t="s">
        <v>600</v>
      </c>
    </row>
    <row r="2360" spans="1:11">
      <c r="A2360" s="12">
        <v>2019</v>
      </c>
      <c r="B2360" s="15" t="s">
        <v>440</v>
      </c>
      <c r="C2360" s="15" t="s">
        <v>462</v>
      </c>
      <c r="D2360" s="15" t="s">
        <v>463</v>
      </c>
      <c r="E2360" s="19">
        <v>30332</v>
      </c>
      <c r="F2360" s="19">
        <v>27890</v>
      </c>
      <c r="G2360" s="20">
        <f t="shared" si="36"/>
        <v>0.47902854591048055</v>
      </c>
      <c r="H2360" s="24" t="s">
        <v>583</v>
      </c>
      <c r="I2360" s="24" t="s">
        <v>569</v>
      </c>
      <c r="J2360" s="24" t="s">
        <v>593</v>
      </c>
      <c r="K2360" s="24" t="s">
        <v>600</v>
      </c>
    </row>
    <row r="2361" spans="1:11">
      <c r="A2361" s="12">
        <v>2019</v>
      </c>
      <c r="B2361" s="15" t="s">
        <v>440</v>
      </c>
      <c r="C2361" s="15" t="s">
        <v>464</v>
      </c>
      <c r="D2361" s="15" t="s">
        <v>465</v>
      </c>
      <c r="E2361" s="19">
        <v>11797</v>
      </c>
      <c r="F2361" s="19">
        <v>14460</v>
      </c>
      <c r="G2361" s="20">
        <f t="shared" si="36"/>
        <v>0.55071028678066802</v>
      </c>
      <c r="H2361" s="24" t="s">
        <v>583</v>
      </c>
      <c r="I2361" s="24" t="s">
        <v>569</v>
      </c>
      <c r="J2361" s="24" t="s">
        <v>593</v>
      </c>
      <c r="K2361" s="24" t="s">
        <v>600</v>
      </c>
    </row>
    <row r="2362" spans="1:11">
      <c r="A2362" s="12">
        <v>2019</v>
      </c>
      <c r="B2362" s="15" t="s">
        <v>440</v>
      </c>
      <c r="C2362" s="15" t="s">
        <v>466</v>
      </c>
      <c r="D2362" s="15" t="s">
        <v>467</v>
      </c>
      <c r="E2362" s="19">
        <v>92683</v>
      </c>
      <c r="F2362" s="19">
        <v>57386</v>
      </c>
      <c r="G2362" s="20">
        <f t="shared" si="36"/>
        <v>0.38239743051529629</v>
      </c>
      <c r="H2362" s="24" t="s">
        <v>583</v>
      </c>
      <c r="I2362" s="24" t="s">
        <v>569</v>
      </c>
      <c r="J2362" s="24" t="s">
        <v>593</v>
      </c>
      <c r="K2362" s="24" t="s">
        <v>600</v>
      </c>
    </row>
    <row r="2363" spans="1:11">
      <c r="A2363" s="12">
        <v>2019</v>
      </c>
      <c r="B2363" s="15" t="s">
        <v>440</v>
      </c>
      <c r="C2363" s="15" t="s">
        <v>468</v>
      </c>
      <c r="D2363" s="15" t="s">
        <v>469</v>
      </c>
      <c r="E2363" s="19">
        <v>83377</v>
      </c>
      <c r="F2363" s="19">
        <v>66139</v>
      </c>
      <c r="G2363" s="20">
        <f t="shared" si="36"/>
        <v>0.44235399555900373</v>
      </c>
      <c r="H2363" s="24" t="s">
        <v>583</v>
      </c>
      <c r="I2363" s="24" t="s">
        <v>569</v>
      </c>
      <c r="J2363" s="24" t="s">
        <v>593</v>
      </c>
      <c r="K2363" s="24" t="s">
        <v>600</v>
      </c>
    </row>
    <row r="2364" spans="1:11">
      <c r="A2364" s="12">
        <v>2019</v>
      </c>
      <c r="B2364" s="15" t="s">
        <v>440</v>
      </c>
      <c r="C2364" s="15" t="s">
        <v>470</v>
      </c>
      <c r="D2364" s="15" t="s">
        <v>471</v>
      </c>
      <c r="E2364" s="19">
        <v>42502</v>
      </c>
      <c r="F2364" s="19">
        <v>42943</v>
      </c>
      <c r="G2364" s="20">
        <f t="shared" si="36"/>
        <v>0.50258060740827437</v>
      </c>
      <c r="H2364" s="24" t="s">
        <v>583</v>
      </c>
      <c r="I2364" s="24" t="s">
        <v>569</v>
      </c>
      <c r="J2364" s="24" t="s">
        <v>593</v>
      </c>
      <c r="K2364" s="24" t="s">
        <v>600</v>
      </c>
    </row>
    <row r="2365" spans="1:11">
      <c r="A2365" s="12">
        <v>2019</v>
      </c>
      <c r="B2365" s="15" t="s">
        <v>440</v>
      </c>
      <c r="C2365" s="15" t="s">
        <v>472</v>
      </c>
      <c r="D2365" s="15" t="s">
        <v>473</v>
      </c>
      <c r="E2365" s="19">
        <v>6704</v>
      </c>
      <c r="F2365" s="19">
        <v>7940</v>
      </c>
      <c r="G2365" s="20">
        <f t="shared" si="36"/>
        <v>0.54220158426659382</v>
      </c>
      <c r="H2365" s="24" t="s">
        <v>583</v>
      </c>
      <c r="I2365" s="24" t="s">
        <v>569</v>
      </c>
      <c r="J2365" s="24" t="s">
        <v>593</v>
      </c>
      <c r="K2365" s="24" t="s">
        <v>600</v>
      </c>
    </row>
    <row r="2366" spans="1:11">
      <c r="A2366" s="12">
        <v>2019</v>
      </c>
      <c r="B2366" s="15" t="s">
        <v>440</v>
      </c>
      <c r="C2366" s="15" t="s">
        <v>474</v>
      </c>
      <c r="D2366" s="15" t="s">
        <v>475</v>
      </c>
      <c r="E2366" s="19">
        <v>40940</v>
      </c>
      <c r="F2366" s="19">
        <v>32893</v>
      </c>
      <c r="G2366" s="20">
        <f t="shared" si="36"/>
        <v>0.44550539731556349</v>
      </c>
      <c r="H2366" s="24" t="s">
        <v>583</v>
      </c>
      <c r="I2366" s="24" t="s">
        <v>569</v>
      </c>
      <c r="J2366" s="24" t="s">
        <v>593</v>
      </c>
      <c r="K2366" s="24" t="s">
        <v>600</v>
      </c>
    </row>
    <row r="2367" spans="1:11">
      <c r="A2367" s="12">
        <v>2019</v>
      </c>
      <c r="B2367" s="15" t="s">
        <v>440</v>
      </c>
      <c r="C2367" s="15" t="s">
        <v>476</v>
      </c>
      <c r="D2367" s="15" t="s">
        <v>477</v>
      </c>
      <c r="E2367" s="19">
        <v>41343</v>
      </c>
      <c r="F2367" s="19">
        <v>41653</v>
      </c>
      <c r="G2367" s="20">
        <f t="shared" si="36"/>
        <v>0.50186755988240395</v>
      </c>
      <c r="H2367" s="24" t="s">
        <v>583</v>
      </c>
      <c r="I2367" s="24" t="s">
        <v>569</v>
      </c>
      <c r="J2367" s="24" t="s">
        <v>593</v>
      </c>
      <c r="K2367" s="24" t="s">
        <v>600</v>
      </c>
    </row>
    <row r="2368" spans="1:11">
      <c r="A2368" s="12">
        <v>2019</v>
      </c>
      <c r="B2368" s="15" t="s">
        <v>440</v>
      </c>
      <c r="C2368" s="15" t="s">
        <v>478</v>
      </c>
      <c r="D2368" s="15" t="s">
        <v>479</v>
      </c>
      <c r="E2368" s="19">
        <v>31940</v>
      </c>
      <c r="F2368" s="19">
        <v>34212</v>
      </c>
      <c r="G2368" s="20">
        <f t="shared" si="36"/>
        <v>0.51717257225783042</v>
      </c>
      <c r="H2368" s="24" t="s">
        <v>583</v>
      </c>
      <c r="I2368" s="24" t="s">
        <v>569</v>
      </c>
      <c r="J2368" s="24" t="s">
        <v>593</v>
      </c>
      <c r="K2368" s="24" t="s">
        <v>600</v>
      </c>
    </row>
    <row r="2369" spans="1:11">
      <c r="A2369" s="12">
        <v>2019</v>
      </c>
      <c r="B2369" s="15" t="s">
        <v>440</v>
      </c>
      <c r="C2369" s="15" t="s">
        <v>480</v>
      </c>
      <c r="D2369" s="15" t="s">
        <v>481</v>
      </c>
      <c r="E2369" s="19">
        <v>19127</v>
      </c>
      <c r="F2369" s="19">
        <v>21195</v>
      </c>
      <c r="G2369" s="20">
        <f t="shared" si="36"/>
        <v>0.52564356926739741</v>
      </c>
      <c r="H2369" s="24" t="s">
        <v>583</v>
      </c>
      <c r="I2369" s="24" t="s">
        <v>569</v>
      </c>
      <c r="J2369" s="24" t="s">
        <v>593</v>
      </c>
      <c r="K2369" s="24" t="s">
        <v>600</v>
      </c>
    </row>
    <row r="2370" spans="1:11">
      <c r="A2370" s="12">
        <v>2019</v>
      </c>
      <c r="B2370" s="15" t="s">
        <v>440</v>
      </c>
      <c r="C2370" s="15" t="s">
        <v>482</v>
      </c>
      <c r="D2370" s="15" t="s">
        <v>483</v>
      </c>
      <c r="E2370" s="19">
        <v>88224</v>
      </c>
      <c r="F2370" s="19">
        <v>90801</v>
      </c>
      <c r="G2370" s="20">
        <f t="shared" si="36"/>
        <v>0.50719731881022201</v>
      </c>
      <c r="H2370" s="24" t="s">
        <v>583</v>
      </c>
      <c r="I2370" s="24" t="s">
        <v>569</v>
      </c>
      <c r="J2370" s="24" t="s">
        <v>593</v>
      </c>
      <c r="K2370" s="24" t="s">
        <v>600</v>
      </c>
    </row>
    <row r="2371" spans="1:11">
      <c r="A2371" s="12">
        <v>2019</v>
      </c>
      <c r="B2371" s="15" t="s">
        <v>440</v>
      </c>
      <c r="C2371" s="15" t="s">
        <v>484</v>
      </c>
      <c r="D2371" s="15" t="s">
        <v>485</v>
      </c>
      <c r="E2371" s="19">
        <v>201235</v>
      </c>
      <c r="F2371" s="19">
        <v>151430</v>
      </c>
      <c r="G2371" s="20">
        <f t="shared" si="36"/>
        <v>0.42938766251258276</v>
      </c>
      <c r="H2371" s="24" t="s">
        <v>583</v>
      </c>
      <c r="I2371" s="24" t="s">
        <v>584</v>
      </c>
      <c r="J2371" s="24" t="s">
        <v>585</v>
      </c>
      <c r="K2371" s="24" t="s">
        <v>600</v>
      </c>
    </row>
    <row r="2372" spans="1:11">
      <c r="A2372" s="12">
        <v>2019</v>
      </c>
      <c r="B2372" s="15" t="s">
        <v>440</v>
      </c>
      <c r="C2372" s="15" t="s">
        <v>486</v>
      </c>
      <c r="D2372" s="15" t="s">
        <v>487</v>
      </c>
      <c r="E2372" s="19">
        <v>233273</v>
      </c>
      <c r="F2372" s="19">
        <v>172490</v>
      </c>
      <c r="G2372" s="20">
        <f t="shared" si="36"/>
        <v>0.42510036647008231</v>
      </c>
      <c r="H2372" s="24" t="s">
        <v>583</v>
      </c>
      <c r="I2372" s="24" t="s">
        <v>584</v>
      </c>
      <c r="J2372" s="24" t="s">
        <v>585</v>
      </c>
      <c r="K2372" s="24" t="s">
        <v>600</v>
      </c>
    </row>
    <row r="2373" spans="1:11">
      <c r="A2373" s="12">
        <v>2019</v>
      </c>
      <c r="B2373" s="15" t="s">
        <v>488</v>
      </c>
      <c r="C2373" s="15" t="s">
        <v>22</v>
      </c>
      <c r="D2373" s="15" t="s">
        <v>488</v>
      </c>
      <c r="E2373" s="19">
        <v>3074515</v>
      </c>
      <c r="F2373" s="19">
        <v>983375</v>
      </c>
      <c r="G2373" s="20">
        <f t="shared" si="36"/>
        <v>0.24233653450438528</v>
      </c>
      <c r="H2373" s="24" t="s">
        <v>583</v>
      </c>
      <c r="I2373" s="24" t="s">
        <v>569</v>
      </c>
      <c r="J2373" s="24" t="s">
        <v>593</v>
      </c>
      <c r="K2373" s="24" t="s">
        <v>600</v>
      </c>
    </row>
    <row r="2374" spans="1:11">
      <c r="A2374" s="12">
        <v>2019</v>
      </c>
      <c r="B2374" s="15" t="s">
        <v>488</v>
      </c>
      <c r="C2374" s="15" t="s">
        <v>489</v>
      </c>
      <c r="D2374" s="15" t="s">
        <v>490</v>
      </c>
      <c r="E2374" s="19">
        <v>222306</v>
      </c>
      <c r="F2374" s="19">
        <v>114030</v>
      </c>
      <c r="G2374" s="20">
        <f t="shared" ref="G2374:G2437" si="37">IFERROR(F2374/(E2374+F2374),"")</f>
        <v>0.33903596403596403</v>
      </c>
      <c r="H2374" s="24" t="s">
        <v>583</v>
      </c>
      <c r="I2374" s="24" t="s">
        <v>569</v>
      </c>
      <c r="J2374" s="24" t="s">
        <v>593</v>
      </c>
      <c r="K2374" s="24" t="s">
        <v>600</v>
      </c>
    </row>
    <row r="2375" spans="1:11">
      <c r="A2375" s="12">
        <v>2019</v>
      </c>
      <c r="B2375" s="15" t="s">
        <v>488</v>
      </c>
      <c r="C2375" s="15" t="s">
        <v>491</v>
      </c>
      <c r="D2375" s="15" t="s">
        <v>492</v>
      </c>
      <c r="E2375" s="19">
        <v>54099</v>
      </c>
      <c r="F2375" s="19">
        <v>37696</v>
      </c>
      <c r="G2375" s="20">
        <f t="shared" si="37"/>
        <v>0.41065417506400131</v>
      </c>
      <c r="H2375" s="24" t="s">
        <v>583</v>
      </c>
      <c r="I2375" s="24" t="s">
        <v>569</v>
      </c>
      <c r="J2375" s="24" t="s">
        <v>593</v>
      </c>
      <c r="K2375" s="24" t="s">
        <v>600</v>
      </c>
    </row>
    <row r="2376" spans="1:11">
      <c r="A2376" s="12">
        <v>2019</v>
      </c>
      <c r="B2376" s="15" t="s">
        <v>488</v>
      </c>
      <c r="C2376" s="15" t="s">
        <v>260</v>
      </c>
      <c r="D2376" s="15" t="s">
        <v>493</v>
      </c>
      <c r="E2376" s="19">
        <v>39820</v>
      </c>
      <c r="F2376" s="19">
        <v>39343</v>
      </c>
      <c r="G2376" s="20">
        <f t="shared" si="37"/>
        <v>0.49698722888217983</v>
      </c>
      <c r="H2376" s="24" t="s">
        <v>583</v>
      </c>
      <c r="I2376" s="24" t="s">
        <v>569</v>
      </c>
      <c r="J2376" s="24" t="s">
        <v>593</v>
      </c>
      <c r="K2376" s="24" t="s">
        <v>600</v>
      </c>
    </row>
    <row r="2377" spans="1:11">
      <c r="A2377" s="12">
        <v>2019</v>
      </c>
      <c r="B2377" s="15" t="s">
        <v>488</v>
      </c>
      <c r="C2377" s="15" t="s">
        <v>494</v>
      </c>
      <c r="D2377" s="15" t="s">
        <v>495</v>
      </c>
      <c r="E2377" s="19">
        <v>483282</v>
      </c>
      <c r="F2377" s="19">
        <v>256761</v>
      </c>
      <c r="G2377" s="20">
        <f t="shared" si="37"/>
        <v>0.34695416347428459</v>
      </c>
      <c r="H2377" s="24" t="s">
        <v>583</v>
      </c>
      <c r="I2377" s="24" t="s">
        <v>569</v>
      </c>
      <c r="J2377" s="24" t="s">
        <v>593</v>
      </c>
      <c r="K2377" s="24" t="s">
        <v>600</v>
      </c>
    </row>
    <row r="2378" spans="1:11">
      <c r="A2378" s="12">
        <v>2019</v>
      </c>
      <c r="B2378" s="15" t="s">
        <v>488</v>
      </c>
      <c r="C2378" s="15" t="s">
        <v>496</v>
      </c>
      <c r="D2378" s="15" t="s">
        <v>497</v>
      </c>
      <c r="E2378" s="19">
        <v>34490</v>
      </c>
      <c r="F2378" s="19">
        <v>33499</v>
      </c>
      <c r="G2378" s="20">
        <f t="shared" si="37"/>
        <v>0.49271205636205856</v>
      </c>
      <c r="H2378" s="24" t="s">
        <v>583</v>
      </c>
      <c r="I2378" s="24" t="s">
        <v>569</v>
      </c>
      <c r="J2378" s="24" t="s">
        <v>593</v>
      </c>
      <c r="K2378" s="24" t="s">
        <v>600</v>
      </c>
    </row>
    <row r="2379" spans="1:11">
      <c r="A2379" s="12">
        <v>2019</v>
      </c>
      <c r="B2379" s="15" t="s">
        <v>488</v>
      </c>
      <c r="C2379" s="15" t="s">
        <v>498</v>
      </c>
      <c r="D2379" s="15" t="s">
        <v>499</v>
      </c>
      <c r="E2379" s="19">
        <v>88485</v>
      </c>
      <c r="F2379" s="19">
        <v>63481</v>
      </c>
      <c r="G2379" s="20">
        <f t="shared" si="37"/>
        <v>0.41773159785741548</v>
      </c>
      <c r="H2379" s="24" t="s">
        <v>583</v>
      </c>
      <c r="I2379" s="24" t="s">
        <v>569</v>
      </c>
      <c r="J2379" s="24" t="s">
        <v>593</v>
      </c>
      <c r="K2379" s="24" t="s">
        <v>600</v>
      </c>
    </row>
    <row r="2380" spans="1:11">
      <c r="A2380" s="12">
        <v>2019</v>
      </c>
      <c r="B2380" s="15" t="s">
        <v>488</v>
      </c>
      <c r="C2380" s="15" t="s">
        <v>500</v>
      </c>
      <c r="D2380" s="15" t="s">
        <v>501</v>
      </c>
      <c r="E2380" s="19">
        <v>95058</v>
      </c>
      <c r="F2380" s="19">
        <v>70231</v>
      </c>
      <c r="G2380" s="20">
        <f t="shared" si="37"/>
        <v>0.42489820859222333</v>
      </c>
      <c r="H2380" s="24" t="s">
        <v>583</v>
      </c>
      <c r="I2380" s="24" t="s">
        <v>569</v>
      </c>
      <c r="J2380" s="24" t="s">
        <v>593</v>
      </c>
      <c r="K2380" s="24" t="s">
        <v>600</v>
      </c>
    </row>
    <row r="2381" spans="1:11">
      <c r="A2381" s="12">
        <v>2019</v>
      </c>
      <c r="B2381" s="15" t="s">
        <v>488</v>
      </c>
      <c r="C2381" s="15" t="s">
        <v>502</v>
      </c>
      <c r="D2381" s="15" t="s">
        <v>503</v>
      </c>
      <c r="E2381" s="19">
        <v>25463</v>
      </c>
      <c r="F2381" s="19">
        <v>30728</v>
      </c>
      <c r="G2381" s="20">
        <f t="shared" si="37"/>
        <v>0.54684913954191949</v>
      </c>
      <c r="H2381" s="24" t="s">
        <v>583</v>
      </c>
      <c r="I2381" s="24" t="s">
        <v>569</v>
      </c>
      <c r="J2381" s="24" t="s">
        <v>593</v>
      </c>
      <c r="K2381" s="24" t="s">
        <v>600</v>
      </c>
    </row>
    <row r="2382" spans="1:11">
      <c r="A2382" s="12">
        <v>2019</v>
      </c>
      <c r="B2382" s="15" t="s">
        <v>488</v>
      </c>
      <c r="C2382" s="15" t="s">
        <v>504</v>
      </c>
      <c r="D2382" s="15" t="s">
        <v>505</v>
      </c>
      <c r="E2382" s="19">
        <v>307414</v>
      </c>
      <c r="F2382" s="19">
        <v>174071</v>
      </c>
      <c r="G2382" s="20">
        <f t="shared" si="37"/>
        <v>0.36152943497720591</v>
      </c>
      <c r="H2382" s="24" t="s">
        <v>583</v>
      </c>
      <c r="I2382" s="24" t="s">
        <v>569</v>
      </c>
      <c r="J2382" s="24" t="s">
        <v>593</v>
      </c>
      <c r="K2382" s="24" t="s">
        <v>600</v>
      </c>
    </row>
    <row r="2383" spans="1:11">
      <c r="A2383" s="12">
        <v>2019</v>
      </c>
      <c r="B2383" s="15" t="s">
        <v>488</v>
      </c>
      <c r="C2383" s="15" t="s">
        <v>506</v>
      </c>
      <c r="D2383" s="15" t="s">
        <v>507</v>
      </c>
      <c r="E2383" s="19">
        <v>19964</v>
      </c>
      <c r="F2383" s="19">
        <v>22874</v>
      </c>
      <c r="G2383" s="20">
        <f t="shared" si="37"/>
        <v>0.53396517110976238</v>
      </c>
      <c r="H2383" s="24" t="s">
        <v>583</v>
      </c>
      <c r="I2383" s="24" t="s">
        <v>569</v>
      </c>
      <c r="J2383" s="24" t="s">
        <v>593</v>
      </c>
      <c r="K2383" s="24" t="s">
        <v>600</v>
      </c>
    </row>
    <row r="2384" spans="1:11">
      <c r="A2384" s="12">
        <v>2019</v>
      </c>
      <c r="B2384" s="15" t="s">
        <v>488</v>
      </c>
      <c r="C2384" s="15" t="s">
        <v>508</v>
      </c>
      <c r="D2384" s="15" t="s">
        <v>509</v>
      </c>
      <c r="E2384" s="19">
        <v>314079</v>
      </c>
      <c r="F2384" s="19">
        <v>99353</v>
      </c>
      <c r="G2384" s="20">
        <f t="shared" si="37"/>
        <v>0.240312796300238</v>
      </c>
      <c r="H2384" s="24" t="s">
        <v>583</v>
      </c>
      <c r="I2384" s="24" t="s">
        <v>569</v>
      </c>
      <c r="J2384" s="24" t="s">
        <v>593</v>
      </c>
      <c r="K2384" s="24" t="s">
        <v>600</v>
      </c>
    </row>
    <row r="2385" spans="1:11">
      <c r="A2385" s="12">
        <v>2019</v>
      </c>
      <c r="B2385" s="15" t="s">
        <v>488</v>
      </c>
      <c r="C2385" s="15" t="s">
        <v>510</v>
      </c>
      <c r="D2385" s="15" t="s">
        <v>511</v>
      </c>
      <c r="E2385" s="19">
        <v>48768</v>
      </c>
      <c r="F2385" s="19">
        <v>48504</v>
      </c>
      <c r="G2385" s="20">
        <f t="shared" si="37"/>
        <v>0.4986429805082655</v>
      </c>
      <c r="H2385" s="24" t="s">
        <v>583</v>
      </c>
      <c r="I2385" s="24" t="s">
        <v>569</v>
      </c>
      <c r="J2385" s="24" t="s">
        <v>593</v>
      </c>
      <c r="K2385" s="24" t="s">
        <v>600</v>
      </c>
    </row>
    <row r="2386" spans="1:11">
      <c r="A2386" s="12">
        <v>2019</v>
      </c>
      <c r="B2386" s="15" t="s">
        <v>488</v>
      </c>
      <c r="C2386" s="15" t="s">
        <v>512</v>
      </c>
      <c r="D2386" s="15" t="s">
        <v>513</v>
      </c>
      <c r="E2386" s="19">
        <v>147398</v>
      </c>
      <c r="F2386" s="19">
        <v>119126</v>
      </c>
      <c r="G2386" s="20">
        <f t="shared" si="37"/>
        <v>0.44696162446909099</v>
      </c>
      <c r="H2386" s="24" t="s">
        <v>583</v>
      </c>
      <c r="I2386" s="24" t="s">
        <v>569</v>
      </c>
      <c r="J2386" s="24" t="s">
        <v>593</v>
      </c>
      <c r="K2386" s="24" t="s">
        <v>600</v>
      </c>
    </row>
    <row r="2387" spans="1:11">
      <c r="A2387" s="12">
        <v>2019</v>
      </c>
      <c r="B2387" s="15" t="s">
        <v>488</v>
      </c>
      <c r="C2387" s="15" t="s">
        <v>514</v>
      </c>
      <c r="D2387" s="15" t="s">
        <v>515</v>
      </c>
      <c r="E2387" s="19">
        <v>162085</v>
      </c>
      <c r="F2387" s="19">
        <v>125385</v>
      </c>
      <c r="G2387" s="20">
        <f t="shared" si="37"/>
        <v>0.43616725223501585</v>
      </c>
      <c r="H2387" s="24" t="s">
        <v>583</v>
      </c>
      <c r="I2387" s="24" t="s">
        <v>569</v>
      </c>
      <c r="J2387" s="24" t="s">
        <v>593</v>
      </c>
      <c r="K2387" s="24" t="s">
        <v>600</v>
      </c>
    </row>
    <row r="2388" spans="1:11">
      <c r="A2388" s="12">
        <v>2019</v>
      </c>
      <c r="B2388" s="15" t="s">
        <v>488</v>
      </c>
      <c r="C2388" s="15" t="s">
        <v>516</v>
      </c>
      <c r="D2388" s="15" t="s">
        <v>517</v>
      </c>
      <c r="E2388" s="19">
        <v>187087</v>
      </c>
      <c r="F2388" s="19">
        <v>140623</v>
      </c>
      <c r="G2388" s="20">
        <f t="shared" si="37"/>
        <v>0.42910805285160658</v>
      </c>
      <c r="H2388" s="24" t="s">
        <v>583</v>
      </c>
      <c r="I2388" s="24" t="s">
        <v>569</v>
      </c>
      <c r="J2388" s="24" t="s">
        <v>593</v>
      </c>
      <c r="K2388" s="24" t="s">
        <v>600</v>
      </c>
    </row>
    <row r="2389" spans="1:11">
      <c r="A2389" s="12">
        <v>2019</v>
      </c>
      <c r="B2389" s="15" t="s">
        <v>488</v>
      </c>
      <c r="C2389" s="15" t="s">
        <v>518</v>
      </c>
      <c r="D2389" s="15" t="s">
        <v>519</v>
      </c>
      <c r="E2389" s="19">
        <v>203665</v>
      </c>
      <c r="F2389" s="19">
        <v>188563</v>
      </c>
      <c r="G2389" s="20">
        <f t="shared" si="37"/>
        <v>0.48074844223257901</v>
      </c>
      <c r="H2389" s="24" t="s">
        <v>583</v>
      </c>
      <c r="I2389" s="24" t="s">
        <v>569</v>
      </c>
      <c r="J2389" s="24" t="s">
        <v>593</v>
      </c>
      <c r="K2389" s="24" t="s">
        <v>600</v>
      </c>
    </row>
    <row r="2390" spans="1:11">
      <c r="A2390" s="12">
        <v>2019</v>
      </c>
      <c r="B2390" s="15" t="s">
        <v>488</v>
      </c>
      <c r="C2390" s="15" t="s">
        <v>520</v>
      </c>
      <c r="D2390" s="15" t="s">
        <v>521</v>
      </c>
      <c r="E2390" s="19">
        <v>167326</v>
      </c>
      <c r="F2390" s="19">
        <v>121141</v>
      </c>
      <c r="G2390" s="20">
        <f t="shared" si="37"/>
        <v>0.41994751566037014</v>
      </c>
      <c r="H2390" s="24" t="s">
        <v>583</v>
      </c>
      <c r="I2390" s="24" t="s">
        <v>569</v>
      </c>
      <c r="J2390" s="24" t="s">
        <v>593</v>
      </c>
      <c r="K2390" s="24" t="s">
        <v>600</v>
      </c>
    </row>
    <row r="2391" spans="1:11">
      <c r="A2391" s="12">
        <v>2019</v>
      </c>
      <c r="B2391" s="15" t="s">
        <v>488</v>
      </c>
      <c r="C2391" s="15" t="s">
        <v>522</v>
      </c>
      <c r="D2391" s="15" t="s">
        <v>523</v>
      </c>
      <c r="E2391" s="19">
        <v>116697</v>
      </c>
      <c r="F2391" s="19">
        <v>60018</v>
      </c>
      <c r="G2391" s="20">
        <f t="shared" si="37"/>
        <v>0.3396316102198455</v>
      </c>
      <c r="H2391" s="24" t="s">
        <v>583</v>
      </c>
      <c r="I2391" s="24" t="s">
        <v>569</v>
      </c>
      <c r="J2391" s="24" t="s">
        <v>593</v>
      </c>
      <c r="K2391" s="24" t="s">
        <v>600</v>
      </c>
    </row>
    <row r="2392" spans="1:11">
      <c r="A2392" s="12">
        <v>2019</v>
      </c>
      <c r="B2392" s="15" t="s">
        <v>488</v>
      </c>
      <c r="C2392" s="15" t="s">
        <v>524</v>
      </c>
      <c r="D2392" s="15" t="s">
        <v>525</v>
      </c>
      <c r="E2392" s="19">
        <v>33964</v>
      </c>
      <c r="F2392" s="19">
        <v>37192</v>
      </c>
      <c r="G2392" s="20">
        <f t="shared" si="37"/>
        <v>0.5226825566361234</v>
      </c>
      <c r="H2392" s="24" t="s">
        <v>583</v>
      </c>
      <c r="I2392" s="24" t="s">
        <v>569</v>
      </c>
      <c r="J2392" s="24" t="s">
        <v>593</v>
      </c>
      <c r="K2392" s="24" t="s">
        <v>600</v>
      </c>
    </row>
    <row r="2393" spans="1:11">
      <c r="A2393" s="12">
        <v>2019</v>
      </c>
      <c r="B2393" s="15" t="s">
        <v>488</v>
      </c>
      <c r="C2393" s="15" t="s">
        <v>526</v>
      </c>
      <c r="D2393" s="15" t="s">
        <v>527</v>
      </c>
      <c r="E2393" s="19">
        <v>46719</v>
      </c>
      <c r="F2393" s="19">
        <v>55635</v>
      </c>
      <c r="G2393" s="20">
        <f t="shared" si="37"/>
        <v>0.54355472184770504</v>
      </c>
      <c r="H2393" s="24" t="s">
        <v>583</v>
      </c>
      <c r="I2393" s="24" t="s">
        <v>569</v>
      </c>
      <c r="J2393" s="24" t="s">
        <v>593</v>
      </c>
      <c r="K2393" s="24" t="s">
        <v>600</v>
      </c>
    </row>
    <row r="2394" spans="1:11">
      <c r="A2394" s="12">
        <v>2019</v>
      </c>
      <c r="B2394" s="15" t="s">
        <v>488</v>
      </c>
      <c r="C2394" s="15" t="s">
        <v>528</v>
      </c>
      <c r="D2394" s="15" t="s">
        <v>529</v>
      </c>
      <c r="E2394" s="19">
        <v>31881</v>
      </c>
      <c r="F2394" s="19">
        <v>30228</v>
      </c>
      <c r="G2394" s="20">
        <f t="shared" si="37"/>
        <v>0.48669274984301791</v>
      </c>
      <c r="H2394" s="24" t="s">
        <v>583</v>
      </c>
      <c r="I2394" s="24" t="s">
        <v>569</v>
      </c>
      <c r="J2394" s="24" t="s">
        <v>593</v>
      </c>
      <c r="K2394" s="24" t="s">
        <v>600</v>
      </c>
    </row>
    <row r="2395" spans="1:11">
      <c r="A2395" s="12">
        <v>2019</v>
      </c>
      <c r="B2395" s="15" t="s">
        <v>488</v>
      </c>
      <c r="C2395" s="15" t="s">
        <v>530</v>
      </c>
      <c r="D2395" s="15" t="s">
        <v>531</v>
      </c>
      <c r="E2395" s="19">
        <v>34244</v>
      </c>
      <c r="F2395" s="19">
        <v>34937</v>
      </c>
      <c r="G2395" s="20">
        <f t="shared" si="37"/>
        <v>0.50500860062733988</v>
      </c>
      <c r="H2395" s="24" t="s">
        <v>583</v>
      </c>
      <c r="I2395" s="24" t="s">
        <v>569</v>
      </c>
      <c r="J2395" s="24" t="s">
        <v>593</v>
      </c>
      <c r="K2395" s="24" t="s">
        <v>600</v>
      </c>
    </row>
    <row r="2396" spans="1:11">
      <c r="A2396" s="12">
        <v>2019</v>
      </c>
      <c r="B2396" s="15" t="s">
        <v>532</v>
      </c>
      <c r="C2396" s="15" t="s">
        <v>22</v>
      </c>
      <c r="D2396" s="15" t="s">
        <v>532</v>
      </c>
      <c r="E2396" s="19">
        <v>613534</v>
      </c>
      <c r="F2396" s="19">
        <v>137347</v>
      </c>
      <c r="G2396" s="20">
        <f t="shared" si="37"/>
        <v>0.18291446980280499</v>
      </c>
      <c r="H2396" s="24" t="s">
        <v>586</v>
      </c>
      <c r="I2396" s="24" t="s">
        <v>587</v>
      </c>
      <c r="J2396" s="24" t="s">
        <v>588</v>
      </c>
      <c r="K2396" s="24" t="s">
        <v>600</v>
      </c>
    </row>
    <row r="2397" spans="1:11">
      <c r="A2397" s="12">
        <v>2019</v>
      </c>
      <c r="B2397" s="15" t="s">
        <v>532</v>
      </c>
      <c r="C2397" s="15" t="s">
        <v>533</v>
      </c>
      <c r="D2397" s="15" t="s">
        <v>534</v>
      </c>
      <c r="E2397" s="19">
        <v>150744</v>
      </c>
      <c r="F2397" s="19">
        <v>112288</v>
      </c>
      <c r="G2397" s="20">
        <f t="shared" si="37"/>
        <v>0.4268986283037805</v>
      </c>
      <c r="H2397" s="24" t="s">
        <v>586</v>
      </c>
      <c r="I2397" s="24" t="s">
        <v>587</v>
      </c>
      <c r="J2397" s="24" t="s">
        <v>588</v>
      </c>
      <c r="K2397" s="24" t="s">
        <v>600</v>
      </c>
    </row>
    <row r="2398" spans="1:11">
      <c r="A2398" s="12">
        <v>2019</v>
      </c>
      <c r="B2398" s="15" t="s">
        <v>532</v>
      </c>
      <c r="C2398" s="15" t="s">
        <v>535</v>
      </c>
      <c r="D2398" s="15" t="s">
        <v>536</v>
      </c>
      <c r="E2398" s="19">
        <v>447039</v>
      </c>
      <c r="F2398" s="19">
        <v>111077</v>
      </c>
      <c r="G2398" s="20">
        <f t="shared" si="37"/>
        <v>0.19902135040027522</v>
      </c>
      <c r="H2398" s="24" t="s">
        <v>586</v>
      </c>
      <c r="I2398" s="24" t="s">
        <v>587</v>
      </c>
      <c r="J2398" s="24" t="s">
        <v>588</v>
      </c>
      <c r="K2398" s="24" t="s">
        <v>600</v>
      </c>
    </row>
    <row r="2399" spans="1:11">
      <c r="A2399" s="12">
        <v>2020</v>
      </c>
      <c r="B2399" s="15" t="s">
        <v>21</v>
      </c>
      <c r="C2399" s="15" t="s">
        <v>22</v>
      </c>
      <c r="D2399" s="15" t="s">
        <v>21</v>
      </c>
      <c r="E2399" s="19">
        <v>8604597</v>
      </c>
      <c r="F2399" s="19">
        <v>2022115</v>
      </c>
      <c r="G2399" s="20">
        <f t="shared" si="37"/>
        <v>0.19028604520382222</v>
      </c>
      <c r="H2399" s="24" t="s">
        <v>579</v>
      </c>
      <c r="I2399" s="24" t="s">
        <v>596</v>
      </c>
      <c r="J2399" s="24" t="s">
        <v>597</v>
      </c>
      <c r="K2399" s="24" t="s">
        <v>601</v>
      </c>
    </row>
    <row r="2400" spans="1:11">
      <c r="A2400" s="12">
        <v>2020</v>
      </c>
      <c r="B2400" s="15" t="s">
        <v>21</v>
      </c>
      <c r="C2400" s="15" t="s">
        <v>23</v>
      </c>
      <c r="D2400" s="15" t="s">
        <v>24</v>
      </c>
      <c r="E2400" s="19">
        <v>416304</v>
      </c>
      <c r="F2400" s="19">
        <v>352378</v>
      </c>
      <c r="G2400" s="20">
        <f t="shared" si="37"/>
        <v>0.45841843571203694</v>
      </c>
      <c r="H2400" s="24" t="s">
        <v>579</v>
      </c>
      <c r="I2400" s="24" t="s">
        <v>596</v>
      </c>
      <c r="J2400" s="24" t="s">
        <v>597</v>
      </c>
      <c r="K2400" s="24" t="s">
        <v>601</v>
      </c>
    </row>
    <row r="2401" spans="1:11">
      <c r="A2401" s="12">
        <v>2020</v>
      </c>
      <c r="B2401" s="15" t="s">
        <v>21</v>
      </c>
      <c r="C2401" s="15" t="s">
        <v>25</v>
      </c>
      <c r="D2401" s="15" t="s">
        <v>26</v>
      </c>
      <c r="E2401" s="19">
        <v>369899</v>
      </c>
      <c r="F2401" s="19">
        <v>256709</v>
      </c>
      <c r="G2401" s="20">
        <f t="shared" si="37"/>
        <v>0.40968037433291626</v>
      </c>
      <c r="H2401" s="24" t="s">
        <v>579</v>
      </c>
      <c r="I2401" s="24" t="s">
        <v>596</v>
      </c>
      <c r="J2401" s="24" t="s">
        <v>597</v>
      </c>
      <c r="K2401" s="24" t="s">
        <v>601</v>
      </c>
    </row>
    <row r="2402" spans="1:11">
      <c r="A2402" s="12">
        <v>2020</v>
      </c>
      <c r="B2402" s="15" t="s">
        <v>21</v>
      </c>
      <c r="C2402" s="15" t="s">
        <v>27</v>
      </c>
      <c r="D2402" s="15" t="s">
        <v>28</v>
      </c>
      <c r="E2402" s="19">
        <v>234024</v>
      </c>
      <c r="F2402" s="19">
        <v>204652</v>
      </c>
      <c r="G2402" s="20">
        <f t="shared" si="37"/>
        <v>0.46652198889385332</v>
      </c>
      <c r="H2402" s="24" t="s">
        <v>579</v>
      </c>
      <c r="I2402" s="24" t="s">
        <v>596</v>
      </c>
      <c r="J2402" s="24" t="s">
        <v>597</v>
      </c>
      <c r="K2402" s="24" t="s">
        <v>601</v>
      </c>
    </row>
    <row r="2403" spans="1:11">
      <c r="A2403" s="12">
        <v>2020</v>
      </c>
      <c r="B2403" s="15" t="s">
        <v>21</v>
      </c>
      <c r="C2403" s="15" t="s">
        <v>29</v>
      </c>
      <c r="D2403" s="15" t="s">
        <v>30</v>
      </c>
      <c r="E2403" s="19">
        <v>456154</v>
      </c>
      <c r="F2403" s="19">
        <v>358878</v>
      </c>
      <c r="G2403" s="20">
        <f t="shared" si="37"/>
        <v>0.44032381550663041</v>
      </c>
      <c r="H2403" s="24" t="s">
        <v>579</v>
      </c>
      <c r="I2403" s="24" t="s">
        <v>596</v>
      </c>
      <c r="J2403" s="24" t="s">
        <v>597</v>
      </c>
      <c r="K2403" s="24" t="s">
        <v>601</v>
      </c>
    </row>
    <row r="2404" spans="1:11">
      <c r="A2404" s="12">
        <v>2020</v>
      </c>
      <c r="B2404" s="15" t="s">
        <v>21</v>
      </c>
      <c r="C2404" s="15" t="s">
        <v>31</v>
      </c>
      <c r="D2404" s="15" t="s">
        <v>32</v>
      </c>
      <c r="E2404" s="19">
        <v>365942</v>
      </c>
      <c r="F2404" s="19">
        <v>338565</v>
      </c>
      <c r="G2404" s="20">
        <f t="shared" si="37"/>
        <v>0.48057010079388851</v>
      </c>
      <c r="H2404" s="24" t="s">
        <v>579</v>
      </c>
      <c r="I2404" s="24" t="s">
        <v>596</v>
      </c>
      <c r="J2404" s="24" t="s">
        <v>597</v>
      </c>
      <c r="K2404" s="24" t="s">
        <v>601</v>
      </c>
    </row>
    <row r="2405" spans="1:11">
      <c r="A2405" s="12">
        <v>2020</v>
      </c>
      <c r="B2405" s="15" t="s">
        <v>21</v>
      </c>
      <c r="C2405" s="15" t="s">
        <v>33</v>
      </c>
      <c r="D2405" s="15" t="s">
        <v>34</v>
      </c>
      <c r="E2405" s="19">
        <v>270771</v>
      </c>
      <c r="F2405" s="19">
        <v>217960</v>
      </c>
      <c r="G2405" s="20">
        <f t="shared" si="37"/>
        <v>0.44597130118613304</v>
      </c>
      <c r="H2405" s="24" t="s">
        <v>579</v>
      </c>
      <c r="I2405" s="24" t="s">
        <v>596</v>
      </c>
      <c r="J2405" s="24" t="s">
        <v>597</v>
      </c>
      <c r="K2405" s="24" t="s">
        <v>601</v>
      </c>
    </row>
    <row r="2406" spans="1:11">
      <c r="A2406" s="12">
        <v>2020</v>
      </c>
      <c r="B2406" s="15" t="s">
        <v>21</v>
      </c>
      <c r="C2406" s="15" t="s">
        <v>35</v>
      </c>
      <c r="D2406" s="15" t="s">
        <v>36</v>
      </c>
      <c r="E2406" s="19">
        <v>322334</v>
      </c>
      <c r="F2406" s="19">
        <v>282440</v>
      </c>
      <c r="G2406" s="20">
        <f t="shared" si="37"/>
        <v>0.46701743130491719</v>
      </c>
      <c r="H2406" s="24" t="s">
        <v>579</v>
      </c>
      <c r="I2406" s="24" t="s">
        <v>596</v>
      </c>
      <c r="J2406" s="24" t="s">
        <v>597</v>
      </c>
      <c r="K2406" s="24" t="s">
        <v>601</v>
      </c>
    </row>
    <row r="2407" spans="1:11">
      <c r="A2407" s="12">
        <v>2020</v>
      </c>
      <c r="B2407" s="15" t="s">
        <v>21</v>
      </c>
      <c r="C2407" s="15" t="s">
        <v>37</v>
      </c>
      <c r="D2407" s="15" t="s">
        <v>38</v>
      </c>
      <c r="E2407" s="19">
        <v>181962</v>
      </c>
      <c r="F2407" s="19">
        <v>167022</v>
      </c>
      <c r="G2407" s="20">
        <f t="shared" si="37"/>
        <v>0.47859500722096143</v>
      </c>
      <c r="H2407" s="24" t="s">
        <v>579</v>
      </c>
      <c r="I2407" s="24" t="s">
        <v>596</v>
      </c>
      <c r="J2407" s="24" t="s">
        <v>597</v>
      </c>
      <c r="K2407" s="24" t="s">
        <v>601</v>
      </c>
    </row>
    <row r="2408" spans="1:11">
      <c r="A2408" s="12">
        <v>2020</v>
      </c>
      <c r="B2408" s="15" t="s">
        <v>21</v>
      </c>
      <c r="C2408" s="15" t="s">
        <v>39</v>
      </c>
      <c r="D2408" s="15" t="s">
        <v>40</v>
      </c>
      <c r="E2408" s="19">
        <v>412786</v>
      </c>
      <c r="F2408" s="19">
        <v>296680</v>
      </c>
      <c r="G2408" s="20">
        <f t="shared" si="37"/>
        <v>0.41817366864655953</v>
      </c>
      <c r="H2408" s="24" t="s">
        <v>579</v>
      </c>
      <c r="I2408" s="24" t="s">
        <v>596</v>
      </c>
      <c r="J2408" s="24" t="s">
        <v>597</v>
      </c>
      <c r="K2408" s="24" t="s">
        <v>601</v>
      </c>
    </row>
    <row r="2409" spans="1:11">
      <c r="A2409" s="12">
        <v>2020</v>
      </c>
      <c r="B2409" s="15" t="s">
        <v>21</v>
      </c>
      <c r="C2409" s="15" t="s">
        <v>41</v>
      </c>
      <c r="D2409" s="15" t="s">
        <v>42</v>
      </c>
      <c r="E2409" s="19">
        <v>244751</v>
      </c>
      <c r="F2409" s="19">
        <v>221982</v>
      </c>
      <c r="G2409" s="20">
        <f t="shared" si="37"/>
        <v>0.47560810999007996</v>
      </c>
      <c r="H2409" s="24" t="s">
        <v>579</v>
      </c>
      <c r="I2409" s="24" t="s">
        <v>596</v>
      </c>
      <c r="J2409" s="24" t="s">
        <v>597</v>
      </c>
      <c r="K2409" s="24" t="s">
        <v>601</v>
      </c>
    </row>
    <row r="2410" spans="1:11">
      <c r="A2410" s="12">
        <v>2020</v>
      </c>
      <c r="B2410" s="15" t="s">
        <v>21</v>
      </c>
      <c r="C2410" s="15" t="s">
        <v>43</v>
      </c>
      <c r="D2410" s="15" t="s">
        <v>44</v>
      </c>
      <c r="E2410" s="19">
        <v>258804</v>
      </c>
      <c r="F2410" s="19">
        <v>218320</v>
      </c>
      <c r="G2410" s="20">
        <f t="shared" si="37"/>
        <v>0.45757497002875563</v>
      </c>
      <c r="H2410" s="24" t="s">
        <v>579</v>
      </c>
      <c r="I2410" s="24" t="s">
        <v>596</v>
      </c>
      <c r="J2410" s="24" t="s">
        <v>597</v>
      </c>
      <c r="K2410" s="24" t="s">
        <v>601</v>
      </c>
    </row>
    <row r="2411" spans="1:11">
      <c r="A2411" s="12">
        <v>2020</v>
      </c>
      <c r="B2411" s="15" t="s">
        <v>21</v>
      </c>
      <c r="C2411" s="15" t="s">
        <v>45</v>
      </c>
      <c r="D2411" s="15" t="s">
        <v>46</v>
      </c>
      <c r="E2411" s="19">
        <v>281117</v>
      </c>
      <c r="F2411" s="19">
        <v>278005</v>
      </c>
      <c r="G2411" s="20">
        <f t="shared" si="37"/>
        <v>0.49721706532742405</v>
      </c>
      <c r="H2411" s="24" t="s">
        <v>579</v>
      </c>
      <c r="I2411" s="24" t="s">
        <v>596</v>
      </c>
      <c r="J2411" s="24" t="s">
        <v>597</v>
      </c>
      <c r="K2411" s="24" t="s">
        <v>601</v>
      </c>
    </row>
    <row r="2412" spans="1:11">
      <c r="A2412" s="12">
        <v>2020</v>
      </c>
      <c r="B2412" s="15" t="s">
        <v>21</v>
      </c>
      <c r="C2412" s="15" t="s">
        <v>47</v>
      </c>
      <c r="D2412" s="15" t="s">
        <v>48</v>
      </c>
      <c r="E2412" s="19">
        <v>277442</v>
      </c>
      <c r="F2412" s="19">
        <v>258662</v>
      </c>
      <c r="G2412" s="20">
        <f t="shared" si="37"/>
        <v>0.4824847417665229</v>
      </c>
      <c r="H2412" s="24" t="s">
        <v>579</v>
      </c>
      <c r="I2412" s="24" t="s">
        <v>596</v>
      </c>
      <c r="J2412" s="24" t="s">
        <v>597</v>
      </c>
      <c r="K2412" s="24" t="s">
        <v>601</v>
      </c>
    </row>
    <row r="2413" spans="1:11">
      <c r="A2413" s="12">
        <v>2020</v>
      </c>
      <c r="B2413" s="15" t="s">
        <v>21</v>
      </c>
      <c r="C2413" s="15" t="s">
        <v>49</v>
      </c>
      <c r="D2413" s="15" t="s">
        <v>50</v>
      </c>
      <c r="E2413" s="19">
        <v>221679</v>
      </c>
      <c r="F2413" s="19">
        <v>222025</v>
      </c>
      <c r="G2413" s="20">
        <f t="shared" si="37"/>
        <v>0.50038989957268809</v>
      </c>
      <c r="H2413" s="24" t="s">
        <v>579</v>
      </c>
      <c r="I2413" s="24" t="s">
        <v>596</v>
      </c>
      <c r="J2413" s="24" t="s">
        <v>597</v>
      </c>
      <c r="K2413" s="24" t="s">
        <v>601</v>
      </c>
    </row>
    <row r="2414" spans="1:11">
      <c r="A2414" s="12">
        <v>2020</v>
      </c>
      <c r="B2414" s="15" t="s">
        <v>21</v>
      </c>
      <c r="C2414" s="15" t="s">
        <v>51</v>
      </c>
      <c r="D2414" s="15" t="s">
        <v>52</v>
      </c>
      <c r="E2414" s="19">
        <v>306861</v>
      </c>
      <c r="F2414" s="19">
        <v>303992</v>
      </c>
      <c r="G2414" s="20">
        <f t="shared" si="37"/>
        <v>0.49765164450366944</v>
      </c>
      <c r="H2414" s="24" t="s">
        <v>579</v>
      </c>
      <c r="I2414" s="24" t="s">
        <v>596</v>
      </c>
      <c r="J2414" s="24" t="s">
        <v>597</v>
      </c>
      <c r="K2414" s="24" t="s">
        <v>601</v>
      </c>
    </row>
    <row r="2415" spans="1:11">
      <c r="A2415" s="12">
        <v>2020</v>
      </c>
      <c r="B2415" s="15" t="s">
        <v>21</v>
      </c>
      <c r="C2415" s="15" t="s">
        <v>53</v>
      </c>
      <c r="D2415" s="15" t="s">
        <v>54</v>
      </c>
      <c r="E2415" s="19">
        <v>210193</v>
      </c>
      <c r="F2415" s="19">
        <v>209849</v>
      </c>
      <c r="G2415" s="20">
        <f t="shared" si="37"/>
        <v>0.49959051713876229</v>
      </c>
      <c r="H2415" s="24" t="s">
        <v>579</v>
      </c>
      <c r="I2415" s="24" t="s">
        <v>596</v>
      </c>
      <c r="J2415" s="24" t="s">
        <v>597</v>
      </c>
      <c r="K2415" s="24" t="s">
        <v>601</v>
      </c>
    </row>
    <row r="2416" spans="1:11">
      <c r="A2416" s="12">
        <v>2020</v>
      </c>
      <c r="B2416" s="15" t="s">
        <v>21</v>
      </c>
      <c r="C2416" s="15" t="s">
        <v>55</v>
      </c>
      <c r="D2416" s="15" t="s">
        <v>56</v>
      </c>
      <c r="E2416" s="19">
        <v>319992</v>
      </c>
      <c r="F2416" s="19">
        <v>299858</v>
      </c>
      <c r="G2416" s="20">
        <f t="shared" si="37"/>
        <v>0.48375897394530937</v>
      </c>
      <c r="H2416" s="24" t="s">
        <v>579</v>
      </c>
      <c r="I2416" s="24" t="s">
        <v>596</v>
      </c>
      <c r="J2416" s="24" t="s">
        <v>597</v>
      </c>
      <c r="K2416" s="24" t="s">
        <v>601</v>
      </c>
    </row>
    <row r="2417" spans="1:11">
      <c r="A2417" s="12">
        <v>2020</v>
      </c>
      <c r="B2417" s="15" t="s">
        <v>21</v>
      </c>
      <c r="C2417" s="15" t="s">
        <v>57</v>
      </c>
      <c r="D2417" s="15" t="s">
        <v>58</v>
      </c>
      <c r="E2417" s="19">
        <v>526663</v>
      </c>
      <c r="F2417" s="19">
        <v>412011</v>
      </c>
      <c r="G2417" s="20">
        <f t="shared" si="37"/>
        <v>0.43892874416464078</v>
      </c>
      <c r="H2417" s="24" t="s">
        <v>579</v>
      </c>
      <c r="I2417" s="24" t="s">
        <v>596</v>
      </c>
      <c r="J2417" s="24" t="s">
        <v>597</v>
      </c>
      <c r="K2417" s="24" t="s">
        <v>601</v>
      </c>
    </row>
    <row r="2418" spans="1:11">
      <c r="A2418" s="12">
        <v>2020</v>
      </c>
      <c r="B2418" s="15" t="s">
        <v>21</v>
      </c>
      <c r="C2418" s="15" t="s">
        <v>59</v>
      </c>
      <c r="D2418" s="15" t="s">
        <v>60</v>
      </c>
      <c r="E2418" s="19">
        <v>344474</v>
      </c>
      <c r="F2418" s="19">
        <v>306440</v>
      </c>
      <c r="G2418" s="20">
        <f t="shared" si="37"/>
        <v>0.4707841588904218</v>
      </c>
      <c r="H2418" s="24" t="s">
        <v>579</v>
      </c>
      <c r="I2418" s="24" t="s">
        <v>596</v>
      </c>
      <c r="J2418" s="24" t="s">
        <v>597</v>
      </c>
      <c r="K2418" s="24" t="s">
        <v>601</v>
      </c>
    </row>
    <row r="2419" spans="1:11">
      <c r="A2419" s="12">
        <v>2020</v>
      </c>
      <c r="B2419" s="15" t="s">
        <v>21</v>
      </c>
      <c r="C2419" s="15" t="s">
        <v>61</v>
      </c>
      <c r="D2419" s="15" t="s">
        <v>62</v>
      </c>
      <c r="E2419" s="19">
        <v>300629</v>
      </c>
      <c r="F2419" s="19">
        <v>271391</v>
      </c>
      <c r="G2419" s="20">
        <f t="shared" si="37"/>
        <v>0.47444320128666828</v>
      </c>
      <c r="H2419" s="24" t="s">
        <v>579</v>
      </c>
      <c r="I2419" s="24" t="s">
        <v>596</v>
      </c>
      <c r="J2419" s="24" t="s">
        <v>597</v>
      </c>
      <c r="K2419" s="24" t="s">
        <v>601</v>
      </c>
    </row>
    <row r="2420" spans="1:11">
      <c r="A2420" s="12">
        <v>2020</v>
      </c>
      <c r="B2420" s="15" t="s">
        <v>21</v>
      </c>
      <c r="C2420" s="15" t="s">
        <v>63</v>
      </c>
      <c r="D2420" s="15" t="s">
        <v>64</v>
      </c>
      <c r="E2420" s="19">
        <v>145821</v>
      </c>
      <c r="F2420" s="19">
        <v>170534</v>
      </c>
      <c r="G2420" s="20">
        <f t="shared" si="37"/>
        <v>0.53905896856379698</v>
      </c>
      <c r="H2420" s="24" t="s">
        <v>579</v>
      </c>
      <c r="I2420" s="24" t="s">
        <v>596</v>
      </c>
      <c r="J2420" s="24" t="s">
        <v>597</v>
      </c>
      <c r="K2420" s="24" t="s">
        <v>601</v>
      </c>
    </row>
    <row r="2421" spans="1:11">
      <c r="A2421" s="12">
        <v>2020</v>
      </c>
      <c r="B2421" s="15" t="s">
        <v>21</v>
      </c>
      <c r="C2421" s="15" t="s">
        <v>65</v>
      </c>
      <c r="D2421" s="15" t="s">
        <v>66</v>
      </c>
      <c r="E2421" s="19">
        <v>375964</v>
      </c>
      <c r="F2421" s="19">
        <v>283514</v>
      </c>
      <c r="G2421" s="20">
        <f t="shared" si="37"/>
        <v>0.4299066837711038</v>
      </c>
      <c r="H2421" s="24" t="s">
        <v>579</v>
      </c>
      <c r="I2421" s="24" t="s">
        <v>596</v>
      </c>
      <c r="J2421" s="24" t="s">
        <v>597</v>
      </c>
      <c r="K2421" s="24" t="s">
        <v>601</v>
      </c>
    </row>
    <row r="2422" spans="1:11">
      <c r="A2422" s="12">
        <v>2020</v>
      </c>
      <c r="B2422" s="15" t="s">
        <v>21</v>
      </c>
      <c r="C2422" s="15" t="s">
        <v>67</v>
      </c>
      <c r="D2422" s="15" t="s">
        <v>68</v>
      </c>
      <c r="E2422" s="19">
        <v>102718</v>
      </c>
      <c r="F2422" s="19">
        <v>109667</v>
      </c>
      <c r="G2422" s="20">
        <f t="shared" si="37"/>
        <v>0.51635944158014924</v>
      </c>
      <c r="H2422" s="24" t="s">
        <v>579</v>
      </c>
      <c r="I2422" s="24" t="s">
        <v>596</v>
      </c>
      <c r="J2422" s="24" t="s">
        <v>597</v>
      </c>
      <c r="K2422" s="24" t="s">
        <v>601</v>
      </c>
    </row>
    <row r="2423" spans="1:11">
      <c r="A2423" s="12">
        <v>2020</v>
      </c>
      <c r="B2423" s="15" t="s">
        <v>21</v>
      </c>
      <c r="C2423" s="15" t="s">
        <v>69</v>
      </c>
      <c r="D2423" s="15" t="s">
        <v>70</v>
      </c>
      <c r="E2423" s="19">
        <v>89442</v>
      </c>
      <c r="F2423" s="19">
        <v>96535</v>
      </c>
      <c r="G2423" s="20">
        <f t="shared" si="37"/>
        <v>0.51906956236523871</v>
      </c>
      <c r="H2423" s="24" t="s">
        <v>579</v>
      </c>
      <c r="I2423" s="24" t="s">
        <v>596</v>
      </c>
      <c r="J2423" s="24" t="s">
        <v>597</v>
      </c>
      <c r="K2423" s="24" t="s">
        <v>601</v>
      </c>
    </row>
    <row r="2424" spans="1:11">
      <c r="A2424" s="12">
        <v>2020</v>
      </c>
      <c r="B2424" s="15" t="s">
        <v>21</v>
      </c>
      <c r="C2424" s="15" t="s">
        <v>71</v>
      </c>
      <c r="D2424" s="15" t="s">
        <v>72</v>
      </c>
      <c r="E2424" s="19">
        <v>302672</v>
      </c>
      <c r="F2424" s="19">
        <v>255391</v>
      </c>
      <c r="G2424" s="20">
        <f t="shared" si="37"/>
        <v>0.45763829531791211</v>
      </c>
      <c r="H2424" s="24" t="s">
        <v>579</v>
      </c>
      <c r="I2424" s="24" t="s">
        <v>596</v>
      </c>
      <c r="J2424" s="24" t="s">
        <v>597</v>
      </c>
      <c r="K2424" s="24" t="s">
        <v>601</v>
      </c>
    </row>
    <row r="2425" spans="1:11">
      <c r="A2425" s="12">
        <v>2020</v>
      </c>
      <c r="B2425" s="15" t="s">
        <v>73</v>
      </c>
      <c r="C2425" s="15" t="s">
        <v>22</v>
      </c>
      <c r="D2425" s="15" t="s">
        <v>73</v>
      </c>
      <c r="E2425" s="19">
        <v>3046113</v>
      </c>
      <c r="F2425" s="19">
        <v>574908</v>
      </c>
      <c r="G2425" s="20">
        <f t="shared" si="37"/>
        <v>0.15876958460058641</v>
      </c>
      <c r="H2425" s="24" t="s">
        <v>583</v>
      </c>
      <c r="I2425" s="24" t="s">
        <v>584</v>
      </c>
      <c r="J2425" s="24" t="s">
        <v>585</v>
      </c>
      <c r="K2425" s="24" t="s">
        <v>601</v>
      </c>
    </row>
    <row r="2426" spans="1:11">
      <c r="A2426" s="12">
        <v>2020</v>
      </c>
      <c r="B2426" s="15" t="s">
        <v>73</v>
      </c>
      <c r="C2426" s="15" t="s">
        <v>29</v>
      </c>
      <c r="D2426" s="15" t="s">
        <v>74</v>
      </c>
      <c r="E2426" s="19">
        <v>96985</v>
      </c>
      <c r="F2426" s="19">
        <v>104946</v>
      </c>
      <c r="G2426" s="20">
        <f t="shared" si="37"/>
        <v>0.51971217891259891</v>
      </c>
      <c r="H2426" s="24" t="s">
        <v>583</v>
      </c>
      <c r="I2426" s="24" t="s">
        <v>584</v>
      </c>
      <c r="J2426" s="24" t="s">
        <v>585</v>
      </c>
      <c r="K2426" s="24" t="s">
        <v>601</v>
      </c>
    </row>
    <row r="2427" spans="1:11">
      <c r="A2427" s="12">
        <v>2020</v>
      </c>
      <c r="B2427" s="15" t="s">
        <v>73</v>
      </c>
      <c r="C2427" s="15" t="s">
        <v>75</v>
      </c>
      <c r="D2427" s="15" t="s">
        <v>76</v>
      </c>
      <c r="E2427" s="19">
        <v>180322</v>
      </c>
      <c r="F2427" s="19">
        <v>161688</v>
      </c>
      <c r="G2427" s="20">
        <f t="shared" si="37"/>
        <v>0.47275810648811439</v>
      </c>
      <c r="H2427" s="24" t="s">
        <v>583</v>
      </c>
      <c r="I2427" s="24" t="s">
        <v>584</v>
      </c>
      <c r="J2427" s="24" t="s">
        <v>585</v>
      </c>
      <c r="K2427" s="24" t="s">
        <v>601</v>
      </c>
    </row>
    <row r="2428" spans="1:11">
      <c r="A2428" s="12">
        <v>2020</v>
      </c>
      <c r="B2428" s="15" t="s">
        <v>73</v>
      </c>
      <c r="C2428" s="15" t="s">
        <v>77</v>
      </c>
      <c r="D2428" s="15" t="s">
        <v>78</v>
      </c>
      <c r="E2428" s="19">
        <v>135797</v>
      </c>
      <c r="F2428" s="19">
        <v>109701</v>
      </c>
      <c r="G2428" s="20">
        <f t="shared" si="37"/>
        <v>0.44685089084228791</v>
      </c>
      <c r="H2428" s="24" t="s">
        <v>583</v>
      </c>
      <c r="I2428" s="24" t="s">
        <v>584</v>
      </c>
      <c r="J2428" s="24" t="s">
        <v>585</v>
      </c>
      <c r="K2428" s="24" t="s">
        <v>601</v>
      </c>
    </row>
    <row r="2429" spans="1:11">
      <c r="A2429" s="12">
        <v>2020</v>
      </c>
      <c r="B2429" s="15" t="s">
        <v>73</v>
      </c>
      <c r="C2429" s="15" t="s">
        <v>79</v>
      </c>
      <c r="D2429" s="15" t="s">
        <v>80</v>
      </c>
      <c r="E2429" s="19">
        <v>205840</v>
      </c>
      <c r="F2429" s="19">
        <v>182693</v>
      </c>
      <c r="G2429" s="20">
        <f t="shared" si="37"/>
        <v>0.47021231143815329</v>
      </c>
      <c r="H2429" s="24" t="s">
        <v>583</v>
      </c>
      <c r="I2429" s="24" t="s">
        <v>584</v>
      </c>
      <c r="J2429" s="24" t="s">
        <v>585</v>
      </c>
      <c r="K2429" s="24" t="s">
        <v>601</v>
      </c>
    </row>
    <row r="2430" spans="1:11">
      <c r="A2430" s="12">
        <v>2020</v>
      </c>
      <c r="B2430" s="15" t="s">
        <v>73</v>
      </c>
      <c r="C2430" s="15" t="s">
        <v>81</v>
      </c>
      <c r="D2430" s="15" t="s">
        <v>82</v>
      </c>
      <c r="E2430" s="19">
        <v>65455</v>
      </c>
      <c r="F2430" s="19">
        <v>64813</v>
      </c>
      <c r="G2430" s="20">
        <f t="shared" si="37"/>
        <v>0.49753584917247523</v>
      </c>
      <c r="H2430" s="24" t="s">
        <v>583</v>
      </c>
      <c r="I2430" s="24" t="s">
        <v>584</v>
      </c>
      <c r="J2430" s="24" t="s">
        <v>585</v>
      </c>
      <c r="K2430" s="24" t="s">
        <v>601</v>
      </c>
    </row>
    <row r="2431" spans="1:11">
      <c r="A2431" s="12">
        <v>2020</v>
      </c>
      <c r="B2431" s="15" t="s">
        <v>73</v>
      </c>
      <c r="C2431" s="15" t="s">
        <v>83</v>
      </c>
      <c r="D2431" s="15" t="s">
        <v>84</v>
      </c>
      <c r="E2431" s="19">
        <v>211590</v>
      </c>
      <c r="F2431" s="19">
        <v>183766</v>
      </c>
      <c r="G2431" s="20">
        <f t="shared" si="37"/>
        <v>0.46481146106294075</v>
      </c>
      <c r="H2431" s="24" t="s">
        <v>583</v>
      </c>
      <c r="I2431" s="24" t="s">
        <v>584</v>
      </c>
      <c r="J2431" s="24" t="s">
        <v>585</v>
      </c>
      <c r="K2431" s="24" t="s">
        <v>601</v>
      </c>
    </row>
    <row r="2432" spans="1:11">
      <c r="A2432" s="12">
        <v>2020</v>
      </c>
      <c r="B2432" s="15" t="s">
        <v>73</v>
      </c>
      <c r="C2432" s="15" t="s">
        <v>85</v>
      </c>
      <c r="D2432" s="15" t="s">
        <v>86</v>
      </c>
      <c r="E2432" s="19">
        <v>284079</v>
      </c>
      <c r="F2432" s="19">
        <v>222253</v>
      </c>
      <c r="G2432" s="20">
        <f t="shared" si="37"/>
        <v>0.43894717300111391</v>
      </c>
      <c r="H2432" s="24" t="s">
        <v>583</v>
      </c>
      <c r="I2432" s="24" t="s">
        <v>584</v>
      </c>
      <c r="J2432" s="24" t="s">
        <v>585</v>
      </c>
      <c r="K2432" s="24" t="s">
        <v>601</v>
      </c>
    </row>
    <row r="2433" spans="1:11">
      <c r="A2433" s="12">
        <v>2020</v>
      </c>
      <c r="B2433" s="15" t="s">
        <v>73</v>
      </c>
      <c r="C2433" s="15" t="s">
        <v>87</v>
      </c>
      <c r="D2433" s="15" t="s">
        <v>88</v>
      </c>
      <c r="E2433" s="19">
        <v>235450</v>
      </c>
      <c r="F2433" s="19">
        <v>159690</v>
      </c>
      <c r="G2433" s="20">
        <f t="shared" si="37"/>
        <v>0.40413524320494004</v>
      </c>
      <c r="H2433" s="24" t="s">
        <v>583</v>
      </c>
      <c r="I2433" s="24" t="s">
        <v>584</v>
      </c>
      <c r="J2433" s="24" t="s">
        <v>585</v>
      </c>
      <c r="K2433" s="24" t="s">
        <v>601</v>
      </c>
    </row>
    <row r="2434" spans="1:11">
      <c r="A2434" s="12">
        <v>2020</v>
      </c>
      <c r="B2434" s="15" t="s">
        <v>73</v>
      </c>
      <c r="C2434" s="15" t="s">
        <v>89</v>
      </c>
      <c r="D2434" s="15" t="s">
        <v>90</v>
      </c>
      <c r="E2434" s="19">
        <v>158250</v>
      </c>
      <c r="F2434" s="19">
        <v>153680</v>
      </c>
      <c r="G2434" s="20">
        <f t="shared" si="37"/>
        <v>0.49267463854069821</v>
      </c>
      <c r="H2434" s="24" t="s">
        <v>583</v>
      </c>
      <c r="I2434" s="24" t="s">
        <v>584</v>
      </c>
      <c r="J2434" s="24" t="s">
        <v>585</v>
      </c>
      <c r="K2434" s="24" t="s">
        <v>601</v>
      </c>
    </row>
    <row r="2435" spans="1:11">
      <c r="A2435" s="12">
        <v>2020</v>
      </c>
      <c r="B2435" s="15" t="s">
        <v>73</v>
      </c>
      <c r="C2435" s="15" t="s">
        <v>91</v>
      </c>
      <c r="D2435" s="15" t="s">
        <v>92</v>
      </c>
      <c r="E2435" s="19">
        <v>256084</v>
      </c>
      <c r="F2435" s="19">
        <v>186675</v>
      </c>
      <c r="G2435" s="20">
        <f t="shared" si="37"/>
        <v>0.42161762945530185</v>
      </c>
      <c r="H2435" s="24" t="s">
        <v>583</v>
      </c>
      <c r="I2435" s="24" t="s">
        <v>584</v>
      </c>
      <c r="J2435" s="24" t="s">
        <v>585</v>
      </c>
      <c r="K2435" s="24" t="s">
        <v>601</v>
      </c>
    </row>
    <row r="2436" spans="1:11">
      <c r="A2436" s="12">
        <v>2020</v>
      </c>
      <c r="B2436" s="15" t="s">
        <v>73</v>
      </c>
      <c r="C2436" s="15" t="s">
        <v>93</v>
      </c>
      <c r="D2436" s="15" t="s">
        <v>94</v>
      </c>
      <c r="E2436" s="19">
        <v>81234</v>
      </c>
      <c r="F2436" s="19">
        <v>78293</v>
      </c>
      <c r="G2436" s="20">
        <f t="shared" si="37"/>
        <v>0.49078212465601434</v>
      </c>
      <c r="H2436" s="24" t="s">
        <v>583</v>
      </c>
      <c r="I2436" s="24" t="s">
        <v>584</v>
      </c>
      <c r="J2436" s="24" t="s">
        <v>585</v>
      </c>
      <c r="K2436" s="24" t="s">
        <v>601</v>
      </c>
    </row>
    <row r="2437" spans="1:11">
      <c r="A2437" s="12">
        <v>2020</v>
      </c>
      <c r="B2437" s="15" t="s">
        <v>73</v>
      </c>
      <c r="C2437" s="15" t="s">
        <v>95</v>
      </c>
      <c r="D2437" s="15" t="s">
        <v>96</v>
      </c>
      <c r="E2437" s="19">
        <v>129435</v>
      </c>
      <c r="F2437" s="19">
        <v>126604</v>
      </c>
      <c r="G2437" s="20">
        <f t="shared" si="37"/>
        <v>0.49447154535051302</v>
      </c>
      <c r="H2437" s="24" t="s">
        <v>583</v>
      </c>
      <c r="I2437" s="24" t="s">
        <v>584</v>
      </c>
      <c r="J2437" s="24" t="s">
        <v>585</v>
      </c>
      <c r="K2437" s="24" t="s">
        <v>601</v>
      </c>
    </row>
    <row r="2438" spans="1:11">
      <c r="A2438" s="12">
        <v>2020</v>
      </c>
      <c r="B2438" s="15" t="s">
        <v>73</v>
      </c>
      <c r="C2438" s="15" t="s">
        <v>97</v>
      </c>
      <c r="D2438" s="15" t="s">
        <v>98</v>
      </c>
      <c r="E2438" s="19">
        <v>152413</v>
      </c>
      <c r="F2438" s="19">
        <v>157011</v>
      </c>
      <c r="G2438" s="20">
        <f t="shared" ref="G2438:G2501" si="38">IFERROR(F2438/(E2438+F2438),"")</f>
        <v>0.50742993432959305</v>
      </c>
      <c r="H2438" s="24" t="s">
        <v>583</v>
      </c>
      <c r="I2438" s="24" t="s">
        <v>584</v>
      </c>
      <c r="J2438" s="24" t="s">
        <v>585</v>
      </c>
      <c r="K2438" s="24" t="s">
        <v>601</v>
      </c>
    </row>
    <row r="2439" spans="1:11">
      <c r="A2439" s="12">
        <v>2020</v>
      </c>
      <c r="B2439" s="15" t="s">
        <v>73</v>
      </c>
      <c r="C2439" s="15" t="s">
        <v>99</v>
      </c>
      <c r="D2439" s="15" t="s">
        <v>100</v>
      </c>
      <c r="E2439" s="19">
        <v>91174</v>
      </c>
      <c r="F2439" s="19">
        <v>73475</v>
      </c>
      <c r="G2439" s="20">
        <f t="shared" si="38"/>
        <v>0.44625233071564357</v>
      </c>
      <c r="H2439" s="24" t="s">
        <v>583</v>
      </c>
      <c r="I2439" s="24" t="s">
        <v>584</v>
      </c>
      <c r="J2439" s="24" t="s">
        <v>585</v>
      </c>
      <c r="K2439" s="24" t="s">
        <v>601</v>
      </c>
    </row>
    <row r="2440" spans="1:11">
      <c r="A2440" s="12">
        <v>2020</v>
      </c>
      <c r="B2440" s="15" t="s">
        <v>73</v>
      </c>
      <c r="C2440" s="15" t="s">
        <v>69</v>
      </c>
      <c r="D2440" s="15" t="s">
        <v>101</v>
      </c>
      <c r="E2440" s="19">
        <v>28482</v>
      </c>
      <c r="F2440" s="19">
        <v>31283</v>
      </c>
      <c r="G2440" s="20">
        <f t="shared" si="38"/>
        <v>0.52343344767004096</v>
      </c>
      <c r="H2440" s="24" t="s">
        <v>583</v>
      </c>
      <c r="I2440" s="24" t="s">
        <v>584</v>
      </c>
      <c r="J2440" s="24" t="s">
        <v>585</v>
      </c>
      <c r="K2440" s="24" t="s">
        <v>601</v>
      </c>
    </row>
    <row r="2441" spans="1:11">
      <c r="A2441" s="12">
        <v>2020</v>
      </c>
      <c r="B2441" s="15" t="s">
        <v>73</v>
      </c>
      <c r="C2441" s="15" t="s">
        <v>102</v>
      </c>
      <c r="D2441" s="15" t="s">
        <v>103</v>
      </c>
      <c r="E2441" s="19">
        <v>323038</v>
      </c>
      <c r="F2441" s="19">
        <v>241853</v>
      </c>
      <c r="G2441" s="20">
        <f t="shared" si="38"/>
        <v>0.42814100419372941</v>
      </c>
      <c r="H2441" s="24" t="s">
        <v>583</v>
      </c>
      <c r="I2441" s="24" t="s">
        <v>584</v>
      </c>
      <c r="J2441" s="24" t="s">
        <v>585</v>
      </c>
      <c r="K2441" s="24" t="s">
        <v>601</v>
      </c>
    </row>
    <row r="2442" spans="1:11">
      <c r="A2442" s="12">
        <v>2020</v>
      </c>
      <c r="B2442" s="15" t="s">
        <v>104</v>
      </c>
      <c r="C2442" s="15" t="s">
        <v>22</v>
      </c>
      <c r="D2442" s="15" t="s">
        <v>104</v>
      </c>
      <c r="E2442" s="19">
        <v>2191627</v>
      </c>
      <c r="F2442" s="19">
        <v>392259</v>
      </c>
      <c r="G2442" s="20">
        <f t="shared" si="38"/>
        <v>0.15180971606332477</v>
      </c>
      <c r="H2442" s="24" t="s">
        <v>583</v>
      </c>
      <c r="I2442" s="24" t="s">
        <v>584</v>
      </c>
      <c r="J2442" s="24" t="s">
        <v>585</v>
      </c>
      <c r="K2442" s="24" t="s">
        <v>601</v>
      </c>
    </row>
    <row r="2443" spans="1:11">
      <c r="A2443" s="12">
        <v>2020</v>
      </c>
      <c r="B2443" s="15" t="s">
        <v>104</v>
      </c>
      <c r="C2443" s="15" t="s">
        <v>79</v>
      </c>
      <c r="D2443" s="15" t="s">
        <v>107</v>
      </c>
      <c r="E2443" s="19">
        <v>102222</v>
      </c>
      <c r="F2443" s="19">
        <v>112970</v>
      </c>
      <c r="G2443" s="20">
        <f t="shared" si="38"/>
        <v>0.52497304732517935</v>
      </c>
      <c r="H2443" s="24" t="s">
        <v>583</v>
      </c>
      <c r="I2443" s="24" t="s">
        <v>584</v>
      </c>
      <c r="J2443" s="24" t="s">
        <v>585</v>
      </c>
      <c r="K2443" s="24" t="s">
        <v>601</v>
      </c>
    </row>
    <row r="2444" spans="1:11">
      <c r="A2444" s="12">
        <v>2020</v>
      </c>
      <c r="B2444" s="15" t="s">
        <v>104</v>
      </c>
      <c r="C2444" s="15" t="s">
        <v>108</v>
      </c>
      <c r="D2444" s="15" t="s">
        <v>109</v>
      </c>
      <c r="E2444" s="19">
        <v>467333</v>
      </c>
      <c r="F2444" s="19">
        <v>339387</v>
      </c>
      <c r="G2444" s="20">
        <f t="shared" si="38"/>
        <v>0.42069987108290363</v>
      </c>
      <c r="H2444" s="24" t="s">
        <v>583</v>
      </c>
      <c r="I2444" s="24" t="s">
        <v>584</v>
      </c>
      <c r="J2444" s="24" t="s">
        <v>585</v>
      </c>
      <c r="K2444" s="24" t="s">
        <v>601</v>
      </c>
    </row>
    <row r="2445" spans="1:11">
      <c r="A2445" s="12">
        <v>2020</v>
      </c>
      <c r="B2445" s="15" t="s">
        <v>104</v>
      </c>
      <c r="C2445" s="15" t="s">
        <v>110</v>
      </c>
      <c r="D2445" s="15" t="s">
        <v>111</v>
      </c>
      <c r="E2445" s="19">
        <v>200832</v>
      </c>
      <c r="F2445" s="19">
        <v>187304</v>
      </c>
      <c r="G2445" s="20">
        <f t="shared" si="38"/>
        <v>0.48257311870066161</v>
      </c>
      <c r="H2445" s="24" t="s">
        <v>583</v>
      </c>
      <c r="I2445" s="24" t="s">
        <v>584</v>
      </c>
      <c r="J2445" s="24" t="s">
        <v>585</v>
      </c>
      <c r="K2445" s="24" t="s">
        <v>601</v>
      </c>
    </row>
    <row r="2446" spans="1:11">
      <c r="A2446" s="12">
        <v>2020</v>
      </c>
      <c r="B2446" s="15" t="s">
        <v>104</v>
      </c>
      <c r="C2446" s="15" t="s">
        <v>81</v>
      </c>
      <c r="D2446" s="15" t="s">
        <v>112</v>
      </c>
      <c r="E2446" s="19">
        <v>272357</v>
      </c>
      <c r="F2446" s="19">
        <v>223314</v>
      </c>
      <c r="G2446" s="20">
        <f t="shared" si="38"/>
        <v>0.45052867728795915</v>
      </c>
      <c r="H2446" s="24" t="s">
        <v>583</v>
      </c>
      <c r="I2446" s="24" t="s">
        <v>584</v>
      </c>
      <c r="J2446" s="24" t="s">
        <v>585</v>
      </c>
      <c r="K2446" s="24" t="s">
        <v>601</v>
      </c>
    </row>
    <row r="2447" spans="1:11">
      <c r="A2447" s="12">
        <v>2020</v>
      </c>
      <c r="B2447" s="15" t="s">
        <v>104</v>
      </c>
      <c r="C2447" s="15" t="s">
        <v>87</v>
      </c>
      <c r="D2447" s="15" t="s">
        <v>113</v>
      </c>
      <c r="E2447" s="19">
        <v>358485</v>
      </c>
      <c r="F2447" s="19">
        <v>270434</v>
      </c>
      <c r="G2447" s="20">
        <f t="shared" si="38"/>
        <v>0.4299981396650443</v>
      </c>
      <c r="H2447" s="24" t="s">
        <v>583</v>
      </c>
      <c r="I2447" s="24" t="s">
        <v>584</v>
      </c>
      <c r="J2447" s="24" t="s">
        <v>585</v>
      </c>
      <c r="K2447" s="24" t="s">
        <v>601</v>
      </c>
    </row>
    <row r="2448" spans="1:11">
      <c r="A2448" s="12">
        <v>2020</v>
      </c>
      <c r="B2448" s="15" t="s">
        <v>104</v>
      </c>
      <c r="C2448" s="15" t="s">
        <v>93</v>
      </c>
      <c r="D2448" s="15" t="s">
        <v>114</v>
      </c>
      <c r="E2448" s="19">
        <v>123773</v>
      </c>
      <c r="F2448" s="19">
        <v>129906</v>
      </c>
      <c r="G2448" s="20">
        <f t="shared" si="38"/>
        <v>0.51208811135332444</v>
      </c>
      <c r="H2448" s="24" t="s">
        <v>583</v>
      </c>
      <c r="I2448" s="24" t="s">
        <v>584</v>
      </c>
      <c r="J2448" s="24" t="s">
        <v>585</v>
      </c>
      <c r="K2448" s="24" t="s">
        <v>601</v>
      </c>
    </row>
    <row r="2449" spans="1:11">
      <c r="A2449" s="12">
        <v>2020</v>
      </c>
      <c r="B2449" s="15" t="s">
        <v>104</v>
      </c>
      <c r="C2449" s="15" t="s">
        <v>115</v>
      </c>
      <c r="D2449" s="15" t="s">
        <v>116</v>
      </c>
      <c r="E2449" s="19">
        <v>343033</v>
      </c>
      <c r="F2449" s="19">
        <v>280184</v>
      </c>
      <c r="G2449" s="20">
        <f t="shared" si="38"/>
        <v>0.44957695313189466</v>
      </c>
      <c r="H2449" s="24" t="s">
        <v>583</v>
      </c>
      <c r="I2449" s="24" t="s">
        <v>584</v>
      </c>
      <c r="J2449" s="24" t="s">
        <v>585</v>
      </c>
      <c r="K2449" s="24" t="s">
        <v>601</v>
      </c>
    </row>
    <row r="2450" spans="1:11">
      <c r="A2450" s="12">
        <v>2020</v>
      </c>
      <c r="B2450" s="15" t="s">
        <v>104</v>
      </c>
      <c r="C2450" s="15" t="s">
        <v>69</v>
      </c>
      <c r="D2450" s="15" t="s">
        <v>117</v>
      </c>
      <c r="E2450" s="19">
        <v>56267</v>
      </c>
      <c r="F2450" s="19">
        <v>56522</v>
      </c>
      <c r="G2450" s="20">
        <f t="shared" si="38"/>
        <v>0.5011304293858444</v>
      </c>
      <c r="H2450" s="24" t="s">
        <v>583</v>
      </c>
      <c r="I2450" s="24" t="s">
        <v>584</v>
      </c>
      <c r="J2450" s="24" t="s">
        <v>585</v>
      </c>
      <c r="K2450" s="24" t="s">
        <v>601</v>
      </c>
    </row>
    <row r="2451" spans="1:11">
      <c r="A2451" s="12">
        <v>2020</v>
      </c>
      <c r="B2451" s="15" t="s">
        <v>118</v>
      </c>
      <c r="C2451" s="15" t="s">
        <v>22</v>
      </c>
      <c r="D2451" s="15" t="s">
        <v>118</v>
      </c>
      <c r="E2451" s="19">
        <v>2575096</v>
      </c>
      <c r="F2451" s="19">
        <v>926440</v>
      </c>
      <c r="G2451" s="20">
        <f t="shared" si="38"/>
        <v>0.26458102958244611</v>
      </c>
      <c r="H2451" s="24" t="s">
        <v>579</v>
      </c>
      <c r="I2451" s="24" t="s">
        <v>596</v>
      </c>
      <c r="J2451" s="24" t="s">
        <v>597</v>
      </c>
      <c r="K2451" s="24" t="s">
        <v>601</v>
      </c>
    </row>
    <row r="2452" spans="1:11">
      <c r="A2452" s="12">
        <v>2020</v>
      </c>
      <c r="B2452" s="15" t="s">
        <v>118</v>
      </c>
      <c r="C2452" s="15" t="s">
        <v>119</v>
      </c>
      <c r="D2452" s="15" t="s">
        <v>120</v>
      </c>
      <c r="E2452" s="19">
        <v>50006</v>
      </c>
      <c r="F2452" s="19">
        <v>47269</v>
      </c>
      <c r="G2452" s="20">
        <f t="shared" si="38"/>
        <v>0.48593163711128246</v>
      </c>
      <c r="H2452" s="24" t="s">
        <v>579</v>
      </c>
      <c r="I2452" s="24" t="s">
        <v>596</v>
      </c>
      <c r="J2452" s="24" t="s">
        <v>597</v>
      </c>
      <c r="K2452" s="24" t="s">
        <v>601</v>
      </c>
    </row>
    <row r="2453" spans="1:11">
      <c r="A2453" s="12">
        <v>2020</v>
      </c>
      <c r="B2453" s="15" t="s">
        <v>118</v>
      </c>
      <c r="C2453" s="15" t="s">
        <v>121</v>
      </c>
      <c r="D2453" s="15" t="s">
        <v>122</v>
      </c>
      <c r="E2453" s="19">
        <v>238848</v>
      </c>
      <c r="F2453" s="19">
        <v>165455</v>
      </c>
      <c r="G2453" s="20">
        <f t="shared" si="38"/>
        <v>0.40923515284328832</v>
      </c>
      <c r="H2453" s="24" t="s">
        <v>579</v>
      </c>
      <c r="I2453" s="24" t="s">
        <v>596</v>
      </c>
      <c r="J2453" s="24" t="s">
        <v>597</v>
      </c>
      <c r="K2453" s="24" t="s">
        <v>601</v>
      </c>
    </row>
    <row r="2454" spans="1:11">
      <c r="A2454" s="12">
        <v>2020</v>
      </c>
      <c r="B2454" s="15" t="s">
        <v>118</v>
      </c>
      <c r="C2454" s="15" t="s">
        <v>124</v>
      </c>
      <c r="D2454" s="15" t="s">
        <v>125</v>
      </c>
      <c r="E2454" s="19">
        <v>431894</v>
      </c>
      <c r="F2454" s="19">
        <v>301029</v>
      </c>
      <c r="G2454" s="20">
        <f t="shared" si="38"/>
        <v>0.41072390960578398</v>
      </c>
      <c r="H2454" s="24" t="s">
        <v>579</v>
      </c>
      <c r="I2454" s="24" t="s">
        <v>596</v>
      </c>
      <c r="J2454" s="24" t="s">
        <v>597</v>
      </c>
      <c r="K2454" s="24" t="s">
        <v>601</v>
      </c>
    </row>
    <row r="2455" spans="1:11">
      <c r="A2455" s="12">
        <v>2020</v>
      </c>
      <c r="B2455" s="15" t="s">
        <v>118</v>
      </c>
      <c r="C2455" s="15" t="s">
        <v>81</v>
      </c>
      <c r="D2455" s="15" t="s">
        <v>126</v>
      </c>
      <c r="E2455" s="19">
        <v>45666</v>
      </c>
      <c r="F2455" s="19">
        <v>46199</v>
      </c>
      <c r="G2455" s="20">
        <f t="shared" si="38"/>
        <v>0.5029009960267784</v>
      </c>
      <c r="H2455" s="24" t="s">
        <v>579</v>
      </c>
      <c r="I2455" s="24" t="s">
        <v>596</v>
      </c>
      <c r="J2455" s="24" t="s">
        <v>597</v>
      </c>
      <c r="K2455" s="24" t="s">
        <v>601</v>
      </c>
    </row>
    <row r="2456" spans="1:11">
      <c r="A2456" s="12">
        <v>2020</v>
      </c>
      <c r="B2456" s="15" t="s">
        <v>118</v>
      </c>
      <c r="C2456" s="15" t="s">
        <v>127</v>
      </c>
      <c r="D2456" s="15" t="s">
        <v>128</v>
      </c>
      <c r="E2456" s="19">
        <v>308940</v>
      </c>
      <c r="F2456" s="19">
        <v>266192</v>
      </c>
      <c r="G2456" s="20">
        <f t="shared" si="38"/>
        <v>0.46283635756661079</v>
      </c>
      <c r="H2456" s="24" t="s">
        <v>579</v>
      </c>
      <c r="I2456" s="24" t="s">
        <v>596</v>
      </c>
      <c r="J2456" s="24" t="s">
        <v>597</v>
      </c>
      <c r="K2456" s="24" t="s">
        <v>601</v>
      </c>
    </row>
    <row r="2457" spans="1:11">
      <c r="A2457" s="12">
        <v>2020</v>
      </c>
      <c r="B2457" s="15" t="s">
        <v>118</v>
      </c>
      <c r="C2457" s="15" t="s">
        <v>129</v>
      </c>
      <c r="D2457" s="15" t="s">
        <v>130</v>
      </c>
      <c r="E2457" s="19">
        <v>399336</v>
      </c>
      <c r="F2457" s="19">
        <v>288795</v>
      </c>
      <c r="G2457" s="20">
        <f t="shared" si="38"/>
        <v>0.41968026436826711</v>
      </c>
      <c r="H2457" s="24" t="s">
        <v>579</v>
      </c>
      <c r="I2457" s="24" t="s">
        <v>596</v>
      </c>
      <c r="J2457" s="24" t="s">
        <v>597</v>
      </c>
      <c r="K2457" s="24" t="s">
        <v>601</v>
      </c>
    </row>
    <row r="2458" spans="1:11">
      <c r="A2458" s="12">
        <v>2020</v>
      </c>
      <c r="B2458" s="15" t="s">
        <v>118</v>
      </c>
      <c r="C2458" s="15" t="s">
        <v>93</v>
      </c>
      <c r="D2458" s="15" t="s">
        <v>131</v>
      </c>
      <c r="E2458" s="19">
        <v>450725</v>
      </c>
      <c r="F2458" s="19">
        <v>289499</v>
      </c>
      <c r="G2458" s="20">
        <f t="shared" si="38"/>
        <v>0.39109647890368321</v>
      </c>
      <c r="H2458" s="24" t="s">
        <v>579</v>
      </c>
      <c r="I2458" s="24" t="s">
        <v>596</v>
      </c>
      <c r="J2458" s="24" t="s">
        <v>597</v>
      </c>
      <c r="K2458" s="24" t="s">
        <v>601</v>
      </c>
    </row>
    <row r="2459" spans="1:11">
      <c r="A2459" s="12">
        <v>2020</v>
      </c>
      <c r="B2459" s="15" t="s">
        <v>118</v>
      </c>
      <c r="C2459" s="15" t="s">
        <v>132</v>
      </c>
      <c r="D2459" s="15" t="s">
        <v>133</v>
      </c>
      <c r="E2459" s="19">
        <v>307917</v>
      </c>
      <c r="F2459" s="19">
        <v>237927</v>
      </c>
      <c r="G2459" s="20">
        <f t="shared" si="38"/>
        <v>0.43588827577109945</v>
      </c>
      <c r="H2459" s="24" t="s">
        <v>579</v>
      </c>
      <c r="I2459" s="24" t="s">
        <v>596</v>
      </c>
      <c r="J2459" s="24" t="s">
        <v>597</v>
      </c>
      <c r="K2459" s="24" t="s">
        <v>601</v>
      </c>
    </row>
    <row r="2460" spans="1:11">
      <c r="A2460" s="12">
        <v>2020</v>
      </c>
      <c r="B2460" s="15" t="s">
        <v>118</v>
      </c>
      <c r="C2460" s="15" t="s">
        <v>134</v>
      </c>
      <c r="D2460" s="15" t="s">
        <v>135</v>
      </c>
      <c r="E2460" s="19">
        <v>11638</v>
      </c>
      <c r="F2460" s="19">
        <v>17339</v>
      </c>
      <c r="G2460" s="20">
        <f t="shared" si="38"/>
        <v>0.59837112192428477</v>
      </c>
      <c r="H2460" s="24" t="s">
        <v>579</v>
      </c>
      <c r="I2460" s="24" t="s">
        <v>596</v>
      </c>
      <c r="J2460" s="24" t="s">
        <v>597</v>
      </c>
      <c r="K2460" s="24" t="s">
        <v>601</v>
      </c>
    </row>
    <row r="2461" spans="1:11">
      <c r="A2461" s="12">
        <v>2020</v>
      </c>
      <c r="B2461" s="15" t="s">
        <v>118</v>
      </c>
      <c r="C2461" s="15" t="s">
        <v>69</v>
      </c>
      <c r="D2461" s="15" t="s">
        <v>136</v>
      </c>
      <c r="E2461" s="19">
        <v>102624</v>
      </c>
      <c r="F2461" s="19">
        <v>96613</v>
      </c>
      <c r="G2461" s="20">
        <f t="shared" si="38"/>
        <v>0.48491495053629596</v>
      </c>
      <c r="H2461" s="24" t="s">
        <v>579</v>
      </c>
      <c r="I2461" s="24" t="s">
        <v>596</v>
      </c>
      <c r="J2461" s="24" t="s">
        <v>597</v>
      </c>
      <c r="K2461" s="24" t="s">
        <v>601</v>
      </c>
    </row>
    <row r="2462" spans="1:11">
      <c r="A2462" s="12">
        <v>2020</v>
      </c>
      <c r="B2462" s="15" t="s">
        <v>137</v>
      </c>
      <c r="C2462" s="15" t="s">
        <v>22</v>
      </c>
      <c r="D2462" s="15" t="s">
        <v>137</v>
      </c>
      <c r="E2462" s="19">
        <v>1319087</v>
      </c>
      <c r="F2462" s="19">
        <v>288428</v>
      </c>
      <c r="G2462" s="20">
        <f t="shared" si="38"/>
        <v>0.17942476431013085</v>
      </c>
      <c r="H2462" s="24" t="s">
        <v>586</v>
      </c>
      <c r="I2462" s="24" t="s">
        <v>587</v>
      </c>
      <c r="J2462" s="24" t="s">
        <v>588</v>
      </c>
      <c r="K2462" s="24" t="s">
        <v>601</v>
      </c>
    </row>
    <row r="2463" spans="1:11">
      <c r="A2463" s="12">
        <v>2020</v>
      </c>
      <c r="B2463" s="15" t="s">
        <v>137</v>
      </c>
      <c r="C2463" s="15" t="s">
        <v>138</v>
      </c>
      <c r="D2463" s="15" t="s">
        <v>139</v>
      </c>
      <c r="E2463" s="19">
        <v>346237</v>
      </c>
      <c r="F2463" s="19">
        <v>223093</v>
      </c>
      <c r="G2463" s="20">
        <f t="shared" si="38"/>
        <v>0.39185182583036199</v>
      </c>
      <c r="H2463" s="24" t="s">
        <v>586</v>
      </c>
      <c r="I2463" s="24" t="s">
        <v>587</v>
      </c>
      <c r="J2463" s="24" t="s">
        <v>588</v>
      </c>
      <c r="K2463" s="24" t="s">
        <v>601</v>
      </c>
    </row>
    <row r="2464" spans="1:11">
      <c r="A2464" s="12">
        <v>2020</v>
      </c>
      <c r="B2464" s="15" t="s">
        <v>137</v>
      </c>
      <c r="C2464" s="15" t="s">
        <v>79</v>
      </c>
      <c r="D2464" s="15" t="s">
        <v>140</v>
      </c>
      <c r="E2464" s="19">
        <v>168859</v>
      </c>
      <c r="F2464" s="19">
        <v>148468</v>
      </c>
      <c r="G2464" s="20">
        <f t="shared" si="38"/>
        <v>0.46787068229302897</v>
      </c>
      <c r="H2464" s="24" t="s">
        <v>586</v>
      </c>
      <c r="I2464" s="24" t="s">
        <v>587</v>
      </c>
      <c r="J2464" s="24" t="s">
        <v>588</v>
      </c>
      <c r="K2464" s="24" t="s">
        <v>601</v>
      </c>
    </row>
    <row r="2465" spans="1:11">
      <c r="A2465" s="12">
        <v>2020</v>
      </c>
      <c r="B2465" s="15" t="s">
        <v>137</v>
      </c>
      <c r="C2465" s="15" t="s">
        <v>81</v>
      </c>
      <c r="D2465" s="15" t="s">
        <v>141</v>
      </c>
      <c r="E2465" s="19">
        <v>72834</v>
      </c>
      <c r="F2465" s="19">
        <v>79737</v>
      </c>
      <c r="G2465" s="20">
        <f t="shared" si="38"/>
        <v>0.52262225455689482</v>
      </c>
      <c r="H2465" s="24" t="s">
        <v>586</v>
      </c>
      <c r="I2465" s="24" t="s">
        <v>587</v>
      </c>
      <c r="J2465" s="24" t="s">
        <v>588</v>
      </c>
      <c r="K2465" s="24" t="s">
        <v>601</v>
      </c>
    </row>
    <row r="2466" spans="1:11">
      <c r="A2466" s="12">
        <v>2020</v>
      </c>
      <c r="B2466" s="15" t="s">
        <v>137</v>
      </c>
      <c r="C2466" s="15" t="s">
        <v>87</v>
      </c>
      <c r="D2466" s="15" t="s">
        <v>142</v>
      </c>
      <c r="E2466" s="19">
        <v>349001</v>
      </c>
      <c r="F2466" s="19">
        <v>273618</v>
      </c>
      <c r="G2466" s="20">
        <f t="shared" si="38"/>
        <v>0.43946297816160446</v>
      </c>
      <c r="H2466" s="24" t="s">
        <v>586</v>
      </c>
      <c r="I2466" s="24" t="s">
        <v>587</v>
      </c>
      <c r="J2466" s="24" t="s">
        <v>588</v>
      </c>
      <c r="K2466" s="24" t="s">
        <v>601</v>
      </c>
    </row>
    <row r="2467" spans="1:11">
      <c r="A2467" s="12">
        <v>2020</v>
      </c>
      <c r="B2467" s="15" t="s">
        <v>137</v>
      </c>
      <c r="C2467" s="15" t="s">
        <v>93</v>
      </c>
      <c r="D2467" s="15" t="s">
        <v>143</v>
      </c>
      <c r="E2467" s="19">
        <v>242711</v>
      </c>
      <c r="F2467" s="19">
        <v>190472</v>
      </c>
      <c r="G2467" s="20">
        <f t="shared" si="38"/>
        <v>0.43970331245686001</v>
      </c>
      <c r="H2467" s="24" t="s">
        <v>586</v>
      </c>
      <c r="I2467" s="24" t="s">
        <v>587</v>
      </c>
      <c r="J2467" s="24" t="s">
        <v>588</v>
      </c>
      <c r="K2467" s="24" t="s">
        <v>601</v>
      </c>
    </row>
    <row r="2468" spans="1:11">
      <c r="A2468" s="12">
        <v>2020</v>
      </c>
      <c r="B2468" s="15" t="s">
        <v>144</v>
      </c>
      <c r="C2468" s="15" t="s">
        <v>22</v>
      </c>
      <c r="D2468" s="15" t="s">
        <v>144</v>
      </c>
      <c r="E2468" s="19">
        <v>1322534</v>
      </c>
      <c r="F2468" s="19">
        <v>302170</v>
      </c>
      <c r="G2468" s="20">
        <f t="shared" si="38"/>
        <v>0.18598464704955486</v>
      </c>
      <c r="H2468" s="24" t="s">
        <v>589</v>
      </c>
      <c r="I2468" s="24" t="s">
        <v>560</v>
      </c>
      <c r="J2468" s="24" t="s">
        <v>590</v>
      </c>
      <c r="K2468" s="24" t="s">
        <v>601</v>
      </c>
    </row>
    <row r="2469" spans="1:11">
      <c r="A2469" s="12">
        <v>2020</v>
      </c>
      <c r="B2469" s="15" t="s">
        <v>144</v>
      </c>
      <c r="C2469" s="15" t="s">
        <v>145</v>
      </c>
      <c r="D2469" s="15" t="s">
        <v>146</v>
      </c>
      <c r="E2469" s="19">
        <v>139024</v>
      </c>
      <c r="F2469" s="19">
        <v>126034</v>
      </c>
      <c r="G2469" s="20">
        <f t="shared" si="38"/>
        <v>0.47549592919285588</v>
      </c>
      <c r="H2469" s="24" t="s">
        <v>589</v>
      </c>
      <c r="I2469" s="24" t="s">
        <v>560</v>
      </c>
      <c r="J2469" s="24" t="s">
        <v>590</v>
      </c>
      <c r="K2469" s="24" t="s">
        <v>601</v>
      </c>
    </row>
    <row r="2470" spans="1:11">
      <c r="A2470" s="12">
        <v>2020</v>
      </c>
      <c r="B2470" s="15" t="s">
        <v>144</v>
      </c>
      <c r="C2470" s="15" t="s">
        <v>81</v>
      </c>
      <c r="D2470" s="15" t="s">
        <v>147</v>
      </c>
      <c r="E2470" s="19">
        <v>170120</v>
      </c>
      <c r="F2470" s="19">
        <v>166950</v>
      </c>
      <c r="G2470" s="20">
        <f t="shared" si="38"/>
        <v>0.49529771264129113</v>
      </c>
      <c r="H2470" s="24" t="s">
        <v>589</v>
      </c>
      <c r="I2470" s="24" t="s">
        <v>560</v>
      </c>
      <c r="J2470" s="24" t="s">
        <v>590</v>
      </c>
      <c r="K2470" s="24" t="s">
        <v>601</v>
      </c>
    </row>
    <row r="2471" spans="1:11">
      <c r="A2471" s="12">
        <v>2020</v>
      </c>
      <c r="B2471" s="15" t="s">
        <v>144</v>
      </c>
      <c r="C2471" s="15" t="s">
        <v>93</v>
      </c>
      <c r="D2471" s="15" t="s">
        <v>148</v>
      </c>
      <c r="E2471" s="19">
        <v>406040</v>
      </c>
      <c r="F2471" s="19">
        <v>270567</v>
      </c>
      <c r="G2471" s="20">
        <f t="shared" si="38"/>
        <v>0.39988797041709589</v>
      </c>
      <c r="H2471" s="24" t="s">
        <v>589</v>
      </c>
      <c r="I2471" s="24" t="s">
        <v>560</v>
      </c>
      <c r="J2471" s="24" t="s">
        <v>590</v>
      </c>
      <c r="K2471" s="24" t="s">
        <v>601</v>
      </c>
    </row>
    <row r="2472" spans="1:11">
      <c r="A2472" s="12">
        <v>2020</v>
      </c>
      <c r="B2472" s="15" t="s">
        <v>144</v>
      </c>
      <c r="C2472" s="15" t="s">
        <v>149</v>
      </c>
      <c r="D2472" s="15" t="s">
        <v>150</v>
      </c>
      <c r="E2472" s="19">
        <v>281149</v>
      </c>
      <c r="F2472" s="19">
        <v>240189</v>
      </c>
      <c r="G2472" s="20">
        <f t="shared" si="38"/>
        <v>0.46071646417487311</v>
      </c>
      <c r="H2472" s="24" t="s">
        <v>589</v>
      </c>
      <c r="I2472" s="24" t="s">
        <v>560</v>
      </c>
      <c r="J2472" s="24" t="s">
        <v>590</v>
      </c>
      <c r="K2472" s="24" t="s">
        <v>601</v>
      </c>
    </row>
    <row r="2473" spans="1:11">
      <c r="A2473" s="12">
        <v>2020</v>
      </c>
      <c r="B2473" s="15" t="s">
        <v>144</v>
      </c>
      <c r="C2473" s="15" t="s">
        <v>69</v>
      </c>
      <c r="D2473" s="15" t="s">
        <v>151</v>
      </c>
      <c r="E2473" s="19">
        <v>188364</v>
      </c>
      <c r="F2473" s="19">
        <v>163148</v>
      </c>
      <c r="G2473" s="20">
        <f t="shared" si="38"/>
        <v>0.46413209221875784</v>
      </c>
      <c r="H2473" s="24" t="s">
        <v>589</v>
      </c>
      <c r="I2473" s="24" t="s">
        <v>560</v>
      </c>
      <c r="J2473" s="24" t="s">
        <v>590</v>
      </c>
      <c r="K2473" s="24" t="s">
        <v>601</v>
      </c>
    </row>
    <row r="2474" spans="1:11">
      <c r="A2474" s="12">
        <v>2020</v>
      </c>
      <c r="B2474" s="15" t="s">
        <v>152</v>
      </c>
      <c r="C2474" s="15" t="s">
        <v>22</v>
      </c>
      <c r="D2474" s="15" t="s">
        <v>152</v>
      </c>
      <c r="E2474" s="19">
        <v>1028623</v>
      </c>
      <c r="F2474" s="19">
        <v>225893</v>
      </c>
      <c r="G2474" s="20">
        <f t="shared" si="38"/>
        <v>0.18006386526756135</v>
      </c>
      <c r="H2474" s="24" t="s">
        <v>583</v>
      </c>
      <c r="I2474" s="24" t="s">
        <v>584</v>
      </c>
      <c r="J2474" s="24" t="s">
        <v>585</v>
      </c>
      <c r="K2474" s="24" t="s">
        <v>601</v>
      </c>
    </row>
    <row r="2475" spans="1:11">
      <c r="A2475" s="12">
        <v>2020</v>
      </c>
      <c r="B2475" s="15" t="s">
        <v>152</v>
      </c>
      <c r="C2475" s="15" t="s">
        <v>79</v>
      </c>
      <c r="D2475" s="15" t="s">
        <v>153</v>
      </c>
      <c r="E2475" s="19">
        <v>277483</v>
      </c>
      <c r="F2475" s="19">
        <v>151100</v>
      </c>
      <c r="G2475" s="20">
        <f t="shared" si="38"/>
        <v>0.35255714762368084</v>
      </c>
      <c r="H2475" s="24" t="s">
        <v>583</v>
      </c>
      <c r="I2475" s="24" t="s">
        <v>584</v>
      </c>
      <c r="J2475" s="24" t="s">
        <v>585</v>
      </c>
      <c r="K2475" s="24" t="s">
        <v>601</v>
      </c>
    </row>
    <row r="2476" spans="1:11">
      <c r="A2476" s="12">
        <v>2020</v>
      </c>
      <c r="B2476" s="15" t="s">
        <v>152</v>
      </c>
      <c r="C2476" s="15" t="s">
        <v>81</v>
      </c>
      <c r="D2476" s="15" t="s">
        <v>154</v>
      </c>
      <c r="E2476" s="19">
        <v>137522</v>
      </c>
      <c r="F2476" s="19">
        <v>75233</v>
      </c>
      <c r="G2476" s="20">
        <f t="shared" si="38"/>
        <v>0.35361331108552091</v>
      </c>
      <c r="H2476" s="24" t="s">
        <v>583</v>
      </c>
      <c r="I2476" s="24" t="s">
        <v>584</v>
      </c>
      <c r="J2476" s="24" t="s">
        <v>585</v>
      </c>
      <c r="K2476" s="24" t="s">
        <v>601</v>
      </c>
    </row>
    <row r="2477" spans="1:11">
      <c r="A2477" s="12">
        <v>2020</v>
      </c>
      <c r="B2477" s="15" t="s">
        <v>152</v>
      </c>
      <c r="C2477" s="15" t="s">
        <v>87</v>
      </c>
      <c r="D2477" s="15" t="s">
        <v>155</v>
      </c>
      <c r="E2477" s="19">
        <v>170703</v>
      </c>
      <c r="F2477" s="19">
        <v>149323</v>
      </c>
      <c r="G2477" s="20">
        <f t="shared" si="38"/>
        <v>0.46659646403729699</v>
      </c>
      <c r="H2477" s="24" t="s">
        <v>583</v>
      </c>
      <c r="I2477" s="24" t="s">
        <v>584</v>
      </c>
      <c r="J2477" s="24" t="s">
        <v>585</v>
      </c>
      <c r="K2477" s="24" t="s">
        <v>601</v>
      </c>
    </row>
    <row r="2478" spans="1:11">
      <c r="A2478" s="12">
        <v>2020</v>
      </c>
      <c r="B2478" s="15" t="s">
        <v>152</v>
      </c>
      <c r="C2478" s="15" t="s">
        <v>156</v>
      </c>
      <c r="D2478" s="15" t="s">
        <v>157</v>
      </c>
      <c r="E2478" s="19">
        <v>157472</v>
      </c>
      <c r="F2478" s="19">
        <v>167111</v>
      </c>
      <c r="G2478" s="20">
        <f t="shared" si="38"/>
        <v>0.51484828225754276</v>
      </c>
      <c r="H2478" s="24" t="s">
        <v>583</v>
      </c>
      <c r="I2478" s="24" t="s">
        <v>584</v>
      </c>
      <c r="J2478" s="24" t="s">
        <v>585</v>
      </c>
      <c r="K2478" s="24" t="s">
        <v>601</v>
      </c>
    </row>
    <row r="2479" spans="1:11">
      <c r="A2479" s="12">
        <v>2020</v>
      </c>
      <c r="B2479" s="15" t="s">
        <v>152</v>
      </c>
      <c r="C2479" s="15" t="s">
        <v>69</v>
      </c>
      <c r="D2479" s="15" t="s">
        <v>158</v>
      </c>
      <c r="E2479" s="19">
        <v>169928</v>
      </c>
      <c r="F2479" s="19">
        <v>152095</v>
      </c>
      <c r="G2479" s="20">
        <f t="shared" si="38"/>
        <v>0.47231098399803739</v>
      </c>
      <c r="H2479" s="24" t="s">
        <v>583</v>
      </c>
      <c r="I2479" s="24" t="s">
        <v>584</v>
      </c>
      <c r="J2479" s="24" t="s">
        <v>585</v>
      </c>
      <c r="K2479" s="24" t="s">
        <v>601</v>
      </c>
    </row>
    <row r="2480" spans="1:11">
      <c r="A2480" s="12">
        <v>2020</v>
      </c>
      <c r="B2480" s="15" t="s">
        <v>159</v>
      </c>
      <c r="C2480" s="15" t="s">
        <v>22</v>
      </c>
      <c r="D2480" s="15" t="s">
        <v>159</v>
      </c>
      <c r="E2480" s="19">
        <v>291957</v>
      </c>
      <c r="F2480" s="19">
        <v>211699</v>
      </c>
      <c r="G2480" s="20">
        <f t="shared" si="38"/>
        <v>0.42032458662261546</v>
      </c>
      <c r="H2480" s="24" t="s">
        <v>589</v>
      </c>
      <c r="I2480" s="24" t="s">
        <v>560</v>
      </c>
      <c r="J2480" s="24" t="s">
        <v>590</v>
      </c>
      <c r="K2480" s="24" t="s">
        <v>601</v>
      </c>
    </row>
    <row r="2481" spans="1:11">
      <c r="A2481" s="12">
        <v>2020</v>
      </c>
      <c r="B2481" s="15" t="s">
        <v>160</v>
      </c>
      <c r="C2481" s="15" t="s">
        <v>22</v>
      </c>
      <c r="D2481" s="15" t="s">
        <v>160</v>
      </c>
      <c r="E2481" s="19">
        <v>11914464</v>
      </c>
      <c r="F2481" s="19">
        <v>4395837</v>
      </c>
      <c r="G2481" s="20">
        <f t="shared" si="38"/>
        <v>0.26951292928315668</v>
      </c>
      <c r="H2481" s="24" t="s">
        <v>579</v>
      </c>
      <c r="I2481" s="24" t="s">
        <v>596</v>
      </c>
      <c r="J2481" s="24" t="s">
        <v>597</v>
      </c>
      <c r="K2481" s="24" t="s">
        <v>601</v>
      </c>
    </row>
    <row r="2482" spans="1:11">
      <c r="A2482" s="12">
        <v>2020</v>
      </c>
      <c r="B2482" s="15" t="s">
        <v>160</v>
      </c>
      <c r="C2482" s="15" t="s">
        <v>161</v>
      </c>
      <c r="D2482" s="15" t="s">
        <v>162</v>
      </c>
      <c r="E2482" s="19">
        <v>46156</v>
      </c>
      <c r="F2482" s="19">
        <v>45249</v>
      </c>
      <c r="G2482" s="20">
        <f t="shared" si="38"/>
        <v>0.49503856462994367</v>
      </c>
      <c r="H2482" s="24" t="s">
        <v>579</v>
      </c>
      <c r="I2482" s="24" t="s">
        <v>591</v>
      </c>
      <c r="J2482" s="24" t="s">
        <v>592</v>
      </c>
      <c r="K2482" s="24" t="s">
        <v>601</v>
      </c>
    </row>
    <row r="2483" spans="1:11">
      <c r="A2483" s="12">
        <v>2020</v>
      </c>
      <c r="B2483" s="15" t="s">
        <v>160</v>
      </c>
      <c r="C2483" s="15" t="s">
        <v>163</v>
      </c>
      <c r="D2483" s="15" t="s">
        <v>164</v>
      </c>
      <c r="E2483" s="19">
        <v>360752</v>
      </c>
      <c r="F2483" s="19">
        <v>309953</v>
      </c>
      <c r="G2483" s="20">
        <f t="shared" si="38"/>
        <v>0.4621301466367479</v>
      </c>
      <c r="H2483" s="24" t="s">
        <v>579</v>
      </c>
      <c r="I2483" s="24" t="s">
        <v>591</v>
      </c>
      <c r="J2483" s="24" t="s">
        <v>592</v>
      </c>
      <c r="K2483" s="24" t="s">
        <v>601</v>
      </c>
    </row>
    <row r="2484" spans="1:11">
      <c r="A2484" s="12">
        <v>2020</v>
      </c>
      <c r="B2484" s="15" t="s">
        <v>160</v>
      </c>
      <c r="C2484" s="15" t="s">
        <v>167</v>
      </c>
      <c r="D2484" s="15" t="s">
        <v>168</v>
      </c>
      <c r="E2484" s="19">
        <v>225273</v>
      </c>
      <c r="F2484" s="19">
        <v>193824</v>
      </c>
      <c r="G2484" s="20">
        <f t="shared" si="38"/>
        <v>0.46248004638544299</v>
      </c>
      <c r="H2484" s="24" t="s">
        <v>579</v>
      </c>
      <c r="I2484" s="24" t="s">
        <v>591</v>
      </c>
      <c r="J2484" s="24" t="s">
        <v>592</v>
      </c>
      <c r="K2484" s="24" t="s">
        <v>601</v>
      </c>
    </row>
    <row r="2485" spans="1:11">
      <c r="A2485" s="12">
        <v>2020</v>
      </c>
      <c r="B2485" s="15" t="s">
        <v>160</v>
      </c>
      <c r="C2485" s="15" t="s">
        <v>169</v>
      </c>
      <c r="D2485" s="15" t="s">
        <v>170</v>
      </c>
      <c r="E2485" s="19">
        <v>232547</v>
      </c>
      <c r="F2485" s="19">
        <v>203092</v>
      </c>
      <c r="G2485" s="20">
        <f t="shared" si="38"/>
        <v>0.4661933389802107</v>
      </c>
      <c r="H2485" s="24" t="s">
        <v>579</v>
      </c>
      <c r="I2485" s="24" t="s">
        <v>591</v>
      </c>
      <c r="J2485" s="24" t="s">
        <v>592</v>
      </c>
      <c r="K2485" s="24" t="s">
        <v>601</v>
      </c>
    </row>
    <row r="2486" spans="1:11">
      <c r="A2486" s="12">
        <v>2020</v>
      </c>
      <c r="B2486" s="15" t="s">
        <v>160</v>
      </c>
      <c r="C2486" s="15" t="s">
        <v>171</v>
      </c>
      <c r="D2486" s="15" t="s">
        <v>172</v>
      </c>
      <c r="E2486" s="19">
        <v>42463</v>
      </c>
      <c r="F2486" s="19">
        <v>47872</v>
      </c>
      <c r="G2486" s="20">
        <f t="shared" si="38"/>
        <v>0.5299385620191509</v>
      </c>
      <c r="H2486" s="24" t="s">
        <v>579</v>
      </c>
      <c r="I2486" s="24" t="s">
        <v>591</v>
      </c>
      <c r="J2486" s="24" t="s">
        <v>592</v>
      </c>
      <c r="K2486" s="24" t="s">
        <v>601</v>
      </c>
    </row>
    <row r="2487" spans="1:11">
      <c r="A2487" s="12">
        <v>2020</v>
      </c>
      <c r="B2487" s="15" t="s">
        <v>160</v>
      </c>
      <c r="C2487" s="15" t="s">
        <v>173</v>
      </c>
      <c r="D2487" s="15" t="s">
        <v>174</v>
      </c>
      <c r="E2487" s="19">
        <v>246072</v>
      </c>
      <c r="F2487" s="19">
        <v>172852</v>
      </c>
      <c r="G2487" s="20">
        <f t="shared" si="38"/>
        <v>0.41260944705960984</v>
      </c>
      <c r="H2487" s="24" t="s">
        <v>579</v>
      </c>
      <c r="I2487" s="24" t="s">
        <v>591</v>
      </c>
      <c r="J2487" s="24" t="s">
        <v>592</v>
      </c>
      <c r="K2487" s="24" t="s">
        <v>601</v>
      </c>
    </row>
    <row r="2488" spans="1:11">
      <c r="A2488" s="12">
        <v>2020</v>
      </c>
      <c r="B2488" s="15" t="s">
        <v>160</v>
      </c>
      <c r="C2488" s="15" t="s">
        <v>175</v>
      </c>
      <c r="D2488" s="15" t="s">
        <v>176</v>
      </c>
      <c r="E2488" s="19">
        <v>282602</v>
      </c>
      <c r="F2488" s="19">
        <v>251839</v>
      </c>
      <c r="G2488" s="20">
        <f t="shared" si="38"/>
        <v>0.47121946108176582</v>
      </c>
      <c r="H2488" s="24" t="s">
        <v>579</v>
      </c>
      <c r="I2488" s="24" t="s">
        <v>591</v>
      </c>
      <c r="J2488" s="24" t="s">
        <v>592</v>
      </c>
      <c r="K2488" s="24" t="s">
        <v>601</v>
      </c>
    </row>
    <row r="2489" spans="1:11">
      <c r="A2489" s="12">
        <v>2020</v>
      </c>
      <c r="B2489" s="15" t="s">
        <v>160</v>
      </c>
      <c r="C2489" s="15" t="s">
        <v>177</v>
      </c>
      <c r="D2489" s="15" t="s">
        <v>178</v>
      </c>
      <c r="E2489" s="19">
        <v>157307</v>
      </c>
      <c r="F2489" s="19">
        <v>114398</v>
      </c>
      <c r="G2489" s="20">
        <f t="shared" si="38"/>
        <v>0.4210375223128025</v>
      </c>
      <c r="H2489" s="24" t="s">
        <v>579</v>
      </c>
      <c r="I2489" s="24" t="s">
        <v>591</v>
      </c>
      <c r="J2489" s="24" t="s">
        <v>592</v>
      </c>
      <c r="K2489" s="24" t="s">
        <v>601</v>
      </c>
    </row>
    <row r="2490" spans="1:11">
      <c r="A2490" s="12">
        <v>2020</v>
      </c>
      <c r="B2490" s="15" t="s">
        <v>160</v>
      </c>
      <c r="C2490" s="15" t="s">
        <v>179</v>
      </c>
      <c r="D2490" s="15" t="s">
        <v>180</v>
      </c>
      <c r="E2490" s="19">
        <v>223625</v>
      </c>
      <c r="F2490" s="19">
        <v>163393</v>
      </c>
      <c r="G2490" s="20">
        <f t="shared" si="38"/>
        <v>0.42218449787865164</v>
      </c>
      <c r="H2490" s="24" t="s">
        <v>579</v>
      </c>
      <c r="I2490" s="24" t="s">
        <v>591</v>
      </c>
      <c r="J2490" s="24" t="s">
        <v>592</v>
      </c>
      <c r="K2490" s="24" t="s">
        <v>601</v>
      </c>
    </row>
    <row r="2491" spans="1:11">
      <c r="A2491" s="12">
        <v>2020</v>
      </c>
      <c r="B2491" s="15" t="s">
        <v>160</v>
      </c>
      <c r="C2491" s="15" t="s">
        <v>181</v>
      </c>
      <c r="D2491" s="15" t="s">
        <v>182</v>
      </c>
      <c r="E2491" s="19">
        <v>390591</v>
      </c>
      <c r="F2491" s="19">
        <v>264663</v>
      </c>
      <c r="G2491" s="20">
        <f t="shared" si="38"/>
        <v>0.40390901848748728</v>
      </c>
      <c r="H2491" s="24" t="s">
        <v>579</v>
      </c>
      <c r="I2491" s="24" t="s">
        <v>591</v>
      </c>
      <c r="J2491" s="24" t="s">
        <v>592</v>
      </c>
      <c r="K2491" s="24" t="s">
        <v>601</v>
      </c>
    </row>
    <row r="2492" spans="1:11">
      <c r="A2492" s="12">
        <v>2020</v>
      </c>
      <c r="B2492" s="15" t="s">
        <v>160</v>
      </c>
      <c r="C2492" s="15" t="s">
        <v>183</v>
      </c>
      <c r="D2492" s="15" t="s">
        <v>184</v>
      </c>
      <c r="E2492" s="19">
        <v>566508</v>
      </c>
      <c r="F2492" s="19">
        <v>425325</v>
      </c>
      <c r="G2492" s="20">
        <f t="shared" si="38"/>
        <v>0.42882723200377482</v>
      </c>
      <c r="H2492" s="24" t="s">
        <v>579</v>
      </c>
      <c r="I2492" s="24" t="s">
        <v>591</v>
      </c>
      <c r="J2492" s="24" t="s">
        <v>592</v>
      </c>
      <c r="K2492" s="24" t="s">
        <v>601</v>
      </c>
    </row>
    <row r="2493" spans="1:11">
      <c r="A2493" s="12">
        <v>2020</v>
      </c>
      <c r="B2493" s="15" t="s">
        <v>160</v>
      </c>
      <c r="C2493" s="15" t="s">
        <v>185</v>
      </c>
      <c r="D2493" s="15" t="s">
        <v>186</v>
      </c>
      <c r="E2493" s="19">
        <v>75376</v>
      </c>
      <c r="F2493" s="19">
        <v>53816</v>
      </c>
      <c r="G2493" s="20">
        <f t="shared" si="38"/>
        <v>0.41655830082358042</v>
      </c>
      <c r="H2493" s="24" t="s">
        <v>579</v>
      </c>
      <c r="I2493" s="24" t="s">
        <v>591</v>
      </c>
      <c r="J2493" s="24" t="s">
        <v>592</v>
      </c>
      <c r="K2493" s="24" t="s">
        <v>601</v>
      </c>
    </row>
    <row r="2494" spans="1:11">
      <c r="A2494" s="12">
        <v>2020</v>
      </c>
      <c r="B2494" s="15" t="s">
        <v>160</v>
      </c>
      <c r="C2494" s="15" t="s">
        <v>187</v>
      </c>
      <c r="D2494" s="15" t="s">
        <v>188</v>
      </c>
      <c r="E2494" s="19">
        <v>697478</v>
      </c>
      <c r="F2494" s="19">
        <v>364054</v>
      </c>
      <c r="G2494" s="20">
        <f t="shared" si="38"/>
        <v>0.34295150782077222</v>
      </c>
      <c r="H2494" s="24" t="s">
        <v>579</v>
      </c>
      <c r="I2494" s="24" t="s">
        <v>596</v>
      </c>
      <c r="J2494" s="24" t="s">
        <v>597</v>
      </c>
      <c r="K2494" s="24" t="s">
        <v>601</v>
      </c>
    </row>
    <row r="2495" spans="1:11">
      <c r="A2495" s="12">
        <v>2020</v>
      </c>
      <c r="B2495" s="15" t="s">
        <v>160</v>
      </c>
      <c r="C2495" s="15" t="s">
        <v>195</v>
      </c>
      <c r="D2495" s="15" t="s">
        <v>196</v>
      </c>
      <c r="E2495" s="19">
        <v>399246</v>
      </c>
      <c r="F2495" s="19">
        <v>248140</v>
      </c>
      <c r="G2495" s="20">
        <f t="shared" si="38"/>
        <v>0.38329528287605846</v>
      </c>
      <c r="H2495" s="24" t="s">
        <v>579</v>
      </c>
      <c r="I2495" s="24" t="s">
        <v>596</v>
      </c>
      <c r="J2495" s="24" t="s">
        <v>597</v>
      </c>
      <c r="K2495" s="24" t="s">
        <v>601</v>
      </c>
    </row>
    <row r="2496" spans="1:11">
      <c r="A2496" s="12">
        <v>2020</v>
      </c>
      <c r="B2496" s="15" t="s">
        <v>160</v>
      </c>
      <c r="C2496" s="15" t="s">
        <v>197</v>
      </c>
      <c r="D2496" s="15" t="s">
        <v>198</v>
      </c>
      <c r="E2496" s="19">
        <v>169776</v>
      </c>
      <c r="F2496" s="19">
        <v>179787</v>
      </c>
      <c r="G2496" s="20">
        <f t="shared" si="38"/>
        <v>0.51431930724933705</v>
      </c>
      <c r="H2496" s="24" t="s">
        <v>579</v>
      </c>
      <c r="I2496" s="24" t="s">
        <v>596</v>
      </c>
      <c r="J2496" s="24" t="s">
        <v>597</v>
      </c>
      <c r="K2496" s="24" t="s">
        <v>601</v>
      </c>
    </row>
    <row r="2497" spans="1:11">
      <c r="A2497" s="12">
        <v>2020</v>
      </c>
      <c r="B2497" s="15" t="s">
        <v>160</v>
      </c>
      <c r="C2497" s="15" t="s">
        <v>199</v>
      </c>
      <c r="D2497" s="15" t="s">
        <v>200</v>
      </c>
      <c r="E2497" s="19">
        <v>152605</v>
      </c>
      <c r="F2497" s="19">
        <v>162895</v>
      </c>
      <c r="G2497" s="20">
        <f t="shared" si="38"/>
        <v>0.5163074484944532</v>
      </c>
      <c r="H2497" s="24" t="s">
        <v>579</v>
      </c>
      <c r="I2497" s="24" t="s">
        <v>596</v>
      </c>
      <c r="J2497" s="24" t="s">
        <v>597</v>
      </c>
      <c r="K2497" s="24" t="s">
        <v>601</v>
      </c>
    </row>
    <row r="2498" spans="1:11">
      <c r="A2498" s="12">
        <v>2020</v>
      </c>
      <c r="B2498" s="15" t="s">
        <v>160</v>
      </c>
      <c r="C2498" s="15" t="s">
        <v>201</v>
      </c>
      <c r="D2498" s="15" t="s">
        <v>202</v>
      </c>
      <c r="E2498" s="19">
        <v>275141</v>
      </c>
      <c r="F2498" s="19">
        <v>267846</v>
      </c>
      <c r="G2498" s="20">
        <f t="shared" si="38"/>
        <v>0.49328252794265792</v>
      </c>
      <c r="H2498" s="24" t="s">
        <v>579</v>
      </c>
      <c r="I2498" s="24" t="s">
        <v>596</v>
      </c>
      <c r="J2498" s="24" t="s">
        <v>597</v>
      </c>
      <c r="K2498" s="24" t="s">
        <v>601</v>
      </c>
    </row>
    <row r="2499" spans="1:11">
      <c r="A2499" s="12">
        <v>2020</v>
      </c>
      <c r="B2499" s="15" t="s">
        <v>160</v>
      </c>
      <c r="C2499" s="15" t="s">
        <v>203</v>
      </c>
      <c r="D2499" s="15" t="s">
        <v>204</v>
      </c>
      <c r="E2499" s="19">
        <v>287909</v>
      </c>
      <c r="F2499" s="19">
        <v>249373</v>
      </c>
      <c r="G2499" s="20">
        <f t="shared" si="38"/>
        <v>0.4641380131848824</v>
      </c>
      <c r="H2499" s="24" t="s">
        <v>579</v>
      </c>
      <c r="I2499" s="24" t="s">
        <v>596</v>
      </c>
      <c r="J2499" s="24" t="s">
        <v>597</v>
      </c>
      <c r="K2499" s="24" t="s">
        <v>601</v>
      </c>
    </row>
    <row r="2500" spans="1:11">
      <c r="A2500" s="12">
        <v>2020</v>
      </c>
      <c r="B2500" s="15" t="s">
        <v>160</v>
      </c>
      <c r="C2500" s="15" t="s">
        <v>205</v>
      </c>
      <c r="D2500" s="15" t="s">
        <v>206</v>
      </c>
      <c r="E2500" s="19">
        <v>215474</v>
      </c>
      <c r="F2500" s="19">
        <v>180799</v>
      </c>
      <c r="G2500" s="20">
        <f t="shared" si="38"/>
        <v>0.45624859629598785</v>
      </c>
      <c r="H2500" s="24" t="s">
        <v>579</v>
      </c>
      <c r="I2500" s="24" t="s">
        <v>596</v>
      </c>
      <c r="J2500" s="24" t="s">
        <v>597</v>
      </c>
      <c r="K2500" s="24" t="s">
        <v>601</v>
      </c>
    </row>
    <row r="2501" spans="1:11">
      <c r="A2501" s="12">
        <v>2020</v>
      </c>
      <c r="B2501" s="15" t="s">
        <v>160</v>
      </c>
      <c r="C2501" s="15" t="s">
        <v>207</v>
      </c>
      <c r="D2501" s="15" t="s">
        <v>208</v>
      </c>
      <c r="E2501" s="19">
        <v>134934</v>
      </c>
      <c r="F2501" s="19">
        <v>128401</v>
      </c>
      <c r="G2501" s="20">
        <f t="shared" si="38"/>
        <v>0.48759564812880929</v>
      </c>
      <c r="H2501" s="24" t="s">
        <v>579</v>
      </c>
      <c r="I2501" s="24" t="s">
        <v>596</v>
      </c>
      <c r="J2501" s="24" t="s">
        <v>597</v>
      </c>
      <c r="K2501" s="24" t="s">
        <v>601</v>
      </c>
    </row>
    <row r="2502" spans="1:11">
      <c r="A2502" s="12">
        <v>2020</v>
      </c>
      <c r="B2502" s="15" t="s">
        <v>160</v>
      </c>
      <c r="C2502" s="15" t="s">
        <v>209</v>
      </c>
      <c r="D2502" s="15" t="s">
        <v>210</v>
      </c>
      <c r="E2502" s="19">
        <v>418900</v>
      </c>
      <c r="F2502" s="19">
        <v>300796</v>
      </c>
      <c r="G2502" s="20">
        <f t="shared" ref="G2502:G2565" si="39">IFERROR(F2502/(E2502+F2502),"")</f>
        <v>0.41794868944665525</v>
      </c>
      <c r="H2502" s="24" t="s">
        <v>579</v>
      </c>
      <c r="I2502" s="24" t="s">
        <v>591</v>
      </c>
      <c r="J2502" s="24" t="s">
        <v>592</v>
      </c>
      <c r="K2502" s="24" t="s">
        <v>601</v>
      </c>
    </row>
    <row r="2503" spans="1:11">
      <c r="A2503" s="12">
        <v>2020</v>
      </c>
      <c r="B2503" s="15" t="s">
        <v>160</v>
      </c>
      <c r="C2503" s="15" t="s">
        <v>211</v>
      </c>
      <c r="D2503" s="15" t="s">
        <v>212</v>
      </c>
      <c r="E2503" s="19">
        <v>277170</v>
      </c>
      <c r="F2503" s="19">
        <v>165062</v>
      </c>
      <c r="G2503" s="20">
        <f t="shared" si="39"/>
        <v>0.37324752618535068</v>
      </c>
      <c r="H2503" s="24" t="s">
        <v>579</v>
      </c>
      <c r="I2503" s="24" t="s">
        <v>591</v>
      </c>
      <c r="J2503" s="24" t="s">
        <v>592</v>
      </c>
      <c r="K2503" s="24" t="s">
        <v>601</v>
      </c>
    </row>
    <row r="2504" spans="1:11">
      <c r="A2504" s="12">
        <v>2020</v>
      </c>
      <c r="B2504" s="15" t="s">
        <v>160</v>
      </c>
      <c r="C2504" s="15" t="s">
        <v>213</v>
      </c>
      <c r="D2504" s="15" t="s">
        <v>214</v>
      </c>
      <c r="E2504" s="19">
        <v>255774</v>
      </c>
      <c r="F2504" s="19">
        <v>250302</v>
      </c>
      <c r="G2504" s="20">
        <f t="shared" si="39"/>
        <v>0.4945936973893249</v>
      </c>
      <c r="H2504" s="24" t="s">
        <v>579</v>
      </c>
      <c r="I2504" s="24" t="s">
        <v>591</v>
      </c>
      <c r="J2504" s="24" t="s">
        <v>592</v>
      </c>
      <c r="K2504" s="24" t="s">
        <v>601</v>
      </c>
    </row>
    <row r="2505" spans="1:11">
      <c r="A2505" s="12">
        <v>2020</v>
      </c>
      <c r="B2505" s="15" t="s">
        <v>160</v>
      </c>
      <c r="C2505" s="15" t="s">
        <v>215</v>
      </c>
      <c r="D2505" s="15" t="s">
        <v>216</v>
      </c>
      <c r="E2505" s="19">
        <v>153597</v>
      </c>
      <c r="F2505" s="19">
        <v>114500</v>
      </c>
      <c r="G2505" s="20">
        <f t="shared" si="39"/>
        <v>0.42708422697754916</v>
      </c>
      <c r="H2505" s="24" t="s">
        <v>579</v>
      </c>
      <c r="I2505" s="24" t="s">
        <v>591</v>
      </c>
      <c r="J2505" s="24" t="s">
        <v>592</v>
      </c>
      <c r="K2505" s="24" t="s">
        <v>601</v>
      </c>
    </row>
    <row r="2506" spans="1:11">
      <c r="A2506" s="12">
        <v>2020</v>
      </c>
      <c r="B2506" s="15" t="s">
        <v>160</v>
      </c>
      <c r="C2506" s="15" t="s">
        <v>217</v>
      </c>
      <c r="D2506" s="15" t="s">
        <v>218</v>
      </c>
      <c r="E2506" s="19">
        <v>254498</v>
      </c>
      <c r="F2506" s="19">
        <v>178994</v>
      </c>
      <c r="G2506" s="20">
        <f t="shared" si="39"/>
        <v>0.4129118876472922</v>
      </c>
      <c r="H2506" s="24" t="s">
        <v>579</v>
      </c>
      <c r="I2506" s="24" t="s">
        <v>596</v>
      </c>
      <c r="J2506" s="24" t="s">
        <v>597</v>
      </c>
      <c r="K2506" s="24" t="s">
        <v>601</v>
      </c>
    </row>
    <row r="2507" spans="1:11">
      <c r="A2507" s="12">
        <v>2020</v>
      </c>
      <c r="B2507" s="15" t="s">
        <v>160</v>
      </c>
      <c r="C2507" s="15" t="s">
        <v>219</v>
      </c>
      <c r="D2507" s="15" t="s">
        <v>220</v>
      </c>
      <c r="E2507" s="19">
        <v>181372</v>
      </c>
      <c r="F2507" s="19">
        <v>163157</v>
      </c>
      <c r="G2507" s="20">
        <f t="shared" si="39"/>
        <v>0.47356536024543655</v>
      </c>
      <c r="H2507" s="24" t="s">
        <v>579</v>
      </c>
      <c r="I2507" s="24" t="s">
        <v>596</v>
      </c>
      <c r="J2507" s="24" t="s">
        <v>597</v>
      </c>
      <c r="K2507" s="24" t="s">
        <v>601</v>
      </c>
    </row>
    <row r="2508" spans="1:11">
      <c r="A2508" s="12">
        <v>2020</v>
      </c>
      <c r="B2508" s="15" t="s">
        <v>160</v>
      </c>
      <c r="C2508" s="15" t="s">
        <v>221</v>
      </c>
      <c r="D2508" s="15" t="s">
        <v>222</v>
      </c>
      <c r="E2508" s="19">
        <v>175918</v>
      </c>
      <c r="F2508" s="19">
        <v>154381</v>
      </c>
      <c r="G2508" s="20">
        <f t="shared" si="39"/>
        <v>0.46739772145843617</v>
      </c>
      <c r="H2508" s="24" t="s">
        <v>579</v>
      </c>
      <c r="I2508" s="24" t="s">
        <v>591</v>
      </c>
      <c r="J2508" s="24" t="s">
        <v>592</v>
      </c>
      <c r="K2508" s="24" t="s">
        <v>601</v>
      </c>
    </row>
    <row r="2509" spans="1:11">
      <c r="A2509" s="12">
        <v>2020</v>
      </c>
      <c r="B2509" s="15" t="s">
        <v>160</v>
      </c>
      <c r="C2509" s="15" t="s">
        <v>223</v>
      </c>
      <c r="D2509" s="15" t="s">
        <v>224</v>
      </c>
      <c r="E2509" s="19">
        <v>85193</v>
      </c>
      <c r="F2509" s="19">
        <v>77060</v>
      </c>
      <c r="G2509" s="20">
        <f t="shared" si="39"/>
        <v>0.4749372892951132</v>
      </c>
      <c r="H2509" s="24" t="s">
        <v>579</v>
      </c>
      <c r="I2509" s="24" t="s">
        <v>591</v>
      </c>
      <c r="J2509" s="24" t="s">
        <v>592</v>
      </c>
      <c r="K2509" s="24" t="s">
        <v>601</v>
      </c>
    </row>
    <row r="2510" spans="1:11">
      <c r="A2510" s="12">
        <v>2020</v>
      </c>
      <c r="B2510" s="15" t="s">
        <v>160</v>
      </c>
      <c r="C2510" s="15" t="s">
        <v>227</v>
      </c>
      <c r="D2510" s="15" t="s">
        <v>228</v>
      </c>
      <c r="E2510" s="19">
        <v>86059</v>
      </c>
      <c r="F2510" s="19">
        <v>67665</v>
      </c>
      <c r="G2510" s="20">
        <f t="shared" si="39"/>
        <v>0.44017199656527284</v>
      </c>
      <c r="H2510" s="24" t="s">
        <v>579</v>
      </c>
      <c r="I2510" s="24" t="s">
        <v>591</v>
      </c>
      <c r="J2510" s="24" t="s">
        <v>592</v>
      </c>
      <c r="K2510" s="24" t="s">
        <v>601</v>
      </c>
    </row>
    <row r="2511" spans="1:11">
      <c r="A2511" s="12">
        <v>2020</v>
      </c>
      <c r="B2511" s="15" t="s">
        <v>160</v>
      </c>
      <c r="C2511" s="15" t="s">
        <v>229</v>
      </c>
      <c r="D2511" s="15" t="s">
        <v>230</v>
      </c>
      <c r="E2511" s="19">
        <v>31435</v>
      </c>
      <c r="F2511" s="19">
        <v>31222</v>
      </c>
      <c r="G2511" s="20">
        <f t="shared" si="39"/>
        <v>0.49830026972245717</v>
      </c>
      <c r="H2511" s="24" t="s">
        <v>579</v>
      </c>
      <c r="I2511" s="24" t="s">
        <v>591</v>
      </c>
      <c r="J2511" s="24" t="s">
        <v>592</v>
      </c>
      <c r="K2511" s="24" t="s">
        <v>601</v>
      </c>
    </row>
    <row r="2512" spans="1:11">
      <c r="A2512" s="12">
        <v>2020</v>
      </c>
      <c r="B2512" s="15" t="s">
        <v>160</v>
      </c>
      <c r="C2512" s="15" t="s">
        <v>231</v>
      </c>
      <c r="D2512" s="15" t="s">
        <v>232</v>
      </c>
      <c r="E2512" s="19">
        <v>186699</v>
      </c>
      <c r="F2512" s="19">
        <v>131570</v>
      </c>
      <c r="G2512" s="20">
        <f t="shared" si="39"/>
        <v>0.41339244475585118</v>
      </c>
      <c r="H2512" s="24" t="s">
        <v>579</v>
      </c>
      <c r="I2512" s="24" t="s">
        <v>591</v>
      </c>
      <c r="J2512" s="24" t="s">
        <v>592</v>
      </c>
      <c r="K2512" s="24" t="s">
        <v>601</v>
      </c>
    </row>
    <row r="2513" spans="1:11">
      <c r="A2513" s="12">
        <v>2020</v>
      </c>
      <c r="B2513" s="15" t="s">
        <v>160</v>
      </c>
      <c r="C2513" s="15" t="s">
        <v>235</v>
      </c>
      <c r="D2513" s="15" t="s">
        <v>236</v>
      </c>
      <c r="E2513" s="19">
        <v>325210</v>
      </c>
      <c r="F2513" s="19">
        <v>304335</v>
      </c>
      <c r="G2513" s="20">
        <f t="shared" si="39"/>
        <v>0.48342056564661778</v>
      </c>
      <c r="H2513" s="24" t="s">
        <v>579</v>
      </c>
      <c r="I2513" s="24" t="s">
        <v>591</v>
      </c>
      <c r="J2513" s="24" t="s">
        <v>592</v>
      </c>
      <c r="K2513" s="24" t="s">
        <v>601</v>
      </c>
    </row>
    <row r="2514" spans="1:11">
      <c r="A2514" s="12">
        <v>2020</v>
      </c>
      <c r="B2514" s="15" t="s">
        <v>160</v>
      </c>
      <c r="C2514" s="15" t="s">
        <v>237</v>
      </c>
      <c r="D2514" s="15" t="s">
        <v>238</v>
      </c>
      <c r="E2514" s="19">
        <v>274853</v>
      </c>
      <c r="F2514" s="19">
        <v>269068</v>
      </c>
      <c r="G2514" s="20">
        <f t="shared" si="39"/>
        <v>0.49468213214786705</v>
      </c>
      <c r="H2514" s="24" t="s">
        <v>579</v>
      </c>
      <c r="I2514" s="24" t="s">
        <v>591</v>
      </c>
      <c r="J2514" s="24" t="s">
        <v>592</v>
      </c>
      <c r="K2514" s="24" t="s">
        <v>601</v>
      </c>
    </row>
    <row r="2515" spans="1:11">
      <c r="A2515" s="12">
        <v>2020</v>
      </c>
      <c r="B2515" s="15" t="s">
        <v>160</v>
      </c>
      <c r="C2515" s="15" t="s">
        <v>239</v>
      </c>
      <c r="D2515" s="15" t="s">
        <v>240</v>
      </c>
      <c r="E2515" s="19">
        <v>198074</v>
      </c>
      <c r="F2515" s="19">
        <v>159908</v>
      </c>
      <c r="G2515" s="20">
        <f t="shared" si="39"/>
        <v>0.4466928504785157</v>
      </c>
      <c r="H2515" s="24" t="s">
        <v>579</v>
      </c>
      <c r="I2515" s="24" t="s">
        <v>591</v>
      </c>
      <c r="J2515" s="24" t="s">
        <v>592</v>
      </c>
      <c r="K2515" s="24" t="s">
        <v>601</v>
      </c>
    </row>
    <row r="2516" spans="1:11">
      <c r="A2516" s="12">
        <v>2020</v>
      </c>
      <c r="B2516" s="15" t="s">
        <v>160</v>
      </c>
      <c r="C2516" s="15" t="s">
        <v>241</v>
      </c>
      <c r="D2516" s="15" t="s">
        <v>242</v>
      </c>
      <c r="E2516" s="19">
        <v>105386</v>
      </c>
      <c r="F2516" s="19">
        <v>132925</v>
      </c>
      <c r="G2516" s="20">
        <f t="shared" si="39"/>
        <v>0.55777954018068832</v>
      </c>
      <c r="H2516" s="24" t="s">
        <v>579</v>
      </c>
      <c r="I2516" s="24" t="s">
        <v>591</v>
      </c>
      <c r="J2516" s="24" t="s">
        <v>592</v>
      </c>
      <c r="K2516" s="24" t="s">
        <v>601</v>
      </c>
    </row>
    <row r="2517" spans="1:11">
      <c r="A2517" s="12">
        <v>2020</v>
      </c>
      <c r="B2517" s="15" t="s">
        <v>160</v>
      </c>
      <c r="C2517" s="15" t="s">
        <v>243</v>
      </c>
      <c r="D2517" s="15" t="s">
        <v>244</v>
      </c>
      <c r="E2517" s="19">
        <v>379450</v>
      </c>
      <c r="F2517" s="19">
        <v>223049</v>
      </c>
      <c r="G2517" s="20">
        <f t="shared" si="39"/>
        <v>0.37020642357912625</v>
      </c>
      <c r="H2517" s="24" t="s">
        <v>579</v>
      </c>
      <c r="I2517" s="24" t="s">
        <v>596</v>
      </c>
      <c r="J2517" s="24" t="s">
        <v>597</v>
      </c>
      <c r="K2517" s="24" t="s">
        <v>601</v>
      </c>
    </row>
    <row r="2518" spans="1:11">
      <c r="A2518" s="12">
        <v>2020</v>
      </c>
      <c r="B2518" s="15" t="s">
        <v>160</v>
      </c>
      <c r="C2518" s="15" t="s">
        <v>245</v>
      </c>
      <c r="D2518" s="15" t="s">
        <v>246</v>
      </c>
      <c r="E2518" s="19">
        <v>185435</v>
      </c>
      <c r="F2518" s="19">
        <v>105266</v>
      </c>
      <c r="G2518" s="20">
        <f t="shared" si="39"/>
        <v>0.36211089745133318</v>
      </c>
      <c r="H2518" s="24" t="s">
        <v>579</v>
      </c>
      <c r="I2518" s="24" t="s">
        <v>591</v>
      </c>
      <c r="J2518" s="24" t="s">
        <v>592</v>
      </c>
      <c r="K2518" s="24" t="s">
        <v>601</v>
      </c>
    </row>
    <row r="2519" spans="1:11">
      <c r="A2519" s="12">
        <v>2020</v>
      </c>
      <c r="B2519" s="15" t="s">
        <v>160</v>
      </c>
      <c r="C2519" s="15" t="s">
        <v>247</v>
      </c>
      <c r="D2519" s="15" t="s">
        <v>248</v>
      </c>
      <c r="E2519" s="19">
        <v>376381</v>
      </c>
      <c r="F2519" s="19">
        <v>263876</v>
      </c>
      <c r="G2519" s="20">
        <f t="shared" si="39"/>
        <v>0.4121407497301865</v>
      </c>
      <c r="H2519" s="24" t="s">
        <v>579</v>
      </c>
      <c r="I2519" s="24" t="s">
        <v>591</v>
      </c>
      <c r="J2519" s="24" t="s">
        <v>592</v>
      </c>
      <c r="K2519" s="24" t="s">
        <v>601</v>
      </c>
    </row>
    <row r="2520" spans="1:11">
      <c r="A2520" s="12">
        <v>2020</v>
      </c>
      <c r="B2520" s="15" t="s">
        <v>160</v>
      </c>
      <c r="C2520" s="15" t="s">
        <v>249</v>
      </c>
      <c r="D2520" s="15" t="s">
        <v>250</v>
      </c>
      <c r="E2520" s="19">
        <v>455044</v>
      </c>
      <c r="F2520" s="19">
        <v>254250</v>
      </c>
      <c r="G2520" s="20">
        <f t="shared" si="39"/>
        <v>0.35845502711146576</v>
      </c>
      <c r="H2520" s="24" t="s">
        <v>579</v>
      </c>
      <c r="I2520" s="24" t="s">
        <v>591</v>
      </c>
      <c r="J2520" s="24" t="s">
        <v>592</v>
      </c>
      <c r="K2520" s="24" t="s">
        <v>601</v>
      </c>
    </row>
    <row r="2521" spans="1:11">
      <c r="A2521" s="12">
        <v>2020</v>
      </c>
      <c r="B2521" s="15" t="s">
        <v>160</v>
      </c>
      <c r="C2521" s="15" t="s">
        <v>251</v>
      </c>
      <c r="D2521" s="15" t="s">
        <v>252</v>
      </c>
      <c r="E2521" s="19">
        <v>119763</v>
      </c>
      <c r="F2521" s="19">
        <v>87473</v>
      </c>
      <c r="G2521" s="20">
        <f t="shared" si="39"/>
        <v>0.42209365168214019</v>
      </c>
      <c r="H2521" s="24" t="s">
        <v>579</v>
      </c>
      <c r="I2521" s="24" t="s">
        <v>591</v>
      </c>
      <c r="J2521" s="24" t="s">
        <v>592</v>
      </c>
      <c r="K2521" s="24" t="s">
        <v>601</v>
      </c>
    </row>
    <row r="2522" spans="1:11">
      <c r="A2522" s="12">
        <v>2020</v>
      </c>
      <c r="B2522" s="15" t="s">
        <v>160</v>
      </c>
      <c r="C2522" s="15" t="s">
        <v>253</v>
      </c>
      <c r="D2522" s="15" t="s">
        <v>254</v>
      </c>
      <c r="E2522" s="19">
        <v>203667</v>
      </c>
      <c r="F2522" s="19">
        <v>202162</v>
      </c>
      <c r="G2522" s="20">
        <f t="shared" si="39"/>
        <v>0.49814577075566308</v>
      </c>
      <c r="H2522" s="24" t="s">
        <v>579</v>
      </c>
      <c r="I2522" s="24" t="s">
        <v>591</v>
      </c>
      <c r="J2522" s="24" t="s">
        <v>592</v>
      </c>
      <c r="K2522" s="24" t="s">
        <v>601</v>
      </c>
    </row>
    <row r="2523" spans="1:11">
      <c r="A2523" s="12">
        <v>2020</v>
      </c>
      <c r="B2523" s="15" t="s">
        <v>160</v>
      </c>
      <c r="C2523" s="15" t="s">
        <v>255</v>
      </c>
      <c r="D2523" s="15" t="s">
        <v>256</v>
      </c>
      <c r="E2523" s="19">
        <v>710266</v>
      </c>
      <c r="F2523" s="19">
        <v>513838</v>
      </c>
      <c r="G2523" s="20">
        <f t="shared" si="39"/>
        <v>0.41976662113676616</v>
      </c>
      <c r="H2523" s="24" t="s">
        <v>579</v>
      </c>
      <c r="I2523" s="24" t="s">
        <v>591</v>
      </c>
      <c r="J2523" s="24" t="s">
        <v>592</v>
      </c>
      <c r="K2523" s="24" t="s">
        <v>601</v>
      </c>
    </row>
    <row r="2524" spans="1:11">
      <c r="A2524" s="12">
        <v>2020</v>
      </c>
      <c r="B2524" s="15" t="s">
        <v>257</v>
      </c>
      <c r="C2524" s="15" t="s">
        <v>22</v>
      </c>
      <c r="D2524" s="15" t="s">
        <v>257</v>
      </c>
      <c r="E2524" s="19">
        <v>1344117</v>
      </c>
      <c r="F2524" s="19">
        <v>404865</v>
      </c>
      <c r="G2524" s="20">
        <f t="shared" si="39"/>
        <v>0.23148608733537565</v>
      </c>
      <c r="H2524" s="24" t="s">
        <v>579</v>
      </c>
      <c r="I2524" s="24" t="s">
        <v>591</v>
      </c>
      <c r="J2524" s="24" t="s">
        <v>592</v>
      </c>
      <c r="K2524" s="24" t="s">
        <v>601</v>
      </c>
    </row>
    <row r="2525" spans="1:11">
      <c r="A2525" s="12">
        <v>2020</v>
      </c>
      <c r="B2525" s="15" t="s">
        <v>257</v>
      </c>
      <c r="C2525" s="15" t="s">
        <v>258</v>
      </c>
      <c r="D2525" s="15" t="s">
        <v>259</v>
      </c>
      <c r="E2525" s="19">
        <v>186409</v>
      </c>
      <c r="F2525" s="19">
        <v>51799</v>
      </c>
      <c r="G2525" s="20">
        <f t="shared" si="39"/>
        <v>0.21745281434712521</v>
      </c>
      <c r="H2525" s="24" t="s">
        <v>579</v>
      </c>
      <c r="I2525" s="24" t="s">
        <v>591</v>
      </c>
      <c r="J2525" s="24" t="s">
        <v>592</v>
      </c>
      <c r="K2525" s="24" t="s">
        <v>601</v>
      </c>
    </row>
    <row r="2526" spans="1:11">
      <c r="A2526" s="12">
        <v>2020</v>
      </c>
      <c r="B2526" s="15" t="s">
        <v>257</v>
      </c>
      <c r="C2526" s="15" t="s">
        <v>260</v>
      </c>
      <c r="D2526" s="15" t="s">
        <v>261</v>
      </c>
      <c r="E2526" s="19">
        <v>15127</v>
      </c>
      <c r="F2526" s="19">
        <v>22427</v>
      </c>
      <c r="G2526" s="20">
        <f t="shared" si="39"/>
        <v>0.59719337487351543</v>
      </c>
      <c r="H2526" s="24" t="s">
        <v>579</v>
      </c>
      <c r="I2526" s="24" t="s">
        <v>591</v>
      </c>
      <c r="J2526" s="24" t="s">
        <v>592</v>
      </c>
      <c r="K2526" s="24" t="s">
        <v>601</v>
      </c>
    </row>
    <row r="2527" spans="1:11">
      <c r="A2527" s="12">
        <v>2020</v>
      </c>
      <c r="B2527" s="15" t="s">
        <v>257</v>
      </c>
      <c r="C2527" s="15" t="s">
        <v>262</v>
      </c>
      <c r="D2527" s="15" t="s">
        <v>263</v>
      </c>
      <c r="E2527" s="19">
        <v>77736</v>
      </c>
      <c r="F2527" s="19">
        <v>43673</v>
      </c>
      <c r="G2527" s="20">
        <f t="shared" si="39"/>
        <v>0.3597179780741131</v>
      </c>
      <c r="H2527" s="24" t="s">
        <v>579</v>
      </c>
      <c r="I2527" s="24" t="s">
        <v>591</v>
      </c>
      <c r="J2527" s="24" t="s">
        <v>592</v>
      </c>
      <c r="K2527" s="24" t="s">
        <v>601</v>
      </c>
    </row>
    <row r="2528" spans="1:11">
      <c r="A2528" s="12">
        <v>2020</v>
      </c>
      <c r="B2528" s="15" t="s">
        <v>257</v>
      </c>
      <c r="C2528" s="15" t="s">
        <v>264</v>
      </c>
      <c r="D2528" s="15" t="s">
        <v>265</v>
      </c>
      <c r="E2528" s="19">
        <v>53054</v>
      </c>
      <c r="F2528" s="19">
        <v>38671</v>
      </c>
      <c r="G2528" s="20">
        <f t="shared" si="39"/>
        <v>0.42159716544017445</v>
      </c>
      <c r="H2528" s="24" t="s">
        <v>579</v>
      </c>
      <c r="I2528" s="24" t="s">
        <v>591</v>
      </c>
      <c r="J2528" s="24" t="s">
        <v>592</v>
      </c>
      <c r="K2528" s="24" t="s">
        <v>601</v>
      </c>
    </row>
    <row r="2529" spans="1:11">
      <c r="A2529" s="12">
        <v>2020</v>
      </c>
      <c r="B2529" s="15" t="s">
        <v>257</v>
      </c>
      <c r="C2529" s="15" t="s">
        <v>266</v>
      </c>
      <c r="D2529" s="15" t="s">
        <v>267</v>
      </c>
      <c r="E2529" s="19">
        <v>70448</v>
      </c>
      <c r="F2529" s="19">
        <v>37003</v>
      </c>
      <c r="G2529" s="20">
        <f t="shared" si="39"/>
        <v>0.34437092256005064</v>
      </c>
      <c r="H2529" s="24" t="s">
        <v>579</v>
      </c>
      <c r="I2529" s="24" t="s">
        <v>591</v>
      </c>
      <c r="J2529" s="24" t="s">
        <v>592</v>
      </c>
      <c r="K2529" s="24" t="s">
        <v>601</v>
      </c>
    </row>
    <row r="2530" spans="1:11">
      <c r="A2530" s="12">
        <v>2020</v>
      </c>
      <c r="B2530" s="15" t="s">
        <v>257</v>
      </c>
      <c r="C2530" s="15" t="s">
        <v>268</v>
      </c>
      <c r="D2530" s="15" t="s">
        <v>269</v>
      </c>
      <c r="E2530" s="19">
        <v>16731</v>
      </c>
      <c r="F2530" s="19">
        <v>16463</v>
      </c>
      <c r="G2530" s="20">
        <f t="shared" si="39"/>
        <v>0.4959631258661204</v>
      </c>
      <c r="H2530" s="24" t="s">
        <v>579</v>
      </c>
      <c r="I2530" s="24" t="s">
        <v>591</v>
      </c>
      <c r="J2530" s="24" t="s">
        <v>592</v>
      </c>
      <c r="K2530" s="24" t="s">
        <v>601</v>
      </c>
    </row>
    <row r="2531" spans="1:11">
      <c r="A2531" s="12">
        <v>2020</v>
      </c>
      <c r="B2531" s="15" t="s">
        <v>257</v>
      </c>
      <c r="C2531" s="15" t="s">
        <v>270</v>
      </c>
      <c r="D2531" s="15" t="s">
        <v>271</v>
      </c>
      <c r="E2531" s="19">
        <v>17486</v>
      </c>
      <c r="F2531" s="19">
        <v>22989</v>
      </c>
      <c r="G2531" s="20">
        <f t="shared" si="39"/>
        <v>0.56798023471278569</v>
      </c>
      <c r="H2531" s="24" t="s">
        <v>579</v>
      </c>
      <c r="I2531" s="24" t="s">
        <v>591</v>
      </c>
      <c r="J2531" s="24" t="s">
        <v>592</v>
      </c>
      <c r="K2531" s="24" t="s">
        <v>601</v>
      </c>
    </row>
    <row r="2532" spans="1:11">
      <c r="A2532" s="12">
        <v>2020</v>
      </c>
      <c r="B2532" s="15" t="s">
        <v>257</v>
      </c>
      <c r="C2532" s="15" t="s">
        <v>272</v>
      </c>
      <c r="D2532" s="15" t="s">
        <v>273</v>
      </c>
      <c r="E2532" s="19">
        <v>28016</v>
      </c>
      <c r="F2532" s="19">
        <v>27248</v>
      </c>
      <c r="G2532" s="20">
        <f t="shared" si="39"/>
        <v>0.49305153445280836</v>
      </c>
      <c r="H2532" s="24" t="s">
        <v>579</v>
      </c>
      <c r="I2532" s="24" t="s">
        <v>591</v>
      </c>
      <c r="J2532" s="24" t="s">
        <v>592</v>
      </c>
      <c r="K2532" s="24" t="s">
        <v>601</v>
      </c>
    </row>
    <row r="2533" spans="1:11">
      <c r="A2533" s="12">
        <v>2020</v>
      </c>
      <c r="B2533" s="15" t="s">
        <v>257</v>
      </c>
      <c r="C2533" s="15" t="s">
        <v>274</v>
      </c>
      <c r="D2533" s="15" t="s">
        <v>275</v>
      </c>
      <c r="E2533" s="19">
        <v>308876</v>
      </c>
      <c r="F2533" s="19">
        <v>95275</v>
      </c>
      <c r="G2533" s="20">
        <f t="shared" si="39"/>
        <v>0.23574109676828711</v>
      </c>
      <c r="H2533" s="24" t="s">
        <v>579</v>
      </c>
      <c r="I2533" s="24" t="s">
        <v>591</v>
      </c>
      <c r="J2533" s="24" t="s">
        <v>592</v>
      </c>
      <c r="K2533" s="24" t="s">
        <v>601</v>
      </c>
    </row>
    <row r="2534" spans="1:11">
      <c r="A2534" s="12">
        <v>2020</v>
      </c>
      <c r="B2534" s="15" t="s">
        <v>257</v>
      </c>
      <c r="C2534" s="15" t="s">
        <v>276</v>
      </c>
      <c r="D2534" s="15" t="s">
        <v>277</v>
      </c>
      <c r="E2534" s="19">
        <v>23444</v>
      </c>
      <c r="F2534" s="19">
        <v>23610</v>
      </c>
      <c r="G2534" s="20">
        <f t="shared" si="39"/>
        <v>0.50176393080290727</v>
      </c>
      <c r="H2534" s="24" t="s">
        <v>579</v>
      </c>
      <c r="I2534" s="24" t="s">
        <v>591</v>
      </c>
      <c r="J2534" s="24" t="s">
        <v>592</v>
      </c>
      <c r="K2534" s="24" t="s">
        <v>601</v>
      </c>
    </row>
    <row r="2535" spans="1:11">
      <c r="A2535" s="12">
        <v>2020</v>
      </c>
      <c r="B2535" s="15" t="s">
        <v>257</v>
      </c>
      <c r="C2535" s="15" t="s">
        <v>278</v>
      </c>
      <c r="D2535" s="15" t="s">
        <v>279</v>
      </c>
      <c r="E2535" s="19">
        <v>24445</v>
      </c>
      <c r="F2535" s="19">
        <v>27886</v>
      </c>
      <c r="G2535" s="20">
        <f t="shared" si="39"/>
        <v>0.53287726204353059</v>
      </c>
      <c r="H2535" s="24" t="s">
        <v>579</v>
      </c>
      <c r="I2535" s="24" t="s">
        <v>591</v>
      </c>
      <c r="J2535" s="24" t="s">
        <v>592</v>
      </c>
      <c r="K2535" s="24" t="s">
        <v>601</v>
      </c>
    </row>
    <row r="2536" spans="1:11">
      <c r="A2536" s="12">
        <v>2020</v>
      </c>
      <c r="B2536" s="15" t="s">
        <v>257</v>
      </c>
      <c r="C2536" s="15" t="s">
        <v>280</v>
      </c>
      <c r="D2536" s="15" t="s">
        <v>281</v>
      </c>
      <c r="E2536" s="19">
        <v>35011</v>
      </c>
      <c r="F2536" s="19">
        <v>30476</v>
      </c>
      <c r="G2536" s="20">
        <f t="shared" si="39"/>
        <v>0.46537480721364544</v>
      </c>
      <c r="H2536" s="24" t="s">
        <v>579</v>
      </c>
      <c r="I2536" s="24" t="s">
        <v>591</v>
      </c>
      <c r="J2536" s="24" t="s">
        <v>592</v>
      </c>
      <c r="K2536" s="24" t="s">
        <v>601</v>
      </c>
    </row>
    <row r="2537" spans="1:11">
      <c r="A2537" s="12">
        <v>2020</v>
      </c>
      <c r="B2537" s="15" t="s">
        <v>257</v>
      </c>
      <c r="C2537" s="15" t="s">
        <v>282</v>
      </c>
      <c r="D2537" s="15" t="s">
        <v>283</v>
      </c>
      <c r="E2537" s="19">
        <v>248385</v>
      </c>
      <c r="F2537" s="19">
        <v>71054</v>
      </c>
      <c r="G2537" s="20">
        <f t="shared" si="39"/>
        <v>0.22243370408747837</v>
      </c>
      <c r="H2537" s="24" t="s">
        <v>579</v>
      </c>
      <c r="I2537" s="24" t="s">
        <v>591</v>
      </c>
      <c r="J2537" s="24" t="s">
        <v>592</v>
      </c>
      <c r="K2537" s="24" t="s">
        <v>601</v>
      </c>
    </row>
    <row r="2538" spans="1:11">
      <c r="A2538" s="12">
        <v>2020</v>
      </c>
      <c r="B2538" s="15" t="s">
        <v>257</v>
      </c>
      <c r="C2538" s="15" t="s">
        <v>284</v>
      </c>
      <c r="D2538" s="15" t="s">
        <v>285</v>
      </c>
      <c r="E2538" s="19">
        <v>35108</v>
      </c>
      <c r="F2538" s="19">
        <v>23477</v>
      </c>
      <c r="G2538" s="20">
        <f t="shared" si="39"/>
        <v>0.4007339762737902</v>
      </c>
      <c r="H2538" s="24" t="s">
        <v>579</v>
      </c>
      <c r="I2538" s="24" t="s">
        <v>591</v>
      </c>
      <c r="J2538" s="24" t="s">
        <v>592</v>
      </c>
      <c r="K2538" s="24" t="s">
        <v>601</v>
      </c>
    </row>
    <row r="2539" spans="1:11">
      <c r="A2539" s="12">
        <v>2020</v>
      </c>
      <c r="B2539" s="15" t="s">
        <v>257</v>
      </c>
      <c r="C2539" s="15" t="s">
        <v>286</v>
      </c>
      <c r="D2539" s="15" t="s">
        <v>287</v>
      </c>
      <c r="E2539" s="19">
        <v>29511</v>
      </c>
      <c r="F2539" s="19">
        <v>32138</v>
      </c>
      <c r="G2539" s="20">
        <f t="shared" si="39"/>
        <v>0.52130610391085008</v>
      </c>
      <c r="H2539" s="24" t="s">
        <v>579</v>
      </c>
      <c r="I2539" s="24" t="s">
        <v>591</v>
      </c>
      <c r="J2539" s="24" t="s">
        <v>592</v>
      </c>
      <c r="K2539" s="24" t="s">
        <v>601</v>
      </c>
    </row>
    <row r="2540" spans="1:11">
      <c r="A2540" s="12">
        <v>2020</v>
      </c>
      <c r="B2540" s="15" t="s">
        <v>257</v>
      </c>
      <c r="C2540" s="15" t="s">
        <v>288</v>
      </c>
      <c r="D2540" s="15" t="s">
        <v>289</v>
      </c>
      <c r="E2540" s="19">
        <v>54142</v>
      </c>
      <c r="F2540" s="19">
        <v>42612</v>
      </c>
      <c r="G2540" s="20">
        <f t="shared" si="39"/>
        <v>0.44041590011782461</v>
      </c>
      <c r="H2540" s="24" t="s">
        <v>579</v>
      </c>
      <c r="I2540" s="24" t="s">
        <v>591</v>
      </c>
      <c r="J2540" s="24" t="s">
        <v>592</v>
      </c>
      <c r="K2540" s="24" t="s">
        <v>601</v>
      </c>
    </row>
    <row r="2541" spans="1:11">
      <c r="A2541" s="12">
        <v>2020</v>
      </c>
      <c r="B2541" s="15" t="s">
        <v>257</v>
      </c>
      <c r="C2541" s="15" t="s">
        <v>290</v>
      </c>
      <c r="D2541" s="15" t="s">
        <v>291</v>
      </c>
      <c r="E2541" s="19">
        <v>17368</v>
      </c>
      <c r="F2541" s="19">
        <v>19882</v>
      </c>
      <c r="G2541" s="20">
        <f t="shared" si="39"/>
        <v>0.53374496644295299</v>
      </c>
      <c r="H2541" s="24" t="s">
        <v>579</v>
      </c>
      <c r="I2541" s="24" t="s">
        <v>591</v>
      </c>
      <c r="J2541" s="24" t="s">
        <v>592</v>
      </c>
      <c r="K2541" s="24" t="s">
        <v>601</v>
      </c>
    </row>
    <row r="2542" spans="1:11">
      <c r="A2542" s="12">
        <v>2020</v>
      </c>
      <c r="B2542" s="15" t="s">
        <v>257</v>
      </c>
      <c r="C2542" s="15" t="s">
        <v>292</v>
      </c>
      <c r="D2542" s="15" t="s">
        <v>293</v>
      </c>
      <c r="E2542" s="19">
        <v>33888</v>
      </c>
      <c r="F2542" s="19">
        <v>34956</v>
      </c>
      <c r="G2542" s="20">
        <f t="shared" si="39"/>
        <v>0.50775666724769042</v>
      </c>
      <c r="H2542" s="24" t="s">
        <v>579</v>
      </c>
      <c r="I2542" s="24" t="s">
        <v>591</v>
      </c>
      <c r="J2542" s="24" t="s">
        <v>592</v>
      </c>
      <c r="K2542" s="24" t="s">
        <v>601</v>
      </c>
    </row>
    <row r="2543" spans="1:11">
      <c r="A2543" s="12">
        <v>2020</v>
      </c>
      <c r="B2543" s="15" t="s">
        <v>294</v>
      </c>
      <c r="C2543" s="15" t="s">
        <v>22</v>
      </c>
      <c r="D2543" s="15" t="s">
        <v>294</v>
      </c>
      <c r="E2543" s="19">
        <v>1435621</v>
      </c>
      <c r="F2543" s="19">
        <v>459902</v>
      </c>
      <c r="G2543" s="20">
        <f t="shared" si="39"/>
        <v>0.24262538623904853</v>
      </c>
      <c r="H2543" s="24" t="s">
        <v>589</v>
      </c>
      <c r="I2543" s="24" t="s">
        <v>560</v>
      </c>
      <c r="J2543" s="24" t="s">
        <v>590</v>
      </c>
      <c r="K2543" s="24" t="s">
        <v>601</v>
      </c>
    </row>
    <row r="2544" spans="1:11">
      <c r="A2544" s="12">
        <v>2020</v>
      </c>
      <c r="B2544" s="15" t="s">
        <v>294</v>
      </c>
      <c r="C2544" s="15" t="s">
        <v>295</v>
      </c>
      <c r="D2544" s="15" t="s">
        <v>296</v>
      </c>
      <c r="E2544" s="19">
        <v>23808</v>
      </c>
      <c r="F2544" s="19">
        <v>32784</v>
      </c>
      <c r="G2544" s="20">
        <f t="shared" si="39"/>
        <v>0.5793044953350297</v>
      </c>
      <c r="H2544" s="24" t="s">
        <v>589</v>
      </c>
      <c r="I2544" s="24" t="s">
        <v>560</v>
      </c>
      <c r="J2544" s="24" t="s">
        <v>590</v>
      </c>
      <c r="K2544" s="24" t="s">
        <v>601</v>
      </c>
    </row>
    <row r="2545" spans="1:11">
      <c r="A2545" s="12">
        <v>2020</v>
      </c>
      <c r="B2545" s="15" t="s">
        <v>294</v>
      </c>
      <c r="C2545" s="15" t="s">
        <v>297</v>
      </c>
      <c r="D2545" s="15" t="s">
        <v>298</v>
      </c>
      <c r="E2545" s="19">
        <v>20749</v>
      </c>
      <c r="F2545" s="19">
        <v>23293</v>
      </c>
      <c r="G2545" s="20">
        <f t="shared" si="39"/>
        <v>0.52888152218337037</v>
      </c>
      <c r="H2545" s="24" t="s">
        <v>589</v>
      </c>
      <c r="I2545" s="24" t="s">
        <v>560</v>
      </c>
      <c r="J2545" s="24" t="s">
        <v>590</v>
      </c>
      <c r="K2545" s="24" t="s">
        <v>601</v>
      </c>
    </row>
    <row r="2546" spans="1:11">
      <c r="A2546" s="12">
        <v>2020</v>
      </c>
      <c r="B2546" s="15" t="s">
        <v>294</v>
      </c>
      <c r="C2546" s="15" t="s">
        <v>299</v>
      </c>
      <c r="D2546" s="15" t="s">
        <v>300</v>
      </c>
      <c r="E2546" s="19">
        <v>25279</v>
      </c>
      <c r="F2546" s="19">
        <v>23160</v>
      </c>
      <c r="G2546" s="20">
        <f t="shared" si="39"/>
        <v>0.47812712896632881</v>
      </c>
      <c r="H2546" s="24" t="s">
        <v>589</v>
      </c>
      <c r="I2546" s="24" t="s">
        <v>560</v>
      </c>
      <c r="J2546" s="24" t="s">
        <v>590</v>
      </c>
      <c r="K2546" s="24" t="s">
        <v>601</v>
      </c>
    </row>
    <row r="2547" spans="1:11">
      <c r="A2547" s="12">
        <v>2020</v>
      </c>
      <c r="B2547" s="15" t="s">
        <v>294</v>
      </c>
      <c r="C2547" s="15" t="s">
        <v>301</v>
      </c>
      <c r="D2547" s="15" t="s">
        <v>302</v>
      </c>
      <c r="E2547" s="19">
        <v>37661</v>
      </c>
      <c r="F2547" s="19">
        <v>31172</v>
      </c>
      <c r="G2547" s="20">
        <f t="shared" si="39"/>
        <v>0.45286417851902433</v>
      </c>
      <c r="H2547" s="24" t="s">
        <v>589</v>
      </c>
      <c r="I2547" s="24" t="s">
        <v>560</v>
      </c>
      <c r="J2547" s="24" t="s">
        <v>590</v>
      </c>
      <c r="K2547" s="24" t="s">
        <v>601</v>
      </c>
    </row>
    <row r="2548" spans="1:11">
      <c r="A2548" s="12">
        <v>2020</v>
      </c>
      <c r="B2548" s="15" t="s">
        <v>294</v>
      </c>
      <c r="C2548" s="15" t="s">
        <v>303</v>
      </c>
      <c r="D2548" s="15" t="s">
        <v>304</v>
      </c>
      <c r="E2548" s="19">
        <v>40888</v>
      </c>
      <c r="F2548" s="19">
        <v>34384</v>
      </c>
      <c r="G2548" s="20">
        <f t="shared" si="39"/>
        <v>0.4567966840259326</v>
      </c>
      <c r="H2548" s="24" t="s">
        <v>589</v>
      </c>
      <c r="I2548" s="24" t="s">
        <v>560</v>
      </c>
      <c r="J2548" s="24" t="s">
        <v>590</v>
      </c>
      <c r="K2548" s="24" t="s">
        <v>601</v>
      </c>
    </row>
    <row r="2549" spans="1:11">
      <c r="A2549" s="12">
        <v>2020</v>
      </c>
      <c r="B2549" s="15" t="s">
        <v>294</v>
      </c>
      <c r="C2549" s="15" t="s">
        <v>305</v>
      </c>
      <c r="D2549" s="15" t="s">
        <v>306</v>
      </c>
      <c r="E2549" s="19">
        <v>77677</v>
      </c>
      <c r="F2549" s="19">
        <v>69741</v>
      </c>
      <c r="G2549" s="20">
        <f t="shared" si="39"/>
        <v>0.47308334124733753</v>
      </c>
      <c r="H2549" s="24" t="s">
        <v>589</v>
      </c>
      <c r="I2549" s="24" t="s">
        <v>560</v>
      </c>
      <c r="J2549" s="24" t="s">
        <v>590</v>
      </c>
      <c r="K2549" s="24" t="s">
        <v>601</v>
      </c>
    </row>
    <row r="2550" spans="1:11">
      <c r="A2550" s="12">
        <v>2020</v>
      </c>
      <c r="B2550" s="15" t="s">
        <v>294</v>
      </c>
      <c r="C2550" s="15" t="s">
        <v>307</v>
      </c>
      <c r="D2550" s="15" t="s">
        <v>308</v>
      </c>
      <c r="E2550" s="19">
        <v>115259</v>
      </c>
      <c r="F2550" s="19">
        <v>54112</v>
      </c>
      <c r="G2550" s="20">
        <f t="shared" si="39"/>
        <v>0.31948798790820154</v>
      </c>
      <c r="H2550" s="24" t="s">
        <v>589</v>
      </c>
      <c r="I2550" s="24" t="s">
        <v>560</v>
      </c>
      <c r="J2550" s="24" t="s">
        <v>590</v>
      </c>
      <c r="K2550" s="24" t="s">
        <v>601</v>
      </c>
    </row>
    <row r="2551" spans="1:11">
      <c r="A2551" s="12">
        <v>2020</v>
      </c>
      <c r="B2551" s="15" t="s">
        <v>294</v>
      </c>
      <c r="C2551" s="15" t="s">
        <v>309</v>
      </c>
      <c r="D2551" s="15" t="s">
        <v>310</v>
      </c>
      <c r="E2551" s="19">
        <v>29431</v>
      </c>
      <c r="F2551" s="19">
        <v>25835</v>
      </c>
      <c r="G2551" s="20">
        <f t="shared" si="39"/>
        <v>0.46746643505953028</v>
      </c>
      <c r="H2551" s="24" t="s">
        <v>589</v>
      </c>
      <c r="I2551" s="24" t="s">
        <v>560</v>
      </c>
      <c r="J2551" s="24" t="s">
        <v>590</v>
      </c>
      <c r="K2551" s="24" t="s">
        <v>601</v>
      </c>
    </row>
    <row r="2552" spans="1:11">
      <c r="A2552" s="12">
        <v>2020</v>
      </c>
      <c r="B2552" s="15" t="s">
        <v>294</v>
      </c>
      <c r="C2552" s="15" t="s">
        <v>311</v>
      </c>
      <c r="D2552" s="15" t="s">
        <v>312</v>
      </c>
      <c r="E2552" s="19">
        <v>68944</v>
      </c>
      <c r="F2552" s="19">
        <v>58059</v>
      </c>
      <c r="G2552" s="20">
        <f t="shared" si="39"/>
        <v>0.45714668157445099</v>
      </c>
      <c r="H2552" s="24" t="s">
        <v>589</v>
      </c>
      <c r="I2552" s="24" t="s">
        <v>560</v>
      </c>
      <c r="J2552" s="24" t="s">
        <v>590</v>
      </c>
      <c r="K2552" s="24" t="s">
        <v>601</v>
      </c>
    </row>
    <row r="2553" spans="1:11">
      <c r="A2553" s="12">
        <v>2020</v>
      </c>
      <c r="B2553" s="15" t="s">
        <v>294</v>
      </c>
      <c r="C2553" s="15" t="s">
        <v>315</v>
      </c>
      <c r="D2553" s="15" t="s">
        <v>316</v>
      </c>
      <c r="E2553" s="19">
        <v>151137</v>
      </c>
      <c r="F2553" s="19">
        <v>128518</v>
      </c>
      <c r="G2553" s="20">
        <f t="shared" si="39"/>
        <v>0.45955909960487029</v>
      </c>
      <c r="H2553" s="24" t="s">
        <v>589</v>
      </c>
      <c r="I2553" s="24" t="s">
        <v>560</v>
      </c>
      <c r="J2553" s="24" t="s">
        <v>590</v>
      </c>
      <c r="K2553" s="24" t="s">
        <v>601</v>
      </c>
    </row>
    <row r="2554" spans="1:11">
      <c r="A2554" s="12">
        <v>2020</v>
      </c>
      <c r="B2554" s="15" t="s">
        <v>294</v>
      </c>
      <c r="C2554" s="15" t="s">
        <v>317</v>
      </c>
      <c r="D2554" s="15" t="s">
        <v>318</v>
      </c>
      <c r="E2554" s="19">
        <v>149569</v>
      </c>
      <c r="F2554" s="19">
        <v>146986</v>
      </c>
      <c r="G2554" s="20">
        <f t="shared" si="39"/>
        <v>0.49564498996813405</v>
      </c>
      <c r="H2554" s="24" t="s">
        <v>589</v>
      </c>
      <c r="I2554" s="24" t="s">
        <v>560</v>
      </c>
      <c r="J2554" s="24" t="s">
        <v>590</v>
      </c>
      <c r="K2554" s="24" t="s">
        <v>601</v>
      </c>
    </row>
    <row r="2555" spans="1:11">
      <c r="A2555" s="12">
        <v>2020</v>
      </c>
      <c r="B2555" s="15" t="s">
        <v>294</v>
      </c>
      <c r="C2555" s="15" t="s">
        <v>319</v>
      </c>
      <c r="D2555" s="15" t="s">
        <v>320</v>
      </c>
      <c r="E2555" s="19">
        <v>161280</v>
      </c>
      <c r="F2555" s="19">
        <v>121243</v>
      </c>
      <c r="G2555" s="20">
        <f t="shared" si="39"/>
        <v>0.42914382191892342</v>
      </c>
      <c r="H2555" s="24" t="s">
        <v>589</v>
      </c>
      <c r="I2555" s="24" t="s">
        <v>560</v>
      </c>
      <c r="J2555" s="24" t="s">
        <v>590</v>
      </c>
      <c r="K2555" s="24" t="s">
        <v>601</v>
      </c>
    </row>
    <row r="2556" spans="1:11">
      <c r="A2556" s="12">
        <v>2020</v>
      </c>
      <c r="B2556" s="15" t="s">
        <v>294</v>
      </c>
      <c r="C2556" s="15" t="s">
        <v>321</v>
      </c>
      <c r="D2556" s="15" t="s">
        <v>322</v>
      </c>
      <c r="E2556" s="19">
        <v>216424</v>
      </c>
      <c r="F2556" s="19">
        <v>175651</v>
      </c>
      <c r="G2556" s="20">
        <f t="shared" si="39"/>
        <v>0.4480035707453931</v>
      </c>
      <c r="H2556" s="24" t="s">
        <v>589</v>
      </c>
      <c r="I2556" s="24" t="s">
        <v>560</v>
      </c>
      <c r="J2556" s="24" t="s">
        <v>590</v>
      </c>
      <c r="K2556" s="24" t="s">
        <v>601</v>
      </c>
    </row>
    <row r="2557" spans="1:11">
      <c r="A2557" s="12">
        <v>2020</v>
      </c>
      <c r="B2557" s="15" t="s">
        <v>294</v>
      </c>
      <c r="C2557" s="15" t="s">
        <v>323</v>
      </c>
      <c r="D2557" s="15" t="s">
        <v>324</v>
      </c>
      <c r="E2557" s="19">
        <v>186116</v>
      </c>
      <c r="F2557" s="19">
        <v>73386</v>
      </c>
      <c r="G2557" s="20">
        <f t="shared" si="39"/>
        <v>0.28279550831978173</v>
      </c>
      <c r="H2557" s="24" t="s">
        <v>589</v>
      </c>
      <c r="I2557" s="24" t="s">
        <v>560</v>
      </c>
      <c r="J2557" s="24" t="s">
        <v>590</v>
      </c>
      <c r="K2557" s="24" t="s">
        <v>601</v>
      </c>
    </row>
    <row r="2558" spans="1:11">
      <c r="A2558" s="12">
        <v>2020</v>
      </c>
      <c r="B2558" s="15" t="s">
        <v>325</v>
      </c>
      <c r="C2558" s="15" t="s">
        <v>22</v>
      </c>
      <c r="D2558" s="15" t="s">
        <v>325</v>
      </c>
      <c r="E2558" s="19">
        <v>1893312</v>
      </c>
      <c r="F2558" s="19">
        <v>752543</v>
      </c>
      <c r="G2558" s="20">
        <f t="shared" si="39"/>
        <v>0.2844233716511298</v>
      </c>
      <c r="H2558" s="24" t="s">
        <v>589</v>
      </c>
      <c r="I2558" s="24" t="s">
        <v>560</v>
      </c>
      <c r="J2558" s="24" t="s">
        <v>590</v>
      </c>
      <c r="K2558" s="24" t="s">
        <v>601</v>
      </c>
    </row>
    <row r="2559" spans="1:11">
      <c r="A2559" s="12">
        <v>2020</v>
      </c>
      <c r="B2559" s="15" t="s">
        <v>325</v>
      </c>
      <c r="C2559" s="15" t="s">
        <v>326</v>
      </c>
      <c r="D2559" s="15" t="s">
        <v>327</v>
      </c>
      <c r="E2559" s="19">
        <v>32210</v>
      </c>
      <c r="F2559" s="19">
        <v>31820</v>
      </c>
      <c r="G2559" s="20">
        <f t="shared" si="39"/>
        <v>0.49695455255349053</v>
      </c>
      <c r="H2559" s="24" t="s">
        <v>589</v>
      </c>
      <c r="I2559" s="24" t="s">
        <v>560</v>
      </c>
      <c r="J2559" s="24" t="s">
        <v>590</v>
      </c>
      <c r="K2559" s="24" t="s">
        <v>601</v>
      </c>
    </row>
    <row r="2560" spans="1:11">
      <c r="A2560" s="12">
        <v>2020</v>
      </c>
      <c r="B2560" s="15" t="s">
        <v>325</v>
      </c>
      <c r="C2560" s="15" t="s">
        <v>328</v>
      </c>
      <c r="D2560" s="15" t="s">
        <v>329</v>
      </c>
      <c r="E2560" s="19">
        <v>84841</v>
      </c>
      <c r="F2560" s="19">
        <v>62100</v>
      </c>
      <c r="G2560" s="20">
        <f t="shared" si="39"/>
        <v>0.42261860202394158</v>
      </c>
      <c r="H2560" s="24" t="s">
        <v>589</v>
      </c>
      <c r="I2560" s="24" t="s">
        <v>560</v>
      </c>
      <c r="J2560" s="24" t="s">
        <v>590</v>
      </c>
      <c r="K2560" s="24" t="s">
        <v>601</v>
      </c>
    </row>
    <row r="2561" spans="1:11">
      <c r="A2561" s="12">
        <v>2020</v>
      </c>
      <c r="B2561" s="15" t="s">
        <v>325</v>
      </c>
      <c r="C2561" s="15" t="s">
        <v>330</v>
      </c>
      <c r="D2561" s="15" t="s">
        <v>331</v>
      </c>
      <c r="E2561" s="19">
        <v>40818</v>
      </c>
      <c r="F2561" s="19">
        <v>36316</v>
      </c>
      <c r="G2561" s="20">
        <f t="shared" si="39"/>
        <v>0.47081701973189516</v>
      </c>
      <c r="H2561" s="24" t="s">
        <v>589</v>
      </c>
      <c r="I2561" s="24" t="s">
        <v>560</v>
      </c>
      <c r="J2561" s="24" t="s">
        <v>590</v>
      </c>
      <c r="K2561" s="24" t="s">
        <v>601</v>
      </c>
    </row>
    <row r="2562" spans="1:11">
      <c r="A2562" s="12">
        <v>2020</v>
      </c>
      <c r="B2562" s="15" t="s">
        <v>325</v>
      </c>
      <c r="C2562" s="15" t="s">
        <v>332</v>
      </c>
      <c r="D2562" s="15" t="s">
        <v>333</v>
      </c>
      <c r="E2562" s="19">
        <v>99356</v>
      </c>
      <c r="F2562" s="19">
        <v>64807</v>
      </c>
      <c r="G2562" s="20">
        <f t="shared" si="39"/>
        <v>0.39477226902529805</v>
      </c>
      <c r="H2562" s="24" t="s">
        <v>589</v>
      </c>
      <c r="I2562" s="24" t="s">
        <v>560</v>
      </c>
      <c r="J2562" s="24" t="s">
        <v>590</v>
      </c>
      <c r="K2562" s="24" t="s">
        <v>601</v>
      </c>
    </row>
    <row r="2563" spans="1:11">
      <c r="A2563" s="12">
        <v>2020</v>
      </c>
      <c r="B2563" s="15" t="s">
        <v>325</v>
      </c>
      <c r="C2563" s="15" t="s">
        <v>336</v>
      </c>
      <c r="D2563" s="15" t="s">
        <v>337</v>
      </c>
      <c r="E2563" s="19">
        <v>145883</v>
      </c>
      <c r="F2563" s="19">
        <v>79572</v>
      </c>
      <c r="G2563" s="20">
        <f t="shared" si="39"/>
        <v>0.3529396110088488</v>
      </c>
      <c r="H2563" s="24" t="s">
        <v>589</v>
      </c>
      <c r="I2563" s="24" t="s">
        <v>560</v>
      </c>
      <c r="J2563" s="24" t="s">
        <v>590</v>
      </c>
      <c r="K2563" s="24" t="s">
        <v>601</v>
      </c>
    </row>
    <row r="2564" spans="1:11">
      <c r="A2564" s="12">
        <v>2020</v>
      </c>
      <c r="B2564" s="15" t="s">
        <v>325</v>
      </c>
      <c r="C2564" s="15" t="s">
        <v>338</v>
      </c>
      <c r="D2564" s="15" t="s">
        <v>339</v>
      </c>
      <c r="E2564" s="19">
        <v>85810</v>
      </c>
      <c r="F2564" s="19">
        <v>52846</v>
      </c>
      <c r="G2564" s="20">
        <f t="shared" si="39"/>
        <v>0.38113027925225018</v>
      </c>
      <c r="H2564" s="24" t="s">
        <v>589</v>
      </c>
      <c r="I2564" s="24" t="s">
        <v>560</v>
      </c>
      <c r="J2564" s="24" t="s">
        <v>590</v>
      </c>
      <c r="K2564" s="24" t="s">
        <v>601</v>
      </c>
    </row>
    <row r="2565" spans="1:11">
      <c r="A2565" s="12">
        <v>2020</v>
      </c>
      <c r="B2565" s="15" t="s">
        <v>325</v>
      </c>
      <c r="C2565" s="15" t="s">
        <v>340</v>
      </c>
      <c r="D2565" s="15" t="s">
        <v>341</v>
      </c>
      <c r="E2565" s="19">
        <v>52157</v>
      </c>
      <c r="F2565" s="19">
        <v>46341</v>
      </c>
      <c r="G2565" s="20">
        <f t="shared" si="39"/>
        <v>0.47047655789965276</v>
      </c>
      <c r="H2565" s="24" t="s">
        <v>589</v>
      </c>
      <c r="I2565" s="24" t="s">
        <v>560</v>
      </c>
      <c r="J2565" s="24" t="s">
        <v>590</v>
      </c>
      <c r="K2565" s="24" t="s">
        <v>601</v>
      </c>
    </row>
    <row r="2566" spans="1:11">
      <c r="A2566" s="12">
        <v>2020</v>
      </c>
      <c r="B2566" s="15" t="s">
        <v>325</v>
      </c>
      <c r="C2566" s="15" t="s">
        <v>342</v>
      </c>
      <c r="D2566" s="15" t="s">
        <v>343</v>
      </c>
      <c r="E2566" s="19">
        <v>153319</v>
      </c>
      <c r="F2566" s="19">
        <v>80203</v>
      </c>
      <c r="G2566" s="20">
        <f t="shared" ref="G2566:G2629" si="40">IFERROR(F2566/(E2566+F2566),"")</f>
        <v>0.34344943945324208</v>
      </c>
      <c r="H2566" s="24" t="s">
        <v>589</v>
      </c>
      <c r="I2566" s="24" t="s">
        <v>560</v>
      </c>
      <c r="J2566" s="24" t="s">
        <v>590</v>
      </c>
      <c r="K2566" s="24" t="s">
        <v>601</v>
      </c>
    </row>
    <row r="2567" spans="1:11">
      <c r="A2567" s="12">
        <v>2020</v>
      </c>
      <c r="B2567" s="15" t="s">
        <v>325</v>
      </c>
      <c r="C2567" s="15" t="s">
        <v>344</v>
      </c>
      <c r="D2567" s="15" t="s">
        <v>345</v>
      </c>
      <c r="E2567" s="19">
        <v>43291</v>
      </c>
      <c r="F2567" s="19">
        <v>35807</v>
      </c>
      <c r="G2567" s="20">
        <f t="shared" si="40"/>
        <v>0.45269159776479811</v>
      </c>
      <c r="H2567" s="24" t="s">
        <v>589</v>
      </c>
      <c r="I2567" s="24" t="s">
        <v>560</v>
      </c>
      <c r="J2567" s="24" t="s">
        <v>590</v>
      </c>
      <c r="K2567" s="24" t="s">
        <v>601</v>
      </c>
    </row>
    <row r="2568" spans="1:11">
      <c r="A2568" s="12">
        <v>2020</v>
      </c>
      <c r="B2568" s="15" t="s">
        <v>325</v>
      </c>
      <c r="C2568" s="15" t="s">
        <v>346</v>
      </c>
      <c r="D2568" s="15" t="s">
        <v>347</v>
      </c>
      <c r="E2568" s="19">
        <v>266331</v>
      </c>
      <c r="F2568" s="19">
        <v>191968</v>
      </c>
      <c r="G2568" s="20">
        <f t="shared" si="40"/>
        <v>0.41887064994686873</v>
      </c>
      <c r="H2568" s="24" t="s">
        <v>589</v>
      </c>
      <c r="I2568" s="24" t="s">
        <v>560</v>
      </c>
      <c r="J2568" s="24" t="s">
        <v>590</v>
      </c>
      <c r="K2568" s="24" t="s">
        <v>601</v>
      </c>
    </row>
    <row r="2569" spans="1:11">
      <c r="A2569" s="12">
        <v>2020</v>
      </c>
      <c r="B2569" s="15" t="s">
        <v>325</v>
      </c>
      <c r="C2569" s="15" t="s">
        <v>350</v>
      </c>
      <c r="D2569" s="15" t="s">
        <v>351</v>
      </c>
      <c r="E2569" s="19">
        <v>62495</v>
      </c>
      <c r="F2569" s="19">
        <v>52464</v>
      </c>
      <c r="G2569" s="20">
        <f t="shared" si="40"/>
        <v>0.45637140197809656</v>
      </c>
      <c r="H2569" s="24" t="s">
        <v>589</v>
      </c>
      <c r="I2569" s="24" t="s">
        <v>560</v>
      </c>
      <c r="J2569" s="24" t="s">
        <v>590</v>
      </c>
      <c r="K2569" s="24" t="s">
        <v>601</v>
      </c>
    </row>
    <row r="2570" spans="1:11">
      <c r="A2570" s="12">
        <v>2020</v>
      </c>
      <c r="B2570" s="15" t="s">
        <v>325</v>
      </c>
      <c r="C2570" s="15" t="s">
        <v>354</v>
      </c>
      <c r="D2570" s="15" t="s">
        <v>355</v>
      </c>
      <c r="E2570" s="19">
        <v>200560</v>
      </c>
      <c r="F2570" s="19">
        <v>186698</v>
      </c>
      <c r="G2570" s="20">
        <f t="shared" si="40"/>
        <v>0.48210237102913306</v>
      </c>
      <c r="H2570" s="24" t="s">
        <v>589</v>
      </c>
      <c r="I2570" s="24" t="s">
        <v>560</v>
      </c>
      <c r="J2570" s="24" t="s">
        <v>590</v>
      </c>
      <c r="K2570" s="24" t="s">
        <v>601</v>
      </c>
    </row>
    <row r="2571" spans="1:11">
      <c r="A2571" s="12">
        <v>2020</v>
      </c>
      <c r="B2571" s="15" t="s">
        <v>325</v>
      </c>
      <c r="C2571" s="15" t="s">
        <v>356</v>
      </c>
      <c r="D2571" s="15" t="s">
        <v>357</v>
      </c>
      <c r="E2571" s="19">
        <v>337954</v>
      </c>
      <c r="F2571" s="19">
        <v>246892</v>
      </c>
      <c r="G2571" s="20">
        <f t="shared" si="40"/>
        <v>0.42214873659048707</v>
      </c>
      <c r="H2571" s="24" t="s">
        <v>589</v>
      </c>
      <c r="I2571" s="24" t="s">
        <v>560</v>
      </c>
      <c r="J2571" s="24" t="s">
        <v>590</v>
      </c>
      <c r="K2571" s="24" t="s">
        <v>601</v>
      </c>
    </row>
    <row r="2572" spans="1:11">
      <c r="A2572" s="12">
        <v>2020</v>
      </c>
      <c r="B2572" s="15" t="s">
        <v>325</v>
      </c>
      <c r="C2572" s="15" t="s">
        <v>358</v>
      </c>
      <c r="D2572" s="15" t="s">
        <v>359</v>
      </c>
      <c r="E2572" s="19">
        <v>22369</v>
      </c>
      <c r="F2572" s="19">
        <v>24846</v>
      </c>
      <c r="G2572" s="20">
        <f t="shared" si="40"/>
        <v>0.52623107063433228</v>
      </c>
      <c r="H2572" s="24" t="s">
        <v>589</v>
      </c>
      <c r="I2572" s="24" t="s">
        <v>560</v>
      </c>
      <c r="J2572" s="24" t="s">
        <v>590</v>
      </c>
      <c r="K2572" s="24" t="s">
        <v>601</v>
      </c>
    </row>
    <row r="2573" spans="1:11">
      <c r="A2573" s="12">
        <v>2020</v>
      </c>
      <c r="B2573" s="15" t="s">
        <v>325</v>
      </c>
      <c r="C2573" s="15" t="s">
        <v>360</v>
      </c>
      <c r="D2573" s="15" t="s">
        <v>361</v>
      </c>
      <c r="E2573" s="19">
        <v>50545</v>
      </c>
      <c r="F2573" s="19">
        <v>42654</v>
      </c>
      <c r="G2573" s="20">
        <f t="shared" si="40"/>
        <v>0.45766585478384963</v>
      </c>
      <c r="H2573" s="24" t="s">
        <v>589</v>
      </c>
      <c r="I2573" s="24" t="s">
        <v>560</v>
      </c>
      <c r="J2573" s="24" t="s">
        <v>590</v>
      </c>
      <c r="K2573" s="24" t="s">
        <v>601</v>
      </c>
    </row>
    <row r="2574" spans="1:11">
      <c r="A2574" s="12">
        <v>2020</v>
      </c>
      <c r="B2574" s="15" t="s">
        <v>325</v>
      </c>
      <c r="C2574" s="15" t="s">
        <v>362</v>
      </c>
      <c r="D2574" s="15" t="s">
        <v>363</v>
      </c>
      <c r="E2574" s="19">
        <v>86664</v>
      </c>
      <c r="F2574" s="19">
        <v>53758</v>
      </c>
      <c r="G2574" s="20">
        <f t="shared" si="40"/>
        <v>0.38283175001068209</v>
      </c>
      <c r="H2574" s="24" t="s">
        <v>589</v>
      </c>
      <c r="I2574" s="24" t="s">
        <v>560</v>
      </c>
      <c r="J2574" s="24" t="s">
        <v>590</v>
      </c>
      <c r="K2574" s="24" t="s">
        <v>601</v>
      </c>
    </row>
    <row r="2575" spans="1:11">
      <c r="A2575" s="12">
        <v>2020</v>
      </c>
      <c r="B2575" s="15" t="s">
        <v>364</v>
      </c>
      <c r="C2575" s="15" t="s">
        <v>22</v>
      </c>
      <c r="D2575" s="15" t="s">
        <v>364</v>
      </c>
      <c r="E2575" s="19">
        <v>1643804</v>
      </c>
      <c r="F2575" s="19">
        <v>355766</v>
      </c>
      <c r="G2575" s="20">
        <f t="shared" si="40"/>
        <v>0.17792125306940992</v>
      </c>
      <c r="H2575" s="24" t="s">
        <v>586</v>
      </c>
      <c r="I2575" s="24" t="s">
        <v>587</v>
      </c>
      <c r="J2575" s="24" t="s">
        <v>588</v>
      </c>
      <c r="K2575" s="24" t="s">
        <v>601</v>
      </c>
    </row>
    <row r="2576" spans="1:11">
      <c r="A2576" s="12">
        <v>2020</v>
      </c>
      <c r="B2576" s="15" t="s">
        <v>364</v>
      </c>
      <c r="C2576" s="15" t="s">
        <v>365</v>
      </c>
      <c r="D2576" s="15" t="s">
        <v>366</v>
      </c>
      <c r="E2576" s="19">
        <v>44426</v>
      </c>
      <c r="F2576" s="19">
        <v>36253</v>
      </c>
      <c r="G2576" s="20">
        <f t="shared" si="40"/>
        <v>0.44934865330507318</v>
      </c>
      <c r="H2576" s="24" t="s">
        <v>586</v>
      </c>
      <c r="I2576" s="24" t="s">
        <v>587</v>
      </c>
      <c r="J2576" s="24" t="s">
        <v>588</v>
      </c>
      <c r="K2576" s="24" t="s">
        <v>601</v>
      </c>
    </row>
    <row r="2577" spans="1:11">
      <c r="A2577" s="12">
        <v>2020</v>
      </c>
      <c r="B2577" s="15" t="s">
        <v>364</v>
      </c>
      <c r="C2577" s="15" t="s">
        <v>367</v>
      </c>
      <c r="D2577" s="15" t="s">
        <v>368</v>
      </c>
      <c r="E2577" s="19">
        <v>237830</v>
      </c>
      <c r="F2577" s="19">
        <v>98288</v>
      </c>
      <c r="G2577" s="20">
        <f t="shared" si="40"/>
        <v>0.29242111401353094</v>
      </c>
      <c r="H2577" s="24" t="s">
        <v>586</v>
      </c>
      <c r="I2577" s="24" t="s">
        <v>587</v>
      </c>
      <c r="J2577" s="24" t="s">
        <v>588</v>
      </c>
      <c r="K2577" s="24" t="s">
        <v>601</v>
      </c>
    </row>
    <row r="2578" spans="1:11">
      <c r="A2578" s="12">
        <v>2020</v>
      </c>
      <c r="B2578" s="15" t="s">
        <v>364</v>
      </c>
      <c r="C2578" s="15" t="s">
        <v>369</v>
      </c>
      <c r="D2578" s="15" t="s">
        <v>370</v>
      </c>
      <c r="E2578" s="19">
        <v>63579</v>
      </c>
      <c r="F2578" s="19">
        <v>55110</v>
      </c>
      <c r="G2578" s="20">
        <f t="shared" si="40"/>
        <v>0.46432272577913708</v>
      </c>
      <c r="H2578" s="24" t="s">
        <v>586</v>
      </c>
      <c r="I2578" s="24" t="s">
        <v>587</v>
      </c>
      <c r="J2578" s="24" t="s">
        <v>588</v>
      </c>
      <c r="K2578" s="24" t="s">
        <v>601</v>
      </c>
    </row>
    <row r="2579" spans="1:11">
      <c r="A2579" s="12">
        <v>2020</v>
      </c>
      <c r="B2579" s="15" t="s">
        <v>364</v>
      </c>
      <c r="C2579" s="15" t="s">
        <v>371</v>
      </c>
      <c r="D2579" s="15" t="s">
        <v>372</v>
      </c>
      <c r="E2579" s="19">
        <v>70042</v>
      </c>
      <c r="F2579" s="19">
        <v>40518</v>
      </c>
      <c r="G2579" s="20">
        <f t="shared" si="40"/>
        <v>0.36647973950795948</v>
      </c>
      <c r="H2579" s="24" t="s">
        <v>586</v>
      </c>
      <c r="I2579" s="24" t="s">
        <v>587</v>
      </c>
      <c r="J2579" s="24" t="s">
        <v>588</v>
      </c>
      <c r="K2579" s="24" t="s">
        <v>601</v>
      </c>
    </row>
    <row r="2580" spans="1:11">
      <c r="A2580" s="12">
        <v>2020</v>
      </c>
      <c r="B2580" s="15" t="s">
        <v>364</v>
      </c>
      <c r="C2580" s="15" t="s">
        <v>373</v>
      </c>
      <c r="D2580" s="15" t="s">
        <v>374</v>
      </c>
      <c r="E2580" s="19">
        <v>18787</v>
      </c>
      <c r="F2580" s="19">
        <v>18629</v>
      </c>
      <c r="G2580" s="20">
        <f t="shared" si="40"/>
        <v>0.49788860380585848</v>
      </c>
      <c r="H2580" s="24" t="s">
        <v>586</v>
      </c>
      <c r="I2580" s="24" t="s">
        <v>587</v>
      </c>
      <c r="J2580" s="24" t="s">
        <v>588</v>
      </c>
      <c r="K2580" s="24" t="s">
        <v>601</v>
      </c>
    </row>
    <row r="2581" spans="1:11">
      <c r="A2581" s="12">
        <v>2020</v>
      </c>
      <c r="B2581" s="15" t="s">
        <v>364</v>
      </c>
      <c r="C2581" s="15" t="s">
        <v>375</v>
      </c>
      <c r="D2581" s="15" t="s">
        <v>376</v>
      </c>
      <c r="E2581" s="19">
        <v>43204</v>
      </c>
      <c r="F2581" s="19">
        <v>32358</v>
      </c>
      <c r="G2581" s="20">
        <f t="shared" si="40"/>
        <v>0.42823112146316933</v>
      </c>
      <c r="H2581" s="24" t="s">
        <v>586</v>
      </c>
      <c r="I2581" s="24" t="s">
        <v>587</v>
      </c>
      <c r="J2581" s="24" t="s">
        <v>588</v>
      </c>
      <c r="K2581" s="24" t="s">
        <v>601</v>
      </c>
    </row>
    <row r="2582" spans="1:11">
      <c r="A2582" s="12">
        <v>2020</v>
      </c>
      <c r="B2582" s="15" t="s">
        <v>364</v>
      </c>
      <c r="C2582" s="15" t="s">
        <v>377</v>
      </c>
      <c r="D2582" s="15" t="s">
        <v>378</v>
      </c>
      <c r="E2582" s="19">
        <v>20467</v>
      </c>
      <c r="F2582" s="19">
        <v>21762</v>
      </c>
      <c r="G2582" s="20">
        <f t="shared" si="40"/>
        <v>0.51533306495536246</v>
      </c>
      <c r="H2582" s="24" t="s">
        <v>586</v>
      </c>
      <c r="I2582" s="24" t="s">
        <v>587</v>
      </c>
      <c r="J2582" s="24" t="s">
        <v>588</v>
      </c>
      <c r="K2582" s="24" t="s">
        <v>601</v>
      </c>
    </row>
    <row r="2583" spans="1:11">
      <c r="A2583" s="12">
        <v>2020</v>
      </c>
      <c r="B2583" s="15" t="s">
        <v>364</v>
      </c>
      <c r="C2583" s="15" t="s">
        <v>379</v>
      </c>
      <c r="D2583" s="15" t="s">
        <v>380</v>
      </c>
      <c r="E2583" s="19">
        <v>58715</v>
      </c>
      <c r="F2583" s="19">
        <v>77511</v>
      </c>
      <c r="G2583" s="20">
        <f t="shared" si="40"/>
        <v>0.5689882988563123</v>
      </c>
      <c r="H2583" s="24" t="s">
        <v>586</v>
      </c>
      <c r="I2583" s="24" t="s">
        <v>587</v>
      </c>
      <c r="J2583" s="24" t="s">
        <v>588</v>
      </c>
      <c r="K2583" s="24" t="s">
        <v>601</v>
      </c>
    </row>
    <row r="2584" spans="1:11">
      <c r="A2584" s="12">
        <v>2020</v>
      </c>
      <c r="B2584" s="15" t="s">
        <v>364</v>
      </c>
      <c r="C2584" s="15" t="s">
        <v>381</v>
      </c>
      <c r="D2584" s="15" t="s">
        <v>382</v>
      </c>
      <c r="E2584" s="19">
        <v>248443</v>
      </c>
      <c r="F2584" s="19">
        <v>94129</v>
      </c>
      <c r="G2584" s="20">
        <f t="shared" si="40"/>
        <v>0.27477143491003353</v>
      </c>
      <c r="H2584" s="24" t="s">
        <v>586</v>
      </c>
      <c r="I2584" s="24" t="s">
        <v>587</v>
      </c>
      <c r="J2584" s="24" t="s">
        <v>588</v>
      </c>
      <c r="K2584" s="24" t="s">
        <v>601</v>
      </c>
    </row>
    <row r="2585" spans="1:11">
      <c r="A2585" s="12">
        <v>2020</v>
      </c>
      <c r="B2585" s="15" t="s">
        <v>364</v>
      </c>
      <c r="C2585" s="15" t="s">
        <v>383</v>
      </c>
      <c r="D2585" s="15" t="s">
        <v>384</v>
      </c>
      <c r="E2585" s="19">
        <v>19094</v>
      </c>
      <c r="F2585" s="19">
        <v>22802</v>
      </c>
      <c r="G2585" s="20">
        <f t="shared" si="40"/>
        <v>0.54425243459996187</v>
      </c>
      <c r="H2585" s="24" t="s">
        <v>586</v>
      </c>
      <c r="I2585" s="24" t="s">
        <v>587</v>
      </c>
      <c r="J2585" s="24" t="s">
        <v>588</v>
      </c>
      <c r="K2585" s="24" t="s">
        <v>601</v>
      </c>
    </row>
    <row r="2586" spans="1:11">
      <c r="A2586" s="12">
        <v>2020</v>
      </c>
      <c r="B2586" s="15" t="s">
        <v>364</v>
      </c>
      <c r="C2586" s="15" t="s">
        <v>385</v>
      </c>
      <c r="D2586" s="15" t="s">
        <v>386</v>
      </c>
      <c r="E2586" s="19">
        <v>15990</v>
      </c>
      <c r="F2586" s="19">
        <v>18283</v>
      </c>
      <c r="G2586" s="20">
        <f t="shared" si="40"/>
        <v>0.53345198844571529</v>
      </c>
      <c r="H2586" s="24" t="s">
        <v>586</v>
      </c>
      <c r="I2586" s="24" t="s">
        <v>587</v>
      </c>
      <c r="J2586" s="24" t="s">
        <v>588</v>
      </c>
      <c r="K2586" s="24" t="s">
        <v>601</v>
      </c>
    </row>
    <row r="2587" spans="1:11">
      <c r="A2587" s="12">
        <v>2020</v>
      </c>
      <c r="B2587" s="15" t="s">
        <v>364</v>
      </c>
      <c r="C2587" s="15" t="s">
        <v>387</v>
      </c>
      <c r="D2587" s="15" t="s">
        <v>388</v>
      </c>
      <c r="E2587" s="19">
        <v>266388</v>
      </c>
      <c r="F2587" s="19">
        <v>195260</v>
      </c>
      <c r="G2587" s="20">
        <f t="shared" si="40"/>
        <v>0.42296295012650331</v>
      </c>
      <c r="H2587" s="24" t="s">
        <v>586</v>
      </c>
      <c r="I2587" s="24" t="s">
        <v>587</v>
      </c>
      <c r="J2587" s="24" t="s">
        <v>588</v>
      </c>
      <c r="K2587" s="24" t="s">
        <v>601</v>
      </c>
    </row>
    <row r="2588" spans="1:11">
      <c r="A2588" s="12">
        <v>2020</v>
      </c>
      <c r="B2588" s="15" t="s">
        <v>364</v>
      </c>
      <c r="C2588" s="15" t="s">
        <v>389</v>
      </c>
      <c r="D2588" s="15" t="s">
        <v>390</v>
      </c>
      <c r="E2588" s="19">
        <v>292623</v>
      </c>
      <c r="F2588" s="19">
        <v>178496</v>
      </c>
      <c r="G2588" s="20">
        <f t="shared" si="40"/>
        <v>0.37887667447078127</v>
      </c>
      <c r="H2588" s="24" t="s">
        <v>586</v>
      </c>
      <c r="I2588" s="24" t="s">
        <v>587</v>
      </c>
      <c r="J2588" s="24" t="s">
        <v>588</v>
      </c>
      <c r="K2588" s="24" t="s">
        <v>601</v>
      </c>
    </row>
    <row r="2589" spans="1:11">
      <c r="A2589" s="12">
        <v>2020</v>
      </c>
      <c r="B2589" s="15" t="s">
        <v>364</v>
      </c>
      <c r="C2589" s="15" t="s">
        <v>391</v>
      </c>
      <c r="D2589" s="15" t="s">
        <v>392</v>
      </c>
      <c r="E2589" s="19">
        <v>93253</v>
      </c>
      <c r="F2589" s="19">
        <v>57262</v>
      </c>
      <c r="G2589" s="20">
        <f t="shared" si="40"/>
        <v>0.38044048765903732</v>
      </c>
      <c r="H2589" s="24" t="s">
        <v>586</v>
      </c>
      <c r="I2589" s="24" t="s">
        <v>587</v>
      </c>
      <c r="J2589" s="24" t="s">
        <v>588</v>
      </c>
      <c r="K2589" s="24" t="s">
        <v>601</v>
      </c>
    </row>
    <row r="2590" spans="1:11">
      <c r="A2590" s="12">
        <v>2020</v>
      </c>
      <c r="B2590" s="15" t="s">
        <v>364</v>
      </c>
      <c r="C2590" s="15" t="s">
        <v>393</v>
      </c>
      <c r="D2590" s="15" t="s">
        <v>394</v>
      </c>
      <c r="E2590" s="19">
        <v>17612</v>
      </c>
      <c r="F2590" s="19">
        <v>20386</v>
      </c>
      <c r="G2590" s="20">
        <f t="shared" si="40"/>
        <v>0.53650192115374495</v>
      </c>
      <c r="H2590" s="24" t="s">
        <v>586</v>
      </c>
      <c r="I2590" s="24" t="s">
        <v>587</v>
      </c>
      <c r="J2590" s="24" t="s">
        <v>588</v>
      </c>
      <c r="K2590" s="24" t="s">
        <v>601</v>
      </c>
    </row>
    <row r="2591" spans="1:11">
      <c r="A2591" s="12">
        <v>2020</v>
      </c>
      <c r="B2591" s="15" t="s">
        <v>395</v>
      </c>
      <c r="C2591" s="15" t="s">
        <v>22</v>
      </c>
      <c r="D2591" s="15" t="s">
        <v>395</v>
      </c>
      <c r="E2591" s="19">
        <v>1615988</v>
      </c>
      <c r="F2591" s="19">
        <v>689182</v>
      </c>
      <c r="G2591" s="20">
        <f t="shared" si="40"/>
        <v>0.29897231006823793</v>
      </c>
      <c r="H2591" s="24" t="s">
        <v>586</v>
      </c>
      <c r="I2591" s="24" t="s">
        <v>587</v>
      </c>
      <c r="J2591" s="24" t="s">
        <v>588</v>
      </c>
      <c r="K2591" s="24" t="s">
        <v>601</v>
      </c>
    </row>
    <row r="2592" spans="1:11">
      <c r="A2592" s="12">
        <v>2020</v>
      </c>
      <c r="B2592" s="15" t="s">
        <v>395</v>
      </c>
      <c r="C2592" s="15" t="s">
        <v>396</v>
      </c>
      <c r="D2592" s="15" t="s">
        <v>397</v>
      </c>
      <c r="E2592" s="19">
        <v>27890</v>
      </c>
      <c r="F2592" s="19">
        <v>23770</v>
      </c>
      <c r="G2592" s="20">
        <f t="shared" si="40"/>
        <v>0.46012388695315526</v>
      </c>
      <c r="H2592" s="24" t="s">
        <v>586</v>
      </c>
      <c r="I2592" s="24" t="s">
        <v>587</v>
      </c>
      <c r="J2592" s="24" t="s">
        <v>588</v>
      </c>
      <c r="K2592" s="24" t="s">
        <v>601</v>
      </c>
    </row>
    <row r="2593" spans="1:11">
      <c r="A2593" s="12">
        <v>2020</v>
      </c>
      <c r="B2593" s="15" t="s">
        <v>395</v>
      </c>
      <c r="C2593" s="15" t="s">
        <v>398</v>
      </c>
      <c r="D2593" s="15" t="s">
        <v>399</v>
      </c>
      <c r="E2593" s="19">
        <v>52244</v>
      </c>
      <c r="F2593" s="19">
        <v>42703</v>
      </c>
      <c r="G2593" s="20">
        <f t="shared" si="40"/>
        <v>0.44975617976344695</v>
      </c>
      <c r="H2593" s="24" t="s">
        <v>586</v>
      </c>
      <c r="I2593" s="24" t="s">
        <v>587</v>
      </c>
      <c r="J2593" s="24" t="s">
        <v>588</v>
      </c>
      <c r="K2593" s="24" t="s">
        <v>601</v>
      </c>
    </row>
    <row r="2594" spans="1:11">
      <c r="A2594" s="12">
        <v>2020</v>
      </c>
      <c r="B2594" s="15" t="s">
        <v>395</v>
      </c>
      <c r="C2594" s="15" t="s">
        <v>400</v>
      </c>
      <c r="D2594" s="15" t="s">
        <v>401</v>
      </c>
      <c r="E2594" s="19">
        <v>20433</v>
      </c>
      <c r="F2594" s="19">
        <v>22503</v>
      </c>
      <c r="G2594" s="20">
        <f t="shared" si="40"/>
        <v>0.52410564561207373</v>
      </c>
      <c r="H2594" s="24" t="s">
        <v>586</v>
      </c>
      <c r="I2594" s="24" t="s">
        <v>587</v>
      </c>
      <c r="J2594" s="24" t="s">
        <v>588</v>
      </c>
      <c r="K2594" s="24" t="s">
        <v>601</v>
      </c>
    </row>
    <row r="2595" spans="1:11">
      <c r="A2595" s="12">
        <v>2020</v>
      </c>
      <c r="B2595" s="15" t="s">
        <v>395</v>
      </c>
      <c r="C2595" s="15" t="s">
        <v>402</v>
      </c>
      <c r="D2595" s="15" t="s">
        <v>403</v>
      </c>
      <c r="E2595" s="19">
        <v>123428</v>
      </c>
      <c r="F2595" s="19">
        <v>90459</v>
      </c>
      <c r="G2595" s="20">
        <f t="shared" si="40"/>
        <v>0.4229289297619771</v>
      </c>
      <c r="H2595" s="24" t="s">
        <v>586</v>
      </c>
      <c r="I2595" s="24" t="s">
        <v>587</v>
      </c>
      <c r="J2595" s="24" t="s">
        <v>588</v>
      </c>
      <c r="K2595" s="24" t="s">
        <v>601</v>
      </c>
    </row>
    <row r="2596" spans="1:11">
      <c r="A2596" s="12">
        <v>2020</v>
      </c>
      <c r="B2596" s="15" t="s">
        <v>395</v>
      </c>
      <c r="C2596" s="15" t="s">
        <v>404</v>
      </c>
      <c r="D2596" s="15" t="s">
        <v>405</v>
      </c>
      <c r="E2596" s="19">
        <v>19725</v>
      </c>
      <c r="F2596" s="19">
        <v>19439</v>
      </c>
      <c r="G2596" s="20">
        <f t="shared" si="40"/>
        <v>0.49634868757021755</v>
      </c>
      <c r="H2596" s="24" t="s">
        <v>586</v>
      </c>
      <c r="I2596" s="24" t="s">
        <v>587</v>
      </c>
      <c r="J2596" s="24" t="s">
        <v>588</v>
      </c>
      <c r="K2596" s="24" t="s">
        <v>601</v>
      </c>
    </row>
    <row r="2597" spans="1:11">
      <c r="A2597" s="12">
        <v>2020</v>
      </c>
      <c r="B2597" s="15" t="s">
        <v>395</v>
      </c>
      <c r="C2597" s="15" t="s">
        <v>406</v>
      </c>
      <c r="D2597" s="15" t="s">
        <v>407</v>
      </c>
      <c r="E2597" s="19">
        <v>89960</v>
      </c>
      <c r="F2597" s="19">
        <v>76715</v>
      </c>
      <c r="G2597" s="20">
        <f t="shared" si="40"/>
        <v>0.46026698665066745</v>
      </c>
      <c r="H2597" s="24" t="s">
        <v>586</v>
      </c>
      <c r="I2597" s="24" t="s">
        <v>587</v>
      </c>
      <c r="J2597" s="24" t="s">
        <v>588</v>
      </c>
      <c r="K2597" s="24" t="s">
        <v>601</v>
      </c>
    </row>
    <row r="2598" spans="1:11">
      <c r="A2598" s="12">
        <v>2020</v>
      </c>
      <c r="B2598" s="15" t="s">
        <v>395</v>
      </c>
      <c r="C2598" s="15" t="s">
        <v>408</v>
      </c>
      <c r="D2598" s="15" t="s">
        <v>409</v>
      </c>
      <c r="E2598" s="19">
        <v>30327</v>
      </c>
      <c r="F2598" s="19">
        <v>36509</v>
      </c>
      <c r="G2598" s="20">
        <f t="shared" si="40"/>
        <v>0.54624753127057279</v>
      </c>
      <c r="H2598" s="24" t="s">
        <v>586</v>
      </c>
      <c r="I2598" s="24" t="s">
        <v>587</v>
      </c>
      <c r="J2598" s="24" t="s">
        <v>588</v>
      </c>
      <c r="K2598" s="24" t="s">
        <v>601</v>
      </c>
    </row>
    <row r="2599" spans="1:11">
      <c r="A2599" s="12">
        <v>2020</v>
      </c>
      <c r="B2599" s="15" t="s">
        <v>395</v>
      </c>
      <c r="C2599" s="15" t="s">
        <v>410</v>
      </c>
      <c r="D2599" s="15" t="s">
        <v>411</v>
      </c>
      <c r="E2599" s="19">
        <v>197322</v>
      </c>
      <c r="F2599" s="19">
        <v>92546</v>
      </c>
      <c r="G2599" s="20">
        <f t="shared" si="40"/>
        <v>0.31926946058205802</v>
      </c>
      <c r="H2599" s="24" t="s">
        <v>586</v>
      </c>
      <c r="I2599" s="24" t="s">
        <v>587</v>
      </c>
      <c r="J2599" s="24" t="s">
        <v>588</v>
      </c>
      <c r="K2599" s="24" t="s">
        <v>601</v>
      </c>
    </row>
    <row r="2600" spans="1:11">
      <c r="A2600" s="12">
        <v>2020</v>
      </c>
      <c r="B2600" s="15" t="s">
        <v>395</v>
      </c>
      <c r="C2600" s="15" t="s">
        <v>412</v>
      </c>
      <c r="D2600" s="15" t="s">
        <v>413</v>
      </c>
      <c r="E2600" s="19">
        <v>64447</v>
      </c>
      <c r="F2600" s="19">
        <v>67121</v>
      </c>
      <c r="G2600" s="20">
        <f t="shared" si="40"/>
        <v>0.51016204548218413</v>
      </c>
      <c r="H2600" s="24" t="s">
        <v>586</v>
      </c>
      <c r="I2600" s="24" t="s">
        <v>587</v>
      </c>
      <c r="J2600" s="24" t="s">
        <v>588</v>
      </c>
      <c r="K2600" s="24" t="s">
        <v>601</v>
      </c>
    </row>
    <row r="2601" spans="1:11">
      <c r="A2601" s="12">
        <v>2020</v>
      </c>
      <c r="B2601" s="15" t="s">
        <v>395</v>
      </c>
      <c r="C2601" s="15" t="s">
        <v>414</v>
      </c>
      <c r="D2601" s="15" t="s">
        <v>415</v>
      </c>
      <c r="E2601" s="19">
        <v>30530</v>
      </c>
      <c r="F2601" s="19">
        <v>29849</v>
      </c>
      <c r="G2601" s="20">
        <f t="shared" si="40"/>
        <v>0.49436062207058745</v>
      </c>
      <c r="H2601" s="24" t="s">
        <v>586</v>
      </c>
      <c r="I2601" s="24" t="s">
        <v>587</v>
      </c>
      <c r="J2601" s="24" t="s">
        <v>588</v>
      </c>
      <c r="K2601" s="24" t="s">
        <v>601</v>
      </c>
    </row>
    <row r="2602" spans="1:11">
      <c r="A2602" s="12">
        <v>2020</v>
      </c>
      <c r="B2602" s="15" t="s">
        <v>395</v>
      </c>
      <c r="C2602" s="15" t="s">
        <v>416</v>
      </c>
      <c r="D2602" s="15" t="s">
        <v>417</v>
      </c>
      <c r="E2602" s="19">
        <v>248283</v>
      </c>
      <c r="F2602" s="19">
        <v>98540</v>
      </c>
      <c r="G2602" s="20">
        <f t="shared" si="40"/>
        <v>0.28412187196350874</v>
      </c>
      <c r="H2602" s="24" t="s">
        <v>586</v>
      </c>
      <c r="I2602" s="24" t="s">
        <v>587</v>
      </c>
      <c r="J2602" s="24" t="s">
        <v>588</v>
      </c>
      <c r="K2602" s="24" t="s">
        <v>601</v>
      </c>
    </row>
    <row r="2603" spans="1:11">
      <c r="A2603" s="12">
        <v>2020</v>
      </c>
      <c r="B2603" s="15" t="s">
        <v>395</v>
      </c>
      <c r="C2603" s="15" t="s">
        <v>418</v>
      </c>
      <c r="D2603" s="15" t="s">
        <v>419</v>
      </c>
      <c r="E2603" s="19">
        <v>23995</v>
      </c>
      <c r="F2603" s="19">
        <v>34350</v>
      </c>
      <c r="G2603" s="20">
        <f t="shared" si="40"/>
        <v>0.5887393949781472</v>
      </c>
      <c r="H2603" s="24" t="s">
        <v>586</v>
      </c>
      <c r="I2603" s="24" t="s">
        <v>587</v>
      </c>
      <c r="J2603" s="24" t="s">
        <v>588</v>
      </c>
      <c r="K2603" s="24" t="s">
        <v>601</v>
      </c>
    </row>
    <row r="2604" spans="1:11">
      <c r="A2604" s="12">
        <v>2020</v>
      </c>
      <c r="B2604" s="15" t="s">
        <v>395</v>
      </c>
      <c r="C2604" s="15" t="s">
        <v>420</v>
      </c>
      <c r="D2604" s="15" t="s">
        <v>421</v>
      </c>
      <c r="E2604" s="19">
        <v>250046</v>
      </c>
      <c r="F2604" s="19">
        <v>99252</v>
      </c>
      <c r="G2604" s="20">
        <f t="shared" si="40"/>
        <v>0.28414706067598439</v>
      </c>
      <c r="H2604" s="24" t="s">
        <v>586</v>
      </c>
      <c r="I2604" s="24" t="s">
        <v>587</v>
      </c>
      <c r="J2604" s="24" t="s">
        <v>588</v>
      </c>
      <c r="K2604" s="24" t="s">
        <v>601</v>
      </c>
    </row>
    <row r="2605" spans="1:11">
      <c r="A2605" s="12">
        <v>2020</v>
      </c>
      <c r="B2605" s="15" t="s">
        <v>395</v>
      </c>
      <c r="C2605" s="15" t="s">
        <v>422</v>
      </c>
      <c r="D2605" s="15" t="s">
        <v>423</v>
      </c>
      <c r="E2605" s="19">
        <v>42854</v>
      </c>
      <c r="F2605" s="19">
        <v>31503</v>
      </c>
      <c r="G2605" s="20">
        <f t="shared" si="40"/>
        <v>0.42367228371236065</v>
      </c>
      <c r="H2605" s="24" t="s">
        <v>586</v>
      </c>
      <c r="I2605" s="24" t="s">
        <v>587</v>
      </c>
      <c r="J2605" s="24" t="s">
        <v>588</v>
      </c>
      <c r="K2605" s="24" t="s">
        <v>601</v>
      </c>
    </row>
    <row r="2606" spans="1:11">
      <c r="A2606" s="12">
        <v>2020</v>
      </c>
      <c r="B2606" s="15" t="s">
        <v>395</v>
      </c>
      <c r="C2606" s="15" t="s">
        <v>424</v>
      </c>
      <c r="D2606" s="15" t="s">
        <v>425</v>
      </c>
      <c r="E2606" s="19">
        <v>39206</v>
      </c>
      <c r="F2606" s="19">
        <v>47235</v>
      </c>
      <c r="G2606" s="20">
        <f t="shared" si="40"/>
        <v>0.54644208188244003</v>
      </c>
      <c r="H2606" s="24" t="s">
        <v>586</v>
      </c>
      <c r="I2606" s="24" t="s">
        <v>587</v>
      </c>
      <c r="J2606" s="24" t="s">
        <v>588</v>
      </c>
      <c r="K2606" s="24" t="s">
        <v>601</v>
      </c>
    </row>
    <row r="2607" spans="1:11">
      <c r="A2607" s="12">
        <v>2020</v>
      </c>
      <c r="B2607" s="15" t="s">
        <v>395</v>
      </c>
      <c r="C2607" s="15" t="s">
        <v>426</v>
      </c>
      <c r="D2607" s="15" t="s">
        <v>427</v>
      </c>
      <c r="E2607" s="19">
        <v>40691</v>
      </c>
      <c r="F2607" s="19">
        <v>39424</v>
      </c>
      <c r="G2607" s="20">
        <f t="shared" si="40"/>
        <v>0.49209261686325906</v>
      </c>
      <c r="H2607" s="24" t="s">
        <v>586</v>
      </c>
      <c r="I2607" s="24" t="s">
        <v>587</v>
      </c>
      <c r="J2607" s="24" t="s">
        <v>588</v>
      </c>
      <c r="K2607" s="24" t="s">
        <v>601</v>
      </c>
    </row>
    <row r="2608" spans="1:11">
      <c r="A2608" s="12">
        <v>2020</v>
      </c>
      <c r="B2608" s="15" t="s">
        <v>395</v>
      </c>
      <c r="C2608" s="15" t="s">
        <v>428</v>
      </c>
      <c r="D2608" s="15" t="s">
        <v>429</v>
      </c>
      <c r="E2608" s="19">
        <v>28951</v>
      </c>
      <c r="F2608" s="19">
        <v>35625</v>
      </c>
      <c r="G2608" s="20">
        <f t="shared" si="40"/>
        <v>0.55167554509415262</v>
      </c>
      <c r="H2608" s="24" t="s">
        <v>586</v>
      </c>
      <c r="I2608" s="24" t="s">
        <v>587</v>
      </c>
      <c r="J2608" s="24" t="s">
        <v>588</v>
      </c>
      <c r="K2608" s="24" t="s">
        <v>601</v>
      </c>
    </row>
    <row r="2609" spans="1:11">
      <c r="A2609" s="12">
        <v>2020</v>
      </c>
      <c r="B2609" s="15" t="s">
        <v>395</v>
      </c>
      <c r="C2609" s="15" t="s">
        <v>430</v>
      </c>
      <c r="D2609" s="15" t="s">
        <v>431</v>
      </c>
      <c r="E2609" s="19">
        <v>30463</v>
      </c>
      <c r="F2609" s="19">
        <v>25942</v>
      </c>
      <c r="G2609" s="20">
        <f t="shared" si="40"/>
        <v>0.45992376562361492</v>
      </c>
      <c r="H2609" s="24" t="s">
        <v>586</v>
      </c>
      <c r="I2609" s="24" t="s">
        <v>587</v>
      </c>
      <c r="J2609" s="24" t="s">
        <v>588</v>
      </c>
      <c r="K2609" s="24" t="s">
        <v>601</v>
      </c>
    </row>
    <row r="2610" spans="1:11">
      <c r="A2610" s="12">
        <v>2020</v>
      </c>
      <c r="B2610" s="15" t="s">
        <v>395</v>
      </c>
      <c r="C2610" s="15" t="s">
        <v>432</v>
      </c>
      <c r="D2610" s="15" t="s">
        <v>433</v>
      </c>
      <c r="E2610" s="19">
        <v>23686</v>
      </c>
      <c r="F2610" s="19">
        <v>24549</v>
      </c>
      <c r="G2610" s="20">
        <f t="shared" si="40"/>
        <v>0.50894578625479425</v>
      </c>
      <c r="H2610" s="24" t="s">
        <v>586</v>
      </c>
      <c r="I2610" s="24" t="s">
        <v>587</v>
      </c>
      <c r="J2610" s="24" t="s">
        <v>588</v>
      </c>
      <c r="K2610" s="24" t="s">
        <v>601</v>
      </c>
    </row>
    <row r="2611" spans="1:11">
      <c r="A2611" s="12">
        <v>2020</v>
      </c>
      <c r="B2611" s="15" t="s">
        <v>395</v>
      </c>
      <c r="C2611" s="15" t="s">
        <v>434</v>
      </c>
      <c r="D2611" s="15" t="s">
        <v>435</v>
      </c>
      <c r="E2611" s="19">
        <v>22456</v>
      </c>
      <c r="F2611" s="19">
        <v>26832</v>
      </c>
      <c r="G2611" s="20">
        <f t="shared" si="40"/>
        <v>0.54439214413244608</v>
      </c>
      <c r="H2611" s="24" t="s">
        <v>586</v>
      </c>
      <c r="I2611" s="24" t="s">
        <v>587</v>
      </c>
      <c r="J2611" s="24" t="s">
        <v>588</v>
      </c>
      <c r="K2611" s="24" t="s">
        <v>601</v>
      </c>
    </row>
    <row r="2612" spans="1:11">
      <c r="A2612" s="12">
        <v>2020</v>
      </c>
      <c r="B2612" s="15" t="s">
        <v>395</v>
      </c>
      <c r="C2612" s="15" t="s">
        <v>436</v>
      </c>
      <c r="D2612" s="15" t="s">
        <v>437</v>
      </c>
      <c r="E2612" s="19">
        <v>56898</v>
      </c>
      <c r="F2612" s="19">
        <v>40869</v>
      </c>
      <c r="G2612" s="20">
        <f t="shared" si="40"/>
        <v>0.41802448679002119</v>
      </c>
      <c r="H2612" s="24" t="s">
        <v>586</v>
      </c>
      <c r="I2612" s="24" t="s">
        <v>587</v>
      </c>
      <c r="J2612" s="24" t="s">
        <v>588</v>
      </c>
      <c r="K2612" s="24" t="s">
        <v>601</v>
      </c>
    </row>
    <row r="2613" spans="1:11">
      <c r="A2613" s="12">
        <v>2020</v>
      </c>
      <c r="B2613" s="15" t="s">
        <v>395</v>
      </c>
      <c r="C2613" s="15" t="s">
        <v>438</v>
      </c>
      <c r="D2613" s="15" t="s">
        <v>439</v>
      </c>
      <c r="E2613" s="19">
        <v>48245</v>
      </c>
      <c r="F2613" s="19">
        <v>40942</v>
      </c>
      <c r="G2613" s="20">
        <f t="shared" si="40"/>
        <v>0.45905793445233051</v>
      </c>
      <c r="H2613" s="24" t="s">
        <v>586</v>
      </c>
      <c r="I2613" s="24" t="s">
        <v>587</v>
      </c>
      <c r="J2613" s="24" t="s">
        <v>588</v>
      </c>
      <c r="K2613" s="24" t="s">
        <v>601</v>
      </c>
    </row>
    <row r="2614" spans="1:11">
      <c r="A2614" s="12">
        <v>2020</v>
      </c>
      <c r="B2614" s="15" t="s">
        <v>440</v>
      </c>
      <c r="C2614" s="15" t="s">
        <v>22</v>
      </c>
      <c r="D2614" s="15" t="s">
        <v>440</v>
      </c>
      <c r="E2614" s="19">
        <v>2293419</v>
      </c>
      <c r="F2614" s="19">
        <v>968727</v>
      </c>
      <c r="G2614" s="20">
        <f t="shared" si="40"/>
        <v>0.29696003796273984</v>
      </c>
      <c r="H2614" s="24" t="s">
        <v>583</v>
      </c>
      <c r="I2614" s="24" t="s">
        <v>584</v>
      </c>
      <c r="J2614" s="24" t="s">
        <v>585</v>
      </c>
      <c r="K2614" s="24" t="s">
        <v>601</v>
      </c>
    </row>
    <row r="2615" spans="1:11">
      <c r="A2615" s="12">
        <v>2020</v>
      </c>
      <c r="B2615" s="15" t="s">
        <v>440</v>
      </c>
      <c r="C2615" s="15" t="s">
        <v>441</v>
      </c>
      <c r="D2615" s="15" t="s">
        <v>442</v>
      </c>
      <c r="E2615" s="19">
        <v>215008</v>
      </c>
      <c r="F2615" s="19">
        <v>163043</v>
      </c>
      <c r="G2615" s="20">
        <f t="shared" si="40"/>
        <v>0.43127250027112746</v>
      </c>
      <c r="H2615" s="24" t="s">
        <v>583</v>
      </c>
      <c r="I2615" s="24" t="s">
        <v>569</v>
      </c>
      <c r="J2615" s="24" t="s">
        <v>593</v>
      </c>
      <c r="K2615" s="24" t="s">
        <v>601</v>
      </c>
    </row>
    <row r="2616" spans="1:11">
      <c r="A2616" s="12">
        <v>2020</v>
      </c>
      <c r="B2616" s="15" t="s">
        <v>440</v>
      </c>
      <c r="C2616" s="15" t="s">
        <v>443</v>
      </c>
      <c r="D2616" s="15" t="s">
        <v>444</v>
      </c>
      <c r="E2616" s="19">
        <v>211902</v>
      </c>
      <c r="F2616" s="19">
        <v>118222</v>
      </c>
      <c r="G2616" s="20">
        <f t="shared" si="40"/>
        <v>0.3581139208297488</v>
      </c>
      <c r="H2616" s="24" t="s">
        <v>583</v>
      </c>
      <c r="I2616" s="24" t="s">
        <v>584</v>
      </c>
      <c r="J2616" s="24" t="s">
        <v>585</v>
      </c>
      <c r="K2616" s="24" t="s">
        <v>601</v>
      </c>
    </row>
    <row r="2617" spans="1:11">
      <c r="A2617" s="12">
        <v>2020</v>
      </c>
      <c r="B2617" s="15" t="s">
        <v>440</v>
      </c>
      <c r="C2617" s="15" t="s">
        <v>445</v>
      </c>
      <c r="D2617" s="15" t="s">
        <v>446</v>
      </c>
      <c r="E2617" s="19">
        <v>21588</v>
      </c>
      <c r="F2617" s="19">
        <v>25701</v>
      </c>
      <c r="G2617" s="20">
        <f t="shared" si="40"/>
        <v>0.54348791473704239</v>
      </c>
      <c r="H2617" s="24" t="s">
        <v>583</v>
      </c>
      <c r="I2617" s="24" t="s">
        <v>569</v>
      </c>
      <c r="J2617" s="24" t="s">
        <v>593</v>
      </c>
      <c r="K2617" s="24" t="s">
        <v>601</v>
      </c>
    </row>
    <row r="2618" spans="1:11">
      <c r="A2618" s="12">
        <v>2020</v>
      </c>
      <c r="B2618" s="15" t="s">
        <v>440</v>
      </c>
      <c r="C2618" s="15" t="s">
        <v>447</v>
      </c>
      <c r="D2618" s="15" t="s">
        <v>448</v>
      </c>
      <c r="E2618" s="19">
        <v>362767</v>
      </c>
      <c r="F2618" s="19">
        <v>141031</v>
      </c>
      <c r="G2618" s="20">
        <f t="shared" si="40"/>
        <v>0.27993560911317633</v>
      </c>
      <c r="H2618" s="24" t="s">
        <v>583</v>
      </c>
      <c r="I2618" s="24" t="s">
        <v>569</v>
      </c>
      <c r="J2618" s="24" t="s">
        <v>593</v>
      </c>
      <c r="K2618" s="24" t="s">
        <v>601</v>
      </c>
    </row>
    <row r="2619" spans="1:11">
      <c r="A2619" s="12">
        <v>2020</v>
      </c>
      <c r="B2619" s="15" t="s">
        <v>440</v>
      </c>
      <c r="C2619" s="15" t="s">
        <v>105</v>
      </c>
      <c r="D2619" s="15" t="s">
        <v>449</v>
      </c>
      <c r="E2619" s="19">
        <v>15163</v>
      </c>
      <c r="F2619" s="19">
        <v>19545</v>
      </c>
      <c r="G2619" s="20">
        <f t="shared" si="40"/>
        <v>0.56312665667857553</v>
      </c>
      <c r="H2619" s="24" t="s">
        <v>583</v>
      </c>
      <c r="I2619" s="24" t="s">
        <v>569</v>
      </c>
      <c r="J2619" s="24" t="s">
        <v>593</v>
      </c>
      <c r="K2619" s="24" t="s">
        <v>601</v>
      </c>
    </row>
    <row r="2620" spans="1:11">
      <c r="A2620" s="12">
        <v>2020</v>
      </c>
      <c r="B2620" s="15" t="s">
        <v>440</v>
      </c>
      <c r="C2620" s="15" t="s">
        <v>450</v>
      </c>
      <c r="D2620" s="15" t="s">
        <v>451</v>
      </c>
      <c r="E2620" s="19">
        <v>116226</v>
      </c>
      <c r="F2620" s="19">
        <v>71389</v>
      </c>
      <c r="G2620" s="20">
        <f t="shared" si="40"/>
        <v>0.38050795512085922</v>
      </c>
      <c r="H2620" s="24" t="s">
        <v>583</v>
      </c>
      <c r="I2620" s="24" t="s">
        <v>584</v>
      </c>
      <c r="J2620" s="24" t="s">
        <v>585</v>
      </c>
      <c r="K2620" s="24" t="s">
        <v>601</v>
      </c>
    </row>
    <row r="2621" spans="1:11">
      <c r="A2621" s="12">
        <v>2020</v>
      </c>
      <c r="B2621" s="15" t="s">
        <v>440</v>
      </c>
      <c r="C2621" s="15" t="s">
        <v>452</v>
      </c>
      <c r="D2621" s="15" t="s">
        <v>453</v>
      </c>
      <c r="E2621" s="19">
        <v>59701</v>
      </c>
      <c r="F2621" s="19">
        <v>38656</v>
      </c>
      <c r="G2621" s="20">
        <f t="shared" si="40"/>
        <v>0.39301727380867657</v>
      </c>
      <c r="H2621" s="24" t="s">
        <v>583</v>
      </c>
      <c r="I2621" s="24" t="s">
        <v>569</v>
      </c>
      <c r="J2621" s="24" t="s">
        <v>593</v>
      </c>
      <c r="K2621" s="24" t="s">
        <v>601</v>
      </c>
    </row>
    <row r="2622" spans="1:11">
      <c r="A2622" s="12">
        <v>2020</v>
      </c>
      <c r="B2622" s="15" t="s">
        <v>440</v>
      </c>
      <c r="C2622" s="15" t="s">
        <v>454</v>
      </c>
      <c r="D2622" s="15" t="s">
        <v>455</v>
      </c>
      <c r="E2622" s="19">
        <v>20241</v>
      </c>
      <c r="F2622" s="19">
        <v>25686</v>
      </c>
      <c r="G2622" s="20">
        <f t="shared" si="40"/>
        <v>0.55927885557515189</v>
      </c>
      <c r="H2622" s="24" t="s">
        <v>583</v>
      </c>
      <c r="I2622" s="24" t="s">
        <v>569</v>
      </c>
      <c r="J2622" s="24" t="s">
        <v>593</v>
      </c>
      <c r="K2622" s="24" t="s">
        <v>601</v>
      </c>
    </row>
    <row r="2623" spans="1:11">
      <c r="A2623" s="12">
        <v>2020</v>
      </c>
      <c r="B2623" s="15" t="s">
        <v>440</v>
      </c>
      <c r="C2623" s="15" t="s">
        <v>456</v>
      </c>
      <c r="D2623" s="15" t="s">
        <v>457</v>
      </c>
      <c r="E2623" s="19">
        <v>79706</v>
      </c>
      <c r="F2623" s="19">
        <v>53340</v>
      </c>
      <c r="G2623" s="20">
        <f t="shared" si="40"/>
        <v>0.40091396960449771</v>
      </c>
      <c r="H2623" s="24" t="s">
        <v>583</v>
      </c>
      <c r="I2623" s="24" t="s">
        <v>569</v>
      </c>
      <c r="J2623" s="24" t="s">
        <v>593</v>
      </c>
      <c r="K2623" s="24" t="s">
        <v>601</v>
      </c>
    </row>
    <row r="2624" spans="1:11">
      <c r="A2624" s="12">
        <v>2020</v>
      </c>
      <c r="B2624" s="15" t="s">
        <v>440</v>
      </c>
      <c r="C2624" s="15" t="s">
        <v>458</v>
      </c>
      <c r="D2624" s="15" t="s">
        <v>459</v>
      </c>
      <c r="E2624" s="19">
        <v>29076</v>
      </c>
      <c r="F2624" s="19">
        <v>35369</v>
      </c>
      <c r="G2624" s="20">
        <f t="shared" si="40"/>
        <v>0.54882457909845606</v>
      </c>
      <c r="H2624" s="24" t="s">
        <v>583</v>
      </c>
      <c r="I2624" s="24" t="s">
        <v>569</v>
      </c>
      <c r="J2624" s="24" t="s">
        <v>593</v>
      </c>
      <c r="K2624" s="24" t="s">
        <v>601</v>
      </c>
    </row>
    <row r="2625" spans="1:11">
      <c r="A2625" s="12">
        <v>2020</v>
      </c>
      <c r="B2625" s="15" t="s">
        <v>440</v>
      </c>
      <c r="C2625" s="15" t="s">
        <v>460</v>
      </c>
      <c r="D2625" s="15" t="s">
        <v>461</v>
      </c>
      <c r="E2625" s="19">
        <v>137819</v>
      </c>
      <c r="F2625" s="19">
        <v>54928</v>
      </c>
      <c r="G2625" s="20">
        <f t="shared" si="40"/>
        <v>0.28497460401458907</v>
      </c>
      <c r="H2625" s="24" t="s">
        <v>583</v>
      </c>
      <c r="I2625" s="24" t="s">
        <v>584</v>
      </c>
      <c r="J2625" s="24" t="s">
        <v>585</v>
      </c>
      <c r="K2625" s="24" t="s">
        <v>601</v>
      </c>
    </row>
    <row r="2626" spans="1:11">
      <c r="A2626" s="12">
        <v>2020</v>
      </c>
      <c r="B2626" s="15" t="s">
        <v>440</v>
      </c>
      <c r="C2626" s="15" t="s">
        <v>462</v>
      </c>
      <c r="D2626" s="15" t="s">
        <v>463</v>
      </c>
      <c r="E2626" s="19">
        <v>29303</v>
      </c>
      <c r="F2626" s="19">
        <v>25196</v>
      </c>
      <c r="G2626" s="20">
        <f t="shared" si="40"/>
        <v>0.46232040954879905</v>
      </c>
      <c r="H2626" s="24" t="s">
        <v>583</v>
      </c>
      <c r="I2626" s="24" t="s">
        <v>569</v>
      </c>
      <c r="J2626" s="24" t="s">
        <v>593</v>
      </c>
      <c r="K2626" s="24" t="s">
        <v>601</v>
      </c>
    </row>
    <row r="2627" spans="1:11">
      <c r="A2627" s="12">
        <v>2020</v>
      </c>
      <c r="B2627" s="15" t="s">
        <v>440</v>
      </c>
      <c r="C2627" s="15" t="s">
        <v>464</v>
      </c>
      <c r="D2627" s="15" t="s">
        <v>465</v>
      </c>
      <c r="E2627" s="19">
        <v>11242</v>
      </c>
      <c r="F2627" s="19">
        <v>13587</v>
      </c>
      <c r="G2627" s="20">
        <f t="shared" si="40"/>
        <v>0.54722300535663937</v>
      </c>
      <c r="H2627" s="24" t="s">
        <v>583</v>
      </c>
      <c r="I2627" s="24" t="s">
        <v>569</v>
      </c>
      <c r="J2627" s="24" t="s">
        <v>593</v>
      </c>
      <c r="K2627" s="24" t="s">
        <v>601</v>
      </c>
    </row>
    <row r="2628" spans="1:11">
      <c r="A2628" s="12">
        <v>2020</v>
      </c>
      <c r="B2628" s="15" t="s">
        <v>440</v>
      </c>
      <c r="C2628" s="15" t="s">
        <v>466</v>
      </c>
      <c r="D2628" s="15" t="s">
        <v>467</v>
      </c>
      <c r="E2628" s="19">
        <v>89423</v>
      </c>
      <c r="F2628" s="19">
        <v>50398</v>
      </c>
      <c r="G2628" s="20">
        <f t="shared" si="40"/>
        <v>0.36044657097288674</v>
      </c>
      <c r="H2628" s="24" t="s">
        <v>583</v>
      </c>
      <c r="I2628" s="24" t="s">
        <v>569</v>
      </c>
      <c r="J2628" s="24" t="s">
        <v>593</v>
      </c>
      <c r="K2628" s="24" t="s">
        <v>601</v>
      </c>
    </row>
    <row r="2629" spans="1:11">
      <c r="A2629" s="12">
        <v>2020</v>
      </c>
      <c r="B2629" s="15" t="s">
        <v>440</v>
      </c>
      <c r="C2629" s="15" t="s">
        <v>468</v>
      </c>
      <c r="D2629" s="15" t="s">
        <v>469</v>
      </c>
      <c r="E2629" s="19">
        <v>81097</v>
      </c>
      <c r="F2629" s="19">
        <v>62267</v>
      </c>
      <c r="G2629" s="20">
        <f t="shared" si="40"/>
        <v>0.43432800424095308</v>
      </c>
      <c r="H2629" s="24" t="s">
        <v>583</v>
      </c>
      <c r="I2629" s="24" t="s">
        <v>569</v>
      </c>
      <c r="J2629" s="24" t="s">
        <v>593</v>
      </c>
      <c r="K2629" s="24" t="s">
        <v>601</v>
      </c>
    </row>
    <row r="2630" spans="1:11">
      <c r="A2630" s="12">
        <v>2020</v>
      </c>
      <c r="B2630" s="15" t="s">
        <v>440</v>
      </c>
      <c r="C2630" s="15" t="s">
        <v>470</v>
      </c>
      <c r="D2630" s="15" t="s">
        <v>471</v>
      </c>
      <c r="E2630" s="19">
        <v>42207</v>
      </c>
      <c r="F2630" s="19">
        <v>40443</v>
      </c>
      <c r="G2630" s="20">
        <f t="shared" ref="G2630:G2693" si="41">IFERROR(F2630/(E2630+F2630),"")</f>
        <v>0.48932849364791287</v>
      </c>
      <c r="H2630" s="24" t="s">
        <v>583</v>
      </c>
      <c r="I2630" s="24" t="s">
        <v>569</v>
      </c>
      <c r="J2630" s="24" t="s">
        <v>593</v>
      </c>
      <c r="K2630" s="24" t="s">
        <v>601</v>
      </c>
    </row>
    <row r="2631" spans="1:11">
      <c r="A2631" s="12">
        <v>2020</v>
      </c>
      <c r="B2631" s="15" t="s">
        <v>440</v>
      </c>
      <c r="C2631" s="15" t="s">
        <v>472</v>
      </c>
      <c r="D2631" s="15" t="s">
        <v>473</v>
      </c>
      <c r="E2631" s="19">
        <v>6017</v>
      </c>
      <c r="F2631" s="19">
        <v>7137</v>
      </c>
      <c r="G2631" s="20">
        <f t="shared" si="41"/>
        <v>0.54257260149004105</v>
      </c>
      <c r="H2631" s="24" t="s">
        <v>583</v>
      </c>
      <c r="I2631" s="24" t="s">
        <v>569</v>
      </c>
      <c r="J2631" s="24" t="s">
        <v>593</v>
      </c>
      <c r="K2631" s="24" t="s">
        <v>601</v>
      </c>
    </row>
    <row r="2632" spans="1:11">
      <c r="A2632" s="12">
        <v>2020</v>
      </c>
      <c r="B2632" s="15" t="s">
        <v>440</v>
      </c>
      <c r="C2632" s="15" t="s">
        <v>474</v>
      </c>
      <c r="D2632" s="15" t="s">
        <v>475</v>
      </c>
      <c r="E2632" s="19">
        <v>39640</v>
      </c>
      <c r="F2632" s="19">
        <v>30477</v>
      </c>
      <c r="G2632" s="20">
        <f t="shared" si="41"/>
        <v>0.43465921245917538</v>
      </c>
      <c r="H2632" s="24" t="s">
        <v>583</v>
      </c>
      <c r="I2632" s="24" t="s">
        <v>569</v>
      </c>
      <c r="J2632" s="24" t="s">
        <v>593</v>
      </c>
      <c r="K2632" s="24" t="s">
        <v>601</v>
      </c>
    </row>
    <row r="2633" spans="1:11">
      <c r="A2633" s="12">
        <v>2020</v>
      </c>
      <c r="B2633" s="15" t="s">
        <v>440</v>
      </c>
      <c r="C2633" s="15" t="s">
        <v>476</v>
      </c>
      <c r="D2633" s="15" t="s">
        <v>477</v>
      </c>
      <c r="E2633" s="19">
        <v>39832</v>
      </c>
      <c r="F2633" s="19">
        <v>38998</v>
      </c>
      <c r="G2633" s="20">
        <f t="shared" si="41"/>
        <v>0.49471013573512623</v>
      </c>
      <c r="H2633" s="24" t="s">
        <v>583</v>
      </c>
      <c r="I2633" s="24" t="s">
        <v>569</v>
      </c>
      <c r="J2633" s="24" t="s">
        <v>593</v>
      </c>
      <c r="K2633" s="24" t="s">
        <v>601</v>
      </c>
    </row>
    <row r="2634" spans="1:11">
      <c r="A2634" s="12">
        <v>2020</v>
      </c>
      <c r="B2634" s="15" t="s">
        <v>440</v>
      </c>
      <c r="C2634" s="15" t="s">
        <v>478</v>
      </c>
      <c r="D2634" s="15" t="s">
        <v>479</v>
      </c>
      <c r="E2634" s="19">
        <v>30438</v>
      </c>
      <c r="F2634" s="19">
        <v>32812</v>
      </c>
      <c r="G2634" s="20">
        <f t="shared" si="41"/>
        <v>0.51876679841897233</v>
      </c>
      <c r="H2634" s="24" t="s">
        <v>583</v>
      </c>
      <c r="I2634" s="24" t="s">
        <v>569</v>
      </c>
      <c r="J2634" s="24" t="s">
        <v>593</v>
      </c>
      <c r="K2634" s="24" t="s">
        <v>601</v>
      </c>
    </row>
    <row r="2635" spans="1:11">
      <c r="A2635" s="12">
        <v>2020</v>
      </c>
      <c r="B2635" s="15" t="s">
        <v>440</v>
      </c>
      <c r="C2635" s="15" t="s">
        <v>480</v>
      </c>
      <c r="D2635" s="15" t="s">
        <v>481</v>
      </c>
      <c r="E2635" s="19">
        <v>18388</v>
      </c>
      <c r="F2635" s="19">
        <v>20115</v>
      </c>
      <c r="G2635" s="20">
        <f t="shared" si="41"/>
        <v>0.5224268238838532</v>
      </c>
      <c r="H2635" s="24" t="s">
        <v>583</v>
      </c>
      <c r="I2635" s="24" t="s">
        <v>569</v>
      </c>
      <c r="J2635" s="24" t="s">
        <v>593</v>
      </c>
      <c r="K2635" s="24" t="s">
        <v>601</v>
      </c>
    </row>
    <row r="2636" spans="1:11">
      <c r="A2636" s="12">
        <v>2020</v>
      </c>
      <c r="B2636" s="15" t="s">
        <v>440</v>
      </c>
      <c r="C2636" s="15" t="s">
        <v>482</v>
      </c>
      <c r="D2636" s="15" t="s">
        <v>483</v>
      </c>
      <c r="E2636" s="19">
        <v>82370</v>
      </c>
      <c r="F2636" s="19">
        <v>85146</v>
      </c>
      <c r="G2636" s="20">
        <f t="shared" si="41"/>
        <v>0.50828577568709854</v>
      </c>
      <c r="H2636" s="24" t="s">
        <v>583</v>
      </c>
      <c r="I2636" s="24" t="s">
        <v>569</v>
      </c>
      <c r="J2636" s="24" t="s">
        <v>593</v>
      </c>
      <c r="K2636" s="24" t="s">
        <v>601</v>
      </c>
    </row>
    <row r="2637" spans="1:11">
      <c r="A2637" s="12">
        <v>2020</v>
      </c>
      <c r="B2637" s="15" t="s">
        <v>440</v>
      </c>
      <c r="C2637" s="15" t="s">
        <v>484</v>
      </c>
      <c r="D2637" s="15" t="s">
        <v>485</v>
      </c>
      <c r="E2637" s="19">
        <v>191338</v>
      </c>
      <c r="F2637" s="19">
        <v>139082</v>
      </c>
      <c r="G2637" s="20">
        <f t="shared" si="41"/>
        <v>0.42092488348162943</v>
      </c>
      <c r="H2637" s="24" t="s">
        <v>583</v>
      </c>
      <c r="I2637" s="24" t="s">
        <v>584</v>
      </c>
      <c r="J2637" s="24" t="s">
        <v>585</v>
      </c>
      <c r="K2637" s="24" t="s">
        <v>601</v>
      </c>
    </row>
    <row r="2638" spans="1:11">
      <c r="A2638" s="12">
        <v>2020</v>
      </c>
      <c r="B2638" s="15" t="s">
        <v>440</v>
      </c>
      <c r="C2638" s="15" t="s">
        <v>486</v>
      </c>
      <c r="D2638" s="15" t="s">
        <v>487</v>
      </c>
      <c r="E2638" s="19">
        <v>228834</v>
      </c>
      <c r="F2638" s="19">
        <v>161199</v>
      </c>
      <c r="G2638" s="20">
        <f t="shared" si="41"/>
        <v>0.41329579804785749</v>
      </c>
      <c r="H2638" s="24" t="s">
        <v>583</v>
      </c>
      <c r="I2638" s="24" t="s">
        <v>584</v>
      </c>
      <c r="J2638" s="24" t="s">
        <v>585</v>
      </c>
      <c r="K2638" s="24" t="s">
        <v>601</v>
      </c>
    </row>
    <row r="2639" spans="1:11">
      <c r="A2639" s="12">
        <v>2020</v>
      </c>
      <c r="B2639" s="15" t="s">
        <v>488</v>
      </c>
      <c r="C2639" s="15" t="s">
        <v>22</v>
      </c>
      <c r="D2639" s="15" t="s">
        <v>488</v>
      </c>
      <c r="E2639" s="19">
        <v>3000756</v>
      </c>
      <c r="F2639" s="19">
        <v>866125</v>
      </c>
      <c r="G2639" s="20">
        <f t="shared" si="41"/>
        <v>0.22398542908354305</v>
      </c>
      <c r="H2639" s="24" t="s">
        <v>583</v>
      </c>
      <c r="I2639" s="24" t="s">
        <v>569</v>
      </c>
      <c r="J2639" s="24" t="s">
        <v>593</v>
      </c>
      <c r="K2639" s="24" t="s">
        <v>601</v>
      </c>
    </row>
    <row r="2640" spans="1:11">
      <c r="A2640" s="12">
        <v>2020</v>
      </c>
      <c r="B2640" s="15" t="s">
        <v>488</v>
      </c>
      <c r="C2640" s="15" t="s">
        <v>489</v>
      </c>
      <c r="D2640" s="15" t="s">
        <v>490</v>
      </c>
      <c r="E2640" s="19">
        <v>215152</v>
      </c>
      <c r="F2640" s="19">
        <v>102209</v>
      </c>
      <c r="G2640" s="20">
        <f t="shared" si="41"/>
        <v>0.32205910619137196</v>
      </c>
      <c r="H2640" s="24" t="s">
        <v>583</v>
      </c>
      <c r="I2640" s="24" t="s">
        <v>569</v>
      </c>
      <c r="J2640" s="24" t="s">
        <v>593</v>
      </c>
      <c r="K2640" s="24" t="s">
        <v>601</v>
      </c>
    </row>
    <row r="2641" spans="1:11">
      <c r="A2641" s="12">
        <v>2020</v>
      </c>
      <c r="B2641" s="15" t="s">
        <v>488</v>
      </c>
      <c r="C2641" s="15" t="s">
        <v>491</v>
      </c>
      <c r="D2641" s="15" t="s">
        <v>492</v>
      </c>
      <c r="E2641" s="19">
        <v>52717</v>
      </c>
      <c r="F2641" s="19">
        <v>33433</v>
      </c>
      <c r="G2641" s="20">
        <f t="shared" si="41"/>
        <v>0.38807893209518279</v>
      </c>
      <c r="H2641" s="24" t="s">
        <v>583</v>
      </c>
      <c r="I2641" s="24" t="s">
        <v>569</v>
      </c>
      <c r="J2641" s="24" t="s">
        <v>593</v>
      </c>
      <c r="K2641" s="24" t="s">
        <v>601</v>
      </c>
    </row>
    <row r="2642" spans="1:11">
      <c r="A2642" s="12">
        <v>2020</v>
      </c>
      <c r="B2642" s="15" t="s">
        <v>488</v>
      </c>
      <c r="C2642" s="15" t="s">
        <v>260</v>
      </c>
      <c r="D2642" s="15" t="s">
        <v>493</v>
      </c>
      <c r="E2642" s="19">
        <v>37947</v>
      </c>
      <c r="F2642" s="19">
        <v>37319</v>
      </c>
      <c r="G2642" s="20">
        <f t="shared" si="41"/>
        <v>0.49582812956713523</v>
      </c>
      <c r="H2642" s="24" t="s">
        <v>583</v>
      </c>
      <c r="I2642" s="24" t="s">
        <v>569</v>
      </c>
      <c r="J2642" s="24" t="s">
        <v>593</v>
      </c>
      <c r="K2642" s="24" t="s">
        <v>601</v>
      </c>
    </row>
    <row r="2643" spans="1:11">
      <c r="A2643" s="12">
        <v>2020</v>
      </c>
      <c r="B2643" s="15" t="s">
        <v>488</v>
      </c>
      <c r="C2643" s="15" t="s">
        <v>494</v>
      </c>
      <c r="D2643" s="15" t="s">
        <v>495</v>
      </c>
      <c r="E2643" s="19">
        <v>472039</v>
      </c>
      <c r="F2643" s="19">
        <v>238014</v>
      </c>
      <c r="G2643" s="20">
        <f t="shared" si="41"/>
        <v>0.3352059634984994</v>
      </c>
      <c r="H2643" s="24" t="s">
        <v>583</v>
      </c>
      <c r="I2643" s="24" t="s">
        <v>569</v>
      </c>
      <c r="J2643" s="24" t="s">
        <v>593</v>
      </c>
      <c r="K2643" s="24" t="s">
        <v>601</v>
      </c>
    </row>
    <row r="2644" spans="1:11">
      <c r="A2644" s="12">
        <v>2020</v>
      </c>
      <c r="B2644" s="15" t="s">
        <v>488</v>
      </c>
      <c r="C2644" s="15" t="s">
        <v>496</v>
      </c>
      <c r="D2644" s="15" t="s">
        <v>497</v>
      </c>
      <c r="E2644" s="19">
        <v>33131</v>
      </c>
      <c r="F2644" s="19">
        <v>31706</v>
      </c>
      <c r="G2644" s="20">
        <f t="shared" si="41"/>
        <v>0.48901090426762495</v>
      </c>
      <c r="H2644" s="24" t="s">
        <v>583</v>
      </c>
      <c r="I2644" s="24" t="s">
        <v>569</v>
      </c>
      <c r="J2644" s="24" t="s">
        <v>593</v>
      </c>
      <c r="K2644" s="24" t="s">
        <v>601</v>
      </c>
    </row>
    <row r="2645" spans="1:11">
      <c r="A2645" s="12">
        <v>2020</v>
      </c>
      <c r="B2645" s="15" t="s">
        <v>488</v>
      </c>
      <c r="C2645" s="15" t="s">
        <v>498</v>
      </c>
      <c r="D2645" s="15" t="s">
        <v>499</v>
      </c>
      <c r="E2645" s="19">
        <v>86023</v>
      </c>
      <c r="F2645" s="19">
        <v>59141</v>
      </c>
      <c r="G2645" s="20">
        <f t="shared" si="41"/>
        <v>0.40740817282521835</v>
      </c>
      <c r="H2645" s="24" t="s">
        <v>583</v>
      </c>
      <c r="I2645" s="24" t="s">
        <v>569</v>
      </c>
      <c r="J2645" s="24" t="s">
        <v>593</v>
      </c>
      <c r="K2645" s="24" t="s">
        <v>601</v>
      </c>
    </row>
    <row r="2646" spans="1:11">
      <c r="A2646" s="12">
        <v>2020</v>
      </c>
      <c r="B2646" s="15" t="s">
        <v>488</v>
      </c>
      <c r="C2646" s="15" t="s">
        <v>500</v>
      </c>
      <c r="D2646" s="15" t="s">
        <v>501</v>
      </c>
      <c r="E2646" s="19">
        <v>92401</v>
      </c>
      <c r="F2646" s="19">
        <v>66007</v>
      </c>
      <c r="G2646" s="20">
        <f t="shared" si="41"/>
        <v>0.41668981364577545</v>
      </c>
      <c r="H2646" s="24" t="s">
        <v>583</v>
      </c>
      <c r="I2646" s="24" t="s">
        <v>569</v>
      </c>
      <c r="J2646" s="24" t="s">
        <v>593</v>
      </c>
      <c r="K2646" s="24" t="s">
        <v>601</v>
      </c>
    </row>
    <row r="2647" spans="1:11">
      <c r="A2647" s="12">
        <v>2020</v>
      </c>
      <c r="B2647" s="15" t="s">
        <v>488</v>
      </c>
      <c r="C2647" s="15" t="s">
        <v>502</v>
      </c>
      <c r="D2647" s="15" t="s">
        <v>503</v>
      </c>
      <c r="E2647" s="19">
        <v>24534</v>
      </c>
      <c r="F2647" s="19">
        <v>29376</v>
      </c>
      <c r="G2647" s="20">
        <f t="shared" si="41"/>
        <v>0.54490818030050081</v>
      </c>
      <c r="H2647" s="24" t="s">
        <v>583</v>
      </c>
      <c r="I2647" s="24" t="s">
        <v>569</v>
      </c>
      <c r="J2647" s="24" t="s">
        <v>593</v>
      </c>
      <c r="K2647" s="24" t="s">
        <v>601</v>
      </c>
    </row>
    <row r="2648" spans="1:11">
      <c r="A2648" s="12">
        <v>2020</v>
      </c>
      <c r="B2648" s="15" t="s">
        <v>488</v>
      </c>
      <c r="C2648" s="15" t="s">
        <v>504</v>
      </c>
      <c r="D2648" s="15" t="s">
        <v>505</v>
      </c>
      <c r="E2648" s="19">
        <v>303088</v>
      </c>
      <c r="F2648" s="19">
        <v>159579</v>
      </c>
      <c r="G2648" s="20">
        <f t="shared" si="41"/>
        <v>0.34491113479024871</v>
      </c>
      <c r="H2648" s="24" t="s">
        <v>583</v>
      </c>
      <c r="I2648" s="24" t="s">
        <v>569</v>
      </c>
      <c r="J2648" s="24" t="s">
        <v>593</v>
      </c>
      <c r="K2648" s="24" t="s">
        <v>601</v>
      </c>
    </row>
    <row r="2649" spans="1:11">
      <c r="A2649" s="12">
        <v>2020</v>
      </c>
      <c r="B2649" s="15" t="s">
        <v>488</v>
      </c>
      <c r="C2649" s="15" t="s">
        <v>506</v>
      </c>
      <c r="D2649" s="15" t="s">
        <v>507</v>
      </c>
      <c r="E2649" s="19">
        <v>19152</v>
      </c>
      <c r="F2649" s="19">
        <v>21645</v>
      </c>
      <c r="G2649" s="20">
        <f t="shared" si="41"/>
        <v>0.53055371718508715</v>
      </c>
      <c r="H2649" s="24" t="s">
        <v>583</v>
      </c>
      <c r="I2649" s="24" t="s">
        <v>569</v>
      </c>
      <c r="J2649" s="24" t="s">
        <v>593</v>
      </c>
      <c r="K2649" s="24" t="s">
        <v>601</v>
      </c>
    </row>
    <row r="2650" spans="1:11">
      <c r="A2650" s="12">
        <v>2020</v>
      </c>
      <c r="B2650" s="15" t="s">
        <v>488</v>
      </c>
      <c r="C2650" s="15" t="s">
        <v>508</v>
      </c>
      <c r="D2650" s="15" t="s">
        <v>509</v>
      </c>
      <c r="E2650" s="19">
        <v>309413</v>
      </c>
      <c r="F2650" s="19">
        <v>87900</v>
      </c>
      <c r="G2650" s="20">
        <f t="shared" si="41"/>
        <v>0.22123615386357859</v>
      </c>
      <c r="H2650" s="24" t="s">
        <v>583</v>
      </c>
      <c r="I2650" s="24" t="s">
        <v>569</v>
      </c>
      <c r="J2650" s="24" t="s">
        <v>593</v>
      </c>
      <c r="K2650" s="24" t="s">
        <v>601</v>
      </c>
    </row>
    <row r="2651" spans="1:11">
      <c r="A2651" s="12">
        <v>2020</v>
      </c>
      <c r="B2651" s="15" t="s">
        <v>488</v>
      </c>
      <c r="C2651" s="15" t="s">
        <v>510</v>
      </c>
      <c r="D2651" s="15" t="s">
        <v>511</v>
      </c>
      <c r="E2651" s="19">
        <v>46994</v>
      </c>
      <c r="F2651" s="19">
        <v>45794</v>
      </c>
      <c r="G2651" s="20">
        <f t="shared" si="41"/>
        <v>0.49353364659223176</v>
      </c>
      <c r="H2651" s="24" t="s">
        <v>583</v>
      </c>
      <c r="I2651" s="24" t="s">
        <v>569</v>
      </c>
      <c r="J2651" s="24" t="s">
        <v>593</v>
      </c>
      <c r="K2651" s="24" t="s">
        <v>601</v>
      </c>
    </row>
    <row r="2652" spans="1:11">
      <c r="A2652" s="12">
        <v>2020</v>
      </c>
      <c r="B2652" s="15" t="s">
        <v>488</v>
      </c>
      <c r="C2652" s="15" t="s">
        <v>512</v>
      </c>
      <c r="D2652" s="15" t="s">
        <v>513</v>
      </c>
      <c r="E2652" s="19">
        <v>140139</v>
      </c>
      <c r="F2652" s="19">
        <v>112611</v>
      </c>
      <c r="G2652" s="20">
        <f t="shared" si="41"/>
        <v>0.44554302670623147</v>
      </c>
      <c r="H2652" s="24" t="s">
        <v>583</v>
      </c>
      <c r="I2652" s="24" t="s">
        <v>569</v>
      </c>
      <c r="J2652" s="24" t="s">
        <v>593</v>
      </c>
      <c r="K2652" s="24" t="s">
        <v>601</v>
      </c>
    </row>
    <row r="2653" spans="1:11">
      <c r="A2653" s="12">
        <v>2020</v>
      </c>
      <c r="B2653" s="15" t="s">
        <v>488</v>
      </c>
      <c r="C2653" s="15" t="s">
        <v>514</v>
      </c>
      <c r="D2653" s="15" t="s">
        <v>515</v>
      </c>
      <c r="E2653" s="19">
        <v>156040</v>
      </c>
      <c r="F2653" s="19">
        <v>117061</v>
      </c>
      <c r="G2653" s="20">
        <f t="shared" si="41"/>
        <v>0.42863629206776982</v>
      </c>
      <c r="H2653" s="24" t="s">
        <v>583</v>
      </c>
      <c r="I2653" s="24" t="s">
        <v>569</v>
      </c>
      <c r="J2653" s="24" t="s">
        <v>593</v>
      </c>
      <c r="K2653" s="24" t="s">
        <v>601</v>
      </c>
    </row>
    <row r="2654" spans="1:11">
      <c r="A2654" s="12">
        <v>2020</v>
      </c>
      <c r="B2654" s="15" t="s">
        <v>488</v>
      </c>
      <c r="C2654" s="15" t="s">
        <v>516</v>
      </c>
      <c r="D2654" s="15" t="s">
        <v>517</v>
      </c>
      <c r="E2654" s="19">
        <v>176058</v>
      </c>
      <c r="F2654" s="19">
        <v>129536</v>
      </c>
      <c r="G2654" s="20">
        <f t="shared" si="41"/>
        <v>0.42388266785342643</v>
      </c>
      <c r="H2654" s="24" t="s">
        <v>583</v>
      </c>
      <c r="I2654" s="24" t="s">
        <v>569</v>
      </c>
      <c r="J2654" s="24" t="s">
        <v>593</v>
      </c>
      <c r="K2654" s="24" t="s">
        <v>601</v>
      </c>
    </row>
    <row r="2655" spans="1:11">
      <c r="A2655" s="12">
        <v>2020</v>
      </c>
      <c r="B2655" s="15" t="s">
        <v>488</v>
      </c>
      <c r="C2655" s="15" t="s">
        <v>518</v>
      </c>
      <c r="D2655" s="15" t="s">
        <v>519</v>
      </c>
      <c r="E2655" s="19">
        <v>200679</v>
      </c>
      <c r="F2655" s="19">
        <v>182670</v>
      </c>
      <c r="G2655" s="20">
        <f t="shared" si="41"/>
        <v>0.47651095998685272</v>
      </c>
      <c r="H2655" s="24" t="s">
        <v>583</v>
      </c>
      <c r="I2655" s="24" t="s">
        <v>569</v>
      </c>
      <c r="J2655" s="24" t="s">
        <v>593</v>
      </c>
      <c r="K2655" s="24" t="s">
        <v>601</v>
      </c>
    </row>
    <row r="2656" spans="1:11">
      <c r="A2656" s="12">
        <v>2020</v>
      </c>
      <c r="B2656" s="15" t="s">
        <v>488</v>
      </c>
      <c r="C2656" s="15" t="s">
        <v>520</v>
      </c>
      <c r="D2656" s="15" t="s">
        <v>521</v>
      </c>
      <c r="E2656" s="19">
        <v>161508</v>
      </c>
      <c r="F2656" s="19">
        <v>110955</v>
      </c>
      <c r="G2656" s="20">
        <f t="shared" si="41"/>
        <v>0.40722960548771758</v>
      </c>
      <c r="H2656" s="24" t="s">
        <v>583</v>
      </c>
      <c r="I2656" s="24" t="s">
        <v>569</v>
      </c>
      <c r="J2656" s="24" t="s">
        <v>593</v>
      </c>
      <c r="K2656" s="24" t="s">
        <v>601</v>
      </c>
    </row>
    <row r="2657" spans="1:11">
      <c r="A2657" s="12">
        <v>2020</v>
      </c>
      <c r="B2657" s="15" t="s">
        <v>488</v>
      </c>
      <c r="C2657" s="15" t="s">
        <v>522</v>
      </c>
      <c r="D2657" s="15" t="s">
        <v>523</v>
      </c>
      <c r="E2657" s="19">
        <v>113009</v>
      </c>
      <c r="F2657" s="19">
        <v>54124</v>
      </c>
      <c r="G2657" s="20">
        <f t="shared" si="41"/>
        <v>0.32383790155145903</v>
      </c>
      <c r="H2657" s="24" t="s">
        <v>583</v>
      </c>
      <c r="I2657" s="24" t="s">
        <v>569</v>
      </c>
      <c r="J2657" s="24" t="s">
        <v>593</v>
      </c>
      <c r="K2657" s="24" t="s">
        <v>601</v>
      </c>
    </row>
    <row r="2658" spans="1:11">
      <c r="A2658" s="12">
        <v>2020</v>
      </c>
      <c r="B2658" s="15" t="s">
        <v>488</v>
      </c>
      <c r="C2658" s="15" t="s">
        <v>524</v>
      </c>
      <c r="D2658" s="15" t="s">
        <v>525</v>
      </c>
      <c r="E2658" s="19">
        <v>32646</v>
      </c>
      <c r="F2658" s="19">
        <v>34179</v>
      </c>
      <c r="G2658" s="20">
        <f t="shared" si="41"/>
        <v>0.51147025813692482</v>
      </c>
      <c r="H2658" s="24" t="s">
        <v>583</v>
      </c>
      <c r="I2658" s="24" t="s">
        <v>569</v>
      </c>
      <c r="J2658" s="24" t="s">
        <v>593</v>
      </c>
      <c r="K2658" s="24" t="s">
        <v>601</v>
      </c>
    </row>
    <row r="2659" spans="1:11">
      <c r="A2659" s="12">
        <v>2020</v>
      </c>
      <c r="B2659" s="15" t="s">
        <v>488</v>
      </c>
      <c r="C2659" s="15" t="s">
        <v>526</v>
      </c>
      <c r="D2659" s="15" t="s">
        <v>527</v>
      </c>
      <c r="E2659" s="19">
        <v>44227</v>
      </c>
      <c r="F2659" s="19">
        <v>52069</v>
      </c>
      <c r="G2659" s="20">
        <f t="shared" si="41"/>
        <v>0.540718202209853</v>
      </c>
      <c r="H2659" s="24" t="s">
        <v>583</v>
      </c>
      <c r="I2659" s="24" t="s">
        <v>569</v>
      </c>
      <c r="J2659" s="24" t="s">
        <v>593</v>
      </c>
      <c r="K2659" s="24" t="s">
        <v>601</v>
      </c>
    </row>
    <row r="2660" spans="1:11">
      <c r="A2660" s="12">
        <v>2020</v>
      </c>
      <c r="B2660" s="15" t="s">
        <v>488</v>
      </c>
      <c r="C2660" s="15" t="s">
        <v>528</v>
      </c>
      <c r="D2660" s="15" t="s">
        <v>529</v>
      </c>
      <c r="E2660" s="19">
        <v>30986</v>
      </c>
      <c r="F2660" s="19">
        <v>28404</v>
      </c>
      <c r="G2660" s="20">
        <f t="shared" si="41"/>
        <v>0.47826233372621652</v>
      </c>
      <c r="H2660" s="24" t="s">
        <v>583</v>
      </c>
      <c r="I2660" s="24" t="s">
        <v>569</v>
      </c>
      <c r="J2660" s="24" t="s">
        <v>593</v>
      </c>
      <c r="K2660" s="24" t="s">
        <v>601</v>
      </c>
    </row>
    <row r="2661" spans="1:11">
      <c r="A2661" s="12">
        <v>2020</v>
      </c>
      <c r="B2661" s="15" t="s">
        <v>488</v>
      </c>
      <c r="C2661" s="15" t="s">
        <v>530</v>
      </c>
      <c r="D2661" s="15" t="s">
        <v>531</v>
      </c>
      <c r="E2661" s="19">
        <v>32828</v>
      </c>
      <c r="F2661" s="19">
        <v>32513</v>
      </c>
      <c r="G2661" s="20">
        <f t="shared" si="41"/>
        <v>0.49758956857103503</v>
      </c>
      <c r="H2661" s="24" t="s">
        <v>583</v>
      </c>
      <c r="I2661" s="24" t="s">
        <v>569</v>
      </c>
      <c r="J2661" s="24" t="s">
        <v>593</v>
      </c>
      <c r="K2661" s="24" t="s">
        <v>601</v>
      </c>
    </row>
    <row r="2662" spans="1:11">
      <c r="A2662" s="12">
        <v>2020</v>
      </c>
      <c r="B2662" s="15" t="s">
        <v>532</v>
      </c>
      <c r="C2662" s="15" t="s">
        <v>22</v>
      </c>
      <c r="D2662" s="15" t="s">
        <v>532</v>
      </c>
      <c r="E2662" s="19">
        <v>608484</v>
      </c>
      <c r="F2662" s="19">
        <v>113820</v>
      </c>
      <c r="G2662" s="20">
        <f t="shared" si="41"/>
        <v>0.15757908027644871</v>
      </c>
      <c r="H2662" s="24" t="s">
        <v>586</v>
      </c>
      <c r="I2662" s="24" t="s">
        <v>587</v>
      </c>
      <c r="J2662" s="24" t="s">
        <v>588</v>
      </c>
      <c r="K2662" s="24" t="s">
        <v>601</v>
      </c>
    </row>
    <row r="2663" spans="1:11">
      <c r="A2663" s="12">
        <v>2020</v>
      </c>
      <c r="B2663" s="15" t="s">
        <v>532</v>
      </c>
      <c r="C2663" s="15" t="s">
        <v>533</v>
      </c>
      <c r="D2663" s="15" t="s">
        <v>534</v>
      </c>
      <c r="E2663" s="19">
        <v>148480</v>
      </c>
      <c r="F2663" s="19">
        <v>105237</v>
      </c>
      <c r="G2663" s="20">
        <f t="shared" si="41"/>
        <v>0.41478103556324564</v>
      </c>
      <c r="H2663" s="24" t="s">
        <v>586</v>
      </c>
      <c r="I2663" s="24" t="s">
        <v>587</v>
      </c>
      <c r="J2663" s="24" t="s">
        <v>588</v>
      </c>
      <c r="K2663" s="24" t="s">
        <v>601</v>
      </c>
    </row>
    <row r="2664" spans="1:11">
      <c r="A2664" s="12">
        <v>2020</v>
      </c>
      <c r="B2664" s="15" t="s">
        <v>532</v>
      </c>
      <c r="C2664" s="15" t="s">
        <v>535</v>
      </c>
      <c r="D2664" s="15" t="s">
        <v>536</v>
      </c>
      <c r="E2664" s="19">
        <v>443675</v>
      </c>
      <c r="F2664" s="19">
        <v>94119</v>
      </c>
      <c r="G2664" s="20">
        <f t="shared" si="41"/>
        <v>0.17500939021260928</v>
      </c>
      <c r="H2664" s="24" t="s">
        <v>586</v>
      </c>
      <c r="I2664" s="24" t="s">
        <v>587</v>
      </c>
      <c r="J2664" s="24" t="s">
        <v>588</v>
      </c>
      <c r="K2664" s="24" t="s">
        <v>601</v>
      </c>
    </row>
    <row r="2665" spans="1:11">
      <c r="A2665" s="12">
        <v>2021</v>
      </c>
      <c r="B2665" s="15" t="s">
        <v>21</v>
      </c>
      <c r="C2665" s="15" t="s">
        <v>22</v>
      </c>
      <c r="D2665" s="15" t="s">
        <v>21</v>
      </c>
      <c r="E2665" s="19">
        <v>8644716</v>
      </c>
      <c r="F2665" s="19">
        <v>2094433</v>
      </c>
      <c r="G2665" s="20">
        <f t="shared" si="41"/>
        <v>0.19502783693568271</v>
      </c>
      <c r="H2665" s="24" t="s">
        <v>589</v>
      </c>
      <c r="I2665" s="24" t="s">
        <v>596</v>
      </c>
      <c r="J2665" s="24" t="s">
        <v>597</v>
      </c>
      <c r="K2665" s="24" t="s">
        <v>602</v>
      </c>
    </row>
    <row r="2666" spans="1:11">
      <c r="A2666" s="12">
        <v>2021</v>
      </c>
      <c r="B2666" s="15" t="s">
        <v>21</v>
      </c>
      <c r="C2666" s="15" t="s">
        <v>23</v>
      </c>
      <c r="D2666" s="15" t="s">
        <v>24</v>
      </c>
      <c r="E2666" s="19">
        <v>423138</v>
      </c>
      <c r="F2666" s="19">
        <v>365037</v>
      </c>
      <c r="G2666" s="20">
        <f t="shared" si="41"/>
        <v>0.46314206870301644</v>
      </c>
      <c r="H2666" s="24" t="s">
        <v>589</v>
      </c>
      <c r="I2666" s="24" t="s">
        <v>596</v>
      </c>
      <c r="J2666" s="24" t="s">
        <v>597</v>
      </c>
      <c r="K2666" s="24" t="s">
        <v>602</v>
      </c>
    </row>
    <row r="2667" spans="1:11">
      <c r="A2667" s="12">
        <v>2021</v>
      </c>
      <c r="B2667" s="15" t="s">
        <v>21</v>
      </c>
      <c r="C2667" s="15" t="s">
        <v>25</v>
      </c>
      <c r="D2667" s="15" t="s">
        <v>26</v>
      </c>
      <c r="E2667" s="19">
        <v>382311</v>
      </c>
      <c r="F2667" s="19">
        <v>268499</v>
      </c>
      <c r="G2667" s="20">
        <f t="shared" si="41"/>
        <v>0.41256126980224644</v>
      </c>
      <c r="H2667" s="24" t="s">
        <v>589</v>
      </c>
      <c r="I2667" s="24" t="s">
        <v>596</v>
      </c>
      <c r="J2667" s="24" t="s">
        <v>597</v>
      </c>
      <c r="K2667" s="24" t="s">
        <v>602</v>
      </c>
    </row>
    <row r="2668" spans="1:11">
      <c r="A2668" s="12">
        <v>2021</v>
      </c>
      <c r="B2668" s="15" t="s">
        <v>21</v>
      </c>
      <c r="C2668" s="15" t="s">
        <v>27</v>
      </c>
      <c r="D2668" s="15" t="s">
        <v>28</v>
      </c>
      <c r="E2668" s="19">
        <v>233488</v>
      </c>
      <c r="F2668" s="19">
        <v>206406</v>
      </c>
      <c r="G2668" s="20">
        <f t="shared" si="41"/>
        <v>0.46921758423620236</v>
      </c>
      <c r="H2668" s="24" t="s">
        <v>589</v>
      </c>
      <c r="I2668" s="24" t="s">
        <v>596</v>
      </c>
      <c r="J2668" s="24" t="s">
        <v>597</v>
      </c>
      <c r="K2668" s="24" t="s">
        <v>602</v>
      </c>
    </row>
    <row r="2669" spans="1:11">
      <c r="A2669" s="12">
        <v>2021</v>
      </c>
      <c r="B2669" s="15" t="s">
        <v>21</v>
      </c>
      <c r="C2669" s="15" t="s">
        <v>29</v>
      </c>
      <c r="D2669" s="15" t="s">
        <v>30</v>
      </c>
      <c r="E2669" s="19">
        <v>463630</v>
      </c>
      <c r="F2669" s="19">
        <v>362781</v>
      </c>
      <c r="G2669" s="20">
        <f t="shared" si="41"/>
        <v>0.43898375021629671</v>
      </c>
      <c r="H2669" s="24" t="s">
        <v>589</v>
      </c>
      <c r="I2669" s="24" t="s">
        <v>596</v>
      </c>
      <c r="J2669" s="24" t="s">
        <v>597</v>
      </c>
      <c r="K2669" s="24" t="s">
        <v>602</v>
      </c>
    </row>
    <row r="2670" spans="1:11">
      <c r="A2670" s="12">
        <v>2021</v>
      </c>
      <c r="B2670" s="15" t="s">
        <v>21</v>
      </c>
      <c r="C2670" s="15" t="s">
        <v>31</v>
      </c>
      <c r="D2670" s="15" t="s">
        <v>32</v>
      </c>
      <c r="E2670" s="19">
        <v>370596</v>
      </c>
      <c r="F2670" s="19">
        <v>340239</v>
      </c>
      <c r="G2670" s="20">
        <f t="shared" si="41"/>
        <v>0.47864694338348562</v>
      </c>
      <c r="H2670" s="24" t="s">
        <v>589</v>
      </c>
      <c r="I2670" s="24" t="s">
        <v>596</v>
      </c>
      <c r="J2670" s="24" t="s">
        <v>597</v>
      </c>
      <c r="K2670" s="24" t="s">
        <v>602</v>
      </c>
    </row>
    <row r="2671" spans="1:11">
      <c r="A2671" s="12">
        <v>2021</v>
      </c>
      <c r="B2671" s="15" t="s">
        <v>21</v>
      </c>
      <c r="C2671" s="15" t="s">
        <v>33</v>
      </c>
      <c r="D2671" s="15" t="s">
        <v>34</v>
      </c>
      <c r="E2671" s="19">
        <v>272533</v>
      </c>
      <c r="F2671" s="19">
        <v>223082</v>
      </c>
      <c r="G2671" s="20">
        <f t="shared" si="41"/>
        <v>0.45011147765907006</v>
      </c>
      <c r="H2671" s="24" t="s">
        <v>589</v>
      </c>
      <c r="I2671" s="24" t="s">
        <v>596</v>
      </c>
      <c r="J2671" s="24" t="s">
        <v>597</v>
      </c>
      <c r="K2671" s="24" t="s">
        <v>602</v>
      </c>
    </row>
    <row r="2672" spans="1:11">
      <c r="A2672" s="12">
        <v>2021</v>
      </c>
      <c r="B2672" s="15" t="s">
        <v>21</v>
      </c>
      <c r="C2672" s="15" t="s">
        <v>35</v>
      </c>
      <c r="D2672" s="15" t="s">
        <v>36</v>
      </c>
      <c r="E2672" s="19">
        <v>325135</v>
      </c>
      <c r="F2672" s="19">
        <v>287407</v>
      </c>
      <c r="G2672" s="20">
        <f t="shared" si="41"/>
        <v>0.46920374439630264</v>
      </c>
      <c r="H2672" s="24" t="s">
        <v>589</v>
      </c>
      <c r="I2672" s="24" t="s">
        <v>596</v>
      </c>
      <c r="J2672" s="24" t="s">
        <v>597</v>
      </c>
      <c r="K2672" s="24" t="s">
        <v>602</v>
      </c>
    </row>
    <row r="2673" spans="1:11">
      <c r="A2673" s="12">
        <v>2021</v>
      </c>
      <c r="B2673" s="15" t="s">
        <v>21</v>
      </c>
      <c r="C2673" s="15" t="s">
        <v>37</v>
      </c>
      <c r="D2673" s="15" t="s">
        <v>38</v>
      </c>
      <c r="E2673" s="19">
        <v>184818</v>
      </c>
      <c r="F2673" s="19">
        <v>171739</v>
      </c>
      <c r="G2673" s="20">
        <f t="shared" si="41"/>
        <v>0.48165931393858485</v>
      </c>
      <c r="H2673" s="24" t="s">
        <v>589</v>
      </c>
      <c r="I2673" s="24" t="s">
        <v>596</v>
      </c>
      <c r="J2673" s="24" t="s">
        <v>597</v>
      </c>
      <c r="K2673" s="24" t="s">
        <v>602</v>
      </c>
    </row>
    <row r="2674" spans="1:11">
      <c r="A2674" s="12">
        <v>2021</v>
      </c>
      <c r="B2674" s="15" t="s">
        <v>21</v>
      </c>
      <c r="C2674" s="15" t="s">
        <v>39</v>
      </c>
      <c r="D2674" s="15" t="s">
        <v>40</v>
      </c>
      <c r="E2674" s="19">
        <v>411261</v>
      </c>
      <c r="F2674" s="19">
        <v>302940</v>
      </c>
      <c r="G2674" s="20">
        <f t="shared" si="41"/>
        <v>0.42416630612390632</v>
      </c>
      <c r="H2674" s="24" t="s">
        <v>589</v>
      </c>
      <c r="I2674" s="24" t="s">
        <v>596</v>
      </c>
      <c r="J2674" s="24" t="s">
        <v>597</v>
      </c>
      <c r="K2674" s="24" t="s">
        <v>602</v>
      </c>
    </row>
    <row r="2675" spans="1:11">
      <c r="A2675" s="12">
        <v>2021</v>
      </c>
      <c r="B2675" s="15" t="s">
        <v>21</v>
      </c>
      <c r="C2675" s="15" t="s">
        <v>41</v>
      </c>
      <c r="D2675" s="15" t="s">
        <v>42</v>
      </c>
      <c r="E2675" s="19">
        <v>242761</v>
      </c>
      <c r="F2675" s="19">
        <v>224617</v>
      </c>
      <c r="G2675" s="20">
        <f t="shared" si="41"/>
        <v>0.48058958701522109</v>
      </c>
      <c r="H2675" s="24" t="s">
        <v>589</v>
      </c>
      <c r="I2675" s="24" t="s">
        <v>596</v>
      </c>
      <c r="J2675" s="24" t="s">
        <v>597</v>
      </c>
      <c r="K2675" s="24" t="s">
        <v>602</v>
      </c>
    </row>
    <row r="2676" spans="1:11">
      <c r="A2676" s="12">
        <v>2021</v>
      </c>
      <c r="B2676" s="15" t="s">
        <v>21</v>
      </c>
      <c r="C2676" s="15" t="s">
        <v>43</v>
      </c>
      <c r="D2676" s="15" t="s">
        <v>44</v>
      </c>
      <c r="E2676" s="19">
        <v>264846</v>
      </c>
      <c r="F2676" s="19">
        <v>225701</v>
      </c>
      <c r="G2676" s="20">
        <f t="shared" si="41"/>
        <v>0.46010066313727327</v>
      </c>
      <c r="H2676" s="24" t="s">
        <v>589</v>
      </c>
      <c r="I2676" s="24" t="s">
        <v>596</v>
      </c>
      <c r="J2676" s="24" t="s">
        <v>597</v>
      </c>
      <c r="K2676" s="24" t="s">
        <v>602</v>
      </c>
    </row>
    <row r="2677" spans="1:11">
      <c r="A2677" s="12">
        <v>2021</v>
      </c>
      <c r="B2677" s="15" t="s">
        <v>21</v>
      </c>
      <c r="C2677" s="15" t="s">
        <v>45</v>
      </c>
      <c r="D2677" s="15" t="s">
        <v>46</v>
      </c>
      <c r="E2677" s="19">
        <v>283315</v>
      </c>
      <c r="F2677" s="19">
        <v>286886</v>
      </c>
      <c r="G2677" s="20">
        <f t="shared" si="41"/>
        <v>0.50313135192677672</v>
      </c>
      <c r="H2677" s="24" t="s">
        <v>589</v>
      </c>
      <c r="I2677" s="24" t="s">
        <v>596</v>
      </c>
      <c r="J2677" s="24" t="s">
        <v>597</v>
      </c>
      <c r="K2677" s="24" t="s">
        <v>602</v>
      </c>
    </row>
    <row r="2678" spans="1:11">
      <c r="A2678" s="12">
        <v>2021</v>
      </c>
      <c r="B2678" s="15" t="s">
        <v>21</v>
      </c>
      <c r="C2678" s="15" t="s">
        <v>47</v>
      </c>
      <c r="D2678" s="15" t="s">
        <v>48</v>
      </c>
      <c r="E2678" s="19">
        <v>283231</v>
      </c>
      <c r="F2678" s="19">
        <v>269045</v>
      </c>
      <c r="G2678" s="20">
        <f t="shared" si="41"/>
        <v>0.48715678392687717</v>
      </c>
      <c r="H2678" s="24" t="s">
        <v>589</v>
      </c>
      <c r="I2678" s="24" t="s">
        <v>596</v>
      </c>
      <c r="J2678" s="24" t="s">
        <v>597</v>
      </c>
      <c r="K2678" s="24" t="s">
        <v>602</v>
      </c>
    </row>
    <row r="2679" spans="1:11">
      <c r="A2679" s="12">
        <v>2021</v>
      </c>
      <c r="B2679" s="15" t="s">
        <v>21</v>
      </c>
      <c r="C2679" s="15" t="s">
        <v>49</v>
      </c>
      <c r="D2679" s="15" t="s">
        <v>50</v>
      </c>
      <c r="E2679" s="19">
        <v>224541</v>
      </c>
      <c r="F2679" s="19">
        <v>226063</v>
      </c>
      <c r="G2679" s="20">
        <f t="shared" si="41"/>
        <v>0.50168884430675276</v>
      </c>
      <c r="H2679" s="24" t="s">
        <v>589</v>
      </c>
      <c r="I2679" s="24" t="s">
        <v>596</v>
      </c>
      <c r="J2679" s="24" t="s">
        <v>597</v>
      </c>
      <c r="K2679" s="24" t="s">
        <v>602</v>
      </c>
    </row>
    <row r="2680" spans="1:11">
      <c r="A2680" s="12">
        <v>2021</v>
      </c>
      <c r="B2680" s="15" t="s">
        <v>21</v>
      </c>
      <c r="C2680" s="15" t="s">
        <v>51</v>
      </c>
      <c r="D2680" s="15" t="s">
        <v>52</v>
      </c>
      <c r="E2680" s="19">
        <v>310862</v>
      </c>
      <c r="F2680" s="19">
        <v>304219</v>
      </c>
      <c r="G2680" s="20">
        <f t="shared" si="41"/>
        <v>0.49459989822478667</v>
      </c>
      <c r="H2680" s="24" t="s">
        <v>589</v>
      </c>
      <c r="I2680" s="24" t="s">
        <v>596</v>
      </c>
      <c r="J2680" s="24" t="s">
        <v>597</v>
      </c>
      <c r="K2680" s="24" t="s">
        <v>602</v>
      </c>
    </row>
    <row r="2681" spans="1:11">
      <c r="A2681" s="12">
        <v>2021</v>
      </c>
      <c r="B2681" s="15" t="s">
        <v>21</v>
      </c>
      <c r="C2681" s="15" t="s">
        <v>53</v>
      </c>
      <c r="D2681" s="15" t="s">
        <v>54</v>
      </c>
      <c r="E2681" s="19">
        <v>213142</v>
      </c>
      <c r="F2681" s="19">
        <v>211143</v>
      </c>
      <c r="G2681" s="20">
        <f t="shared" si="41"/>
        <v>0.49764427212840423</v>
      </c>
      <c r="H2681" s="24" t="s">
        <v>589</v>
      </c>
      <c r="I2681" s="24" t="s">
        <v>596</v>
      </c>
      <c r="J2681" s="24" t="s">
        <v>597</v>
      </c>
      <c r="K2681" s="24" t="s">
        <v>602</v>
      </c>
    </row>
    <row r="2682" spans="1:11">
      <c r="A2682" s="12">
        <v>2021</v>
      </c>
      <c r="B2682" s="15" t="s">
        <v>21</v>
      </c>
      <c r="C2682" s="15" t="s">
        <v>55</v>
      </c>
      <c r="D2682" s="15" t="s">
        <v>56</v>
      </c>
      <c r="E2682" s="19">
        <v>324881</v>
      </c>
      <c r="F2682" s="19">
        <v>308469</v>
      </c>
      <c r="G2682" s="20">
        <f t="shared" si="41"/>
        <v>0.4870434988552933</v>
      </c>
      <c r="H2682" s="24" t="s">
        <v>589</v>
      </c>
      <c r="I2682" s="24" t="s">
        <v>596</v>
      </c>
      <c r="J2682" s="24" t="s">
        <v>597</v>
      </c>
      <c r="K2682" s="24" t="s">
        <v>602</v>
      </c>
    </row>
    <row r="2683" spans="1:11">
      <c r="A2683" s="12">
        <v>2021</v>
      </c>
      <c r="B2683" s="15" t="s">
        <v>21</v>
      </c>
      <c r="C2683" s="15" t="s">
        <v>57</v>
      </c>
      <c r="D2683" s="15" t="s">
        <v>58</v>
      </c>
      <c r="E2683" s="19">
        <v>531385</v>
      </c>
      <c r="F2683" s="19">
        <v>421564</v>
      </c>
      <c r="G2683" s="20">
        <f t="shared" si="41"/>
        <v>0.44237834343705695</v>
      </c>
      <c r="H2683" s="24" t="s">
        <v>589</v>
      </c>
      <c r="I2683" s="24" t="s">
        <v>596</v>
      </c>
      <c r="J2683" s="24" t="s">
        <v>597</v>
      </c>
      <c r="K2683" s="24" t="s">
        <v>602</v>
      </c>
    </row>
    <row r="2684" spans="1:11">
      <c r="A2684" s="12">
        <v>2021</v>
      </c>
      <c r="B2684" s="15" t="s">
        <v>21</v>
      </c>
      <c r="C2684" s="15" t="s">
        <v>59</v>
      </c>
      <c r="D2684" s="15" t="s">
        <v>60</v>
      </c>
      <c r="E2684" s="19">
        <v>348037</v>
      </c>
      <c r="F2684" s="19">
        <v>314914</v>
      </c>
      <c r="G2684" s="20">
        <f t="shared" si="41"/>
        <v>0.47501851569723857</v>
      </c>
      <c r="H2684" s="24" t="s">
        <v>589</v>
      </c>
      <c r="I2684" s="24" t="s">
        <v>596</v>
      </c>
      <c r="J2684" s="24" t="s">
        <v>597</v>
      </c>
      <c r="K2684" s="24" t="s">
        <v>602</v>
      </c>
    </row>
    <row r="2685" spans="1:11">
      <c r="A2685" s="12">
        <v>2021</v>
      </c>
      <c r="B2685" s="15" t="s">
        <v>21</v>
      </c>
      <c r="C2685" s="15" t="s">
        <v>61</v>
      </c>
      <c r="D2685" s="15" t="s">
        <v>62</v>
      </c>
      <c r="E2685" s="19">
        <v>313646</v>
      </c>
      <c r="F2685" s="19">
        <v>277197</v>
      </c>
      <c r="G2685" s="20">
        <f t="shared" si="41"/>
        <v>0.46915508857683008</v>
      </c>
      <c r="H2685" s="24" t="s">
        <v>589</v>
      </c>
      <c r="I2685" s="24" t="s">
        <v>596</v>
      </c>
      <c r="J2685" s="24" t="s">
        <v>597</v>
      </c>
      <c r="K2685" s="24" t="s">
        <v>602</v>
      </c>
    </row>
    <row r="2686" spans="1:11">
      <c r="A2686" s="12">
        <v>2021</v>
      </c>
      <c r="B2686" s="15" t="s">
        <v>21</v>
      </c>
      <c r="C2686" s="15" t="s">
        <v>63</v>
      </c>
      <c r="D2686" s="15" t="s">
        <v>64</v>
      </c>
      <c r="E2686" s="19">
        <v>149762</v>
      </c>
      <c r="F2686" s="19">
        <v>172728</v>
      </c>
      <c r="G2686" s="20">
        <f t="shared" si="41"/>
        <v>0.5356073056528885</v>
      </c>
      <c r="H2686" s="24" t="s">
        <v>589</v>
      </c>
      <c r="I2686" s="24" t="s">
        <v>596</v>
      </c>
      <c r="J2686" s="24" t="s">
        <v>597</v>
      </c>
      <c r="K2686" s="24" t="s">
        <v>602</v>
      </c>
    </row>
    <row r="2687" spans="1:11">
      <c r="A2687" s="12">
        <v>2021</v>
      </c>
      <c r="B2687" s="15" t="s">
        <v>21</v>
      </c>
      <c r="C2687" s="15" t="s">
        <v>65</v>
      </c>
      <c r="D2687" s="15" t="s">
        <v>66</v>
      </c>
      <c r="E2687" s="19">
        <v>381253</v>
      </c>
      <c r="F2687" s="19">
        <v>286281</v>
      </c>
      <c r="G2687" s="20">
        <f t="shared" si="41"/>
        <v>0.42886354852337111</v>
      </c>
      <c r="H2687" s="24" t="s">
        <v>589</v>
      </c>
      <c r="I2687" s="24" t="s">
        <v>596</v>
      </c>
      <c r="J2687" s="24" t="s">
        <v>597</v>
      </c>
      <c r="K2687" s="24" t="s">
        <v>602</v>
      </c>
    </row>
    <row r="2688" spans="1:11">
      <c r="A2688" s="12">
        <v>2021</v>
      </c>
      <c r="B2688" s="15" t="s">
        <v>21</v>
      </c>
      <c r="C2688" s="15" t="s">
        <v>67</v>
      </c>
      <c r="D2688" s="15" t="s">
        <v>68</v>
      </c>
      <c r="E2688" s="19">
        <v>105480</v>
      </c>
      <c r="F2688" s="19">
        <v>111269</v>
      </c>
      <c r="G2688" s="20">
        <f t="shared" si="41"/>
        <v>0.51335415618987856</v>
      </c>
      <c r="H2688" s="24" t="s">
        <v>589</v>
      </c>
      <c r="I2688" s="24" t="s">
        <v>596</v>
      </c>
      <c r="J2688" s="24" t="s">
        <v>597</v>
      </c>
      <c r="K2688" s="24" t="s">
        <v>602</v>
      </c>
    </row>
    <row r="2689" spans="1:11">
      <c r="A2689" s="12">
        <v>2021</v>
      </c>
      <c r="B2689" s="15" t="s">
        <v>21</v>
      </c>
      <c r="C2689" s="15" t="s">
        <v>69</v>
      </c>
      <c r="D2689" s="15" t="s">
        <v>70</v>
      </c>
      <c r="E2689" s="19">
        <v>90347</v>
      </c>
      <c r="F2689" s="19">
        <v>98927</v>
      </c>
      <c r="G2689" s="20">
        <f t="shared" si="41"/>
        <v>0.52266555364181033</v>
      </c>
      <c r="H2689" s="24" t="s">
        <v>589</v>
      </c>
      <c r="I2689" s="24" t="s">
        <v>596</v>
      </c>
      <c r="J2689" s="24" t="s">
        <v>597</v>
      </c>
      <c r="K2689" s="24" t="s">
        <v>602</v>
      </c>
    </row>
    <row r="2690" spans="1:11">
      <c r="A2690" s="12">
        <v>2021</v>
      </c>
      <c r="B2690" s="15" t="s">
        <v>21</v>
      </c>
      <c r="C2690" s="15" t="s">
        <v>71</v>
      </c>
      <c r="D2690" s="15" t="s">
        <v>72</v>
      </c>
      <c r="E2690" s="19">
        <v>307597</v>
      </c>
      <c r="F2690" s="19">
        <v>258090</v>
      </c>
      <c r="G2690" s="20">
        <f t="shared" si="41"/>
        <v>0.45624170256696722</v>
      </c>
      <c r="H2690" s="24" t="s">
        <v>589</v>
      </c>
      <c r="I2690" s="24" t="s">
        <v>596</v>
      </c>
      <c r="J2690" s="24" t="s">
        <v>597</v>
      </c>
      <c r="K2690" s="24" t="s">
        <v>602</v>
      </c>
    </row>
    <row r="2691" spans="1:11">
      <c r="A2691" s="12">
        <v>2021</v>
      </c>
      <c r="B2691" s="15" t="s">
        <v>73</v>
      </c>
      <c r="C2691" s="15" t="s">
        <v>22</v>
      </c>
      <c r="D2691" s="15" t="s">
        <v>73</v>
      </c>
      <c r="E2691" s="19">
        <v>3063350</v>
      </c>
      <c r="F2691" s="19">
        <v>593886</v>
      </c>
      <c r="G2691" s="20">
        <f t="shared" si="41"/>
        <v>0.16238656734211301</v>
      </c>
      <c r="H2691" s="24" t="s">
        <v>603</v>
      </c>
      <c r="I2691" s="24" t="s">
        <v>604</v>
      </c>
      <c r="J2691" s="24" t="s">
        <v>605</v>
      </c>
      <c r="K2691" s="24" t="s">
        <v>602</v>
      </c>
    </row>
    <row r="2692" spans="1:11">
      <c r="A2692" s="12">
        <v>2021</v>
      </c>
      <c r="B2692" s="15" t="s">
        <v>73</v>
      </c>
      <c r="C2692" s="15" t="s">
        <v>29</v>
      </c>
      <c r="D2692" s="15" t="s">
        <v>74</v>
      </c>
      <c r="E2692" s="19">
        <v>106824</v>
      </c>
      <c r="F2692" s="19">
        <v>107974</v>
      </c>
      <c r="G2692" s="20">
        <f t="shared" si="41"/>
        <v>0.50267693367722233</v>
      </c>
      <c r="H2692" s="24" t="s">
        <v>603</v>
      </c>
      <c r="I2692" s="24" t="s">
        <v>604</v>
      </c>
      <c r="J2692" s="24" t="s">
        <v>605</v>
      </c>
      <c r="K2692" s="24" t="s">
        <v>602</v>
      </c>
    </row>
    <row r="2693" spans="1:11">
      <c r="A2693" s="12">
        <v>2021</v>
      </c>
      <c r="B2693" s="15" t="s">
        <v>73</v>
      </c>
      <c r="C2693" s="15" t="s">
        <v>75</v>
      </c>
      <c r="D2693" s="15" t="s">
        <v>76</v>
      </c>
      <c r="E2693" s="19">
        <v>179822</v>
      </c>
      <c r="F2693" s="19">
        <v>165348</v>
      </c>
      <c r="G2693" s="20">
        <f t="shared" si="41"/>
        <v>0.47903351971492308</v>
      </c>
      <c r="H2693" s="24" t="s">
        <v>603</v>
      </c>
      <c r="I2693" s="24" t="s">
        <v>604</v>
      </c>
      <c r="J2693" s="24" t="s">
        <v>605</v>
      </c>
      <c r="K2693" s="24" t="s">
        <v>602</v>
      </c>
    </row>
    <row r="2694" spans="1:11">
      <c r="A2694" s="12">
        <v>2021</v>
      </c>
      <c r="B2694" s="15" t="s">
        <v>73</v>
      </c>
      <c r="C2694" s="15" t="s">
        <v>77</v>
      </c>
      <c r="D2694" s="15" t="s">
        <v>78</v>
      </c>
      <c r="E2694" s="19">
        <v>143054</v>
      </c>
      <c r="F2694" s="19">
        <v>112339</v>
      </c>
      <c r="G2694" s="20">
        <f t="shared" ref="G2694:G2757" si="42">IFERROR(F2694/(E2694+F2694),"")</f>
        <v>0.4398671850833813</v>
      </c>
      <c r="H2694" s="24" t="s">
        <v>603</v>
      </c>
      <c r="I2694" s="24" t="s">
        <v>604</v>
      </c>
      <c r="J2694" s="24" t="s">
        <v>605</v>
      </c>
      <c r="K2694" s="24" t="s">
        <v>602</v>
      </c>
    </row>
    <row r="2695" spans="1:11">
      <c r="A2695" s="12">
        <v>2021</v>
      </c>
      <c r="B2695" s="15" t="s">
        <v>73</v>
      </c>
      <c r="C2695" s="15" t="s">
        <v>79</v>
      </c>
      <c r="D2695" s="15" t="s">
        <v>80</v>
      </c>
      <c r="E2695" s="19">
        <v>207293</v>
      </c>
      <c r="F2695" s="19">
        <v>185860</v>
      </c>
      <c r="G2695" s="20">
        <f t="shared" si="42"/>
        <v>0.47274216399213537</v>
      </c>
      <c r="H2695" s="24" t="s">
        <v>603</v>
      </c>
      <c r="I2695" s="24" t="s">
        <v>604</v>
      </c>
      <c r="J2695" s="24" t="s">
        <v>605</v>
      </c>
      <c r="K2695" s="24" t="s">
        <v>602</v>
      </c>
    </row>
    <row r="2696" spans="1:11">
      <c r="A2696" s="12">
        <v>2021</v>
      </c>
      <c r="B2696" s="15" t="s">
        <v>73</v>
      </c>
      <c r="C2696" s="15" t="s">
        <v>81</v>
      </c>
      <c r="D2696" s="15" t="s">
        <v>82</v>
      </c>
      <c r="E2696" s="19">
        <v>65815</v>
      </c>
      <c r="F2696" s="19">
        <v>65903</v>
      </c>
      <c r="G2696" s="20">
        <f t="shared" si="42"/>
        <v>0.5003340469791524</v>
      </c>
      <c r="H2696" s="24" t="s">
        <v>603</v>
      </c>
      <c r="I2696" s="24" t="s">
        <v>604</v>
      </c>
      <c r="J2696" s="24" t="s">
        <v>605</v>
      </c>
      <c r="K2696" s="24" t="s">
        <v>602</v>
      </c>
    </row>
    <row r="2697" spans="1:11">
      <c r="A2697" s="12">
        <v>2021</v>
      </c>
      <c r="B2697" s="15" t="s">
        <v>73</v>
      </c>
      <c r="C2697" s="15" t="s">
        <v>83</v>
      </c>
      <c r="D2697" s="15" t="s">
        <v>84</v>
      </c>
      <c r="E2697" s="19">
        <v>215324</v>
      </c>
      <c r="F2697" s="19">
        <v>188331</v>
      </c>
      <c r="G2697" s="20">
        <f t="shared" si="42"/>
        <v>0.46656426899208481</v>
      </c>
      <c r="H2697" s="24" t="s">
        <v>603</v>
      </c>
      <c r="I2697" s="24" t="s">
        <v>604</v>
      </c>
      <c r="J2697" s="24" t="s">
        <v>605</v>
      </c>
      <c r="K2697" s="24" t="s">
        <v>602</v>
      </c>
    </row>
    <row r="2698" spans="1:11">
      <c r="A2698" s="12">
        <v>2021</v>
      </c>
      <c r="B2698" s="15" t="s">
        <v>73</v>
      </c>
      <c r="C2698" s="15" t="s">
        <v>85</v>
      </c>
      <c r="D2698" s="15" t="s">
        <v>86</v>
      </c>
      <c r="E2698" s="19">
        <v>287232</v>
      </c>
      <c r="F2698" s="19">
        <v>226756</v>
      </c>
      <c r="G2698" s="20">
        <f t="shared" si="42"/>
        <v>0.44116983275874144</v>
      </c>
      <c r="H2698" s="24" t="s">
        <v>603</v>
      </c>
      <c r="I2698" s="24" t="s">
        <v>604</v>
      </c>
      <c r="J2698" s="24" t="s">
        <v>605</v>
      </c>
      <c r="K2698" s="24" t="s">
        <v>602</v>
      </c>
    </row>
    <row r="2699" spans="1:11">
      <c r="A2699" s="12">
        <v>2021</v>
      </c>
      <c r="B2699" s="15" t="s">
        <v>73</v>
      </c>
      <c r="C2699" s="15" t="s">
        <v>87</v>
      </c>
      <c r="D2699" s="15" t="s">
        <v>88</v>
      </c>
      <c r="E2699" s="19">
        <v>237783</v>
      </c>
      <c r="F2699" s="19">
        <v>166766</v>
      </c>
      <c r="G2699" s="20">
        <f t="shared" si="42"/>
        <v>0.41222694902224455</v>
      </c>
      <c r="H2699" s="24" t="s">
        <v>603</v>
      </c>
      <c r="I2699" s="24" t="s">
        <v>604</v>
      </c>
      <c r="J2699" s="24" t="s">
        <v>605</v>
      </c>
      <c r="K2699" s="24" t="s">
        <v>602</v>
      </c>
    </row>
    <row r="2700" spans="1:11">
      <c r="A2700" s="12">
        <v>2021</v>
      </c>
      <c r="B2700" s="15" t="s">
        <v>73</v>
      </c>
      <c r="C2700" s="15" t="s">
        <v>89</v>
      </c>
      <c r="D2700" s="15" t="s">
        <v>90</v>
      </c>
      <c r="E2700" s="19">
        <v>158918</v>
      </c>
      <c r="F2700" s="19">
        <v>153907</v>
      </c>
      <c r="G2700" s="20">
        <f t="shared" si="42"/>
        <v>0.49199072964117319</v>
      </c>
      <c r="H2700" s="24" t="s">
        <v>603</v>
      </c>
      <c r="I2700" s="24" t="s">
        <v>604</v>
      </c>
      <c r="J2700" s="24" t="s">
        <v>605</v>
      </c>
      <c r="K2700" s="24" t="s">
        <v>602</v>
      </c>
    </row>
    <row r="2701" spans="1:11">
      <c r="A2701" s="12">
        <v>2021</v>
      </c>
      <c r="B2701" s="15" t="s">
        <v>73</v>
      </c>
      <c r="C2701" s="15" t="s">
        <v>91</v>
      </c>
      <c r="D2701" s="15" t="s">
        <v>92</v>
      </c>
      <c r="E2701" s="19">
        <v>255178</v>
      </c>
      <c r="F2701" s="19">
        <v>189628</v>
      </c>
      <c r="G2701" s="20">
        <f t="shared" si="42"/>
        <v>0.42631619177798863</v>
      </c>
      <c r="H2701" s="24" t="s">
        <v>603</v>
      </c>
      <c r="I2701" s="24" t="s">
        <v>604</v>
      </c>
      <c r="J2701" s="24" t="s">
        <v>605</v>
      </c>
      <c r="K2701" s="24" t="s">
        <v>602</v>
      </c>
    </row>
    <row r="2702" spans="1:11">
      <c r="A2702" s="12">
        <v>2021</v>
      </c>
      <c r="B2702" s="15" t="s">
        <v>73</v>
      </c>
      <c r="C2702" s="15" t="s">
        <v>93</v>
      </c>
      <c r="D2702" s="15" t="s">
        <v>94</v>
      </c>
      <c r="E2702" s="19">
        <v>81929</v>
      </c>
      <c r="F2702" s="19">
        <v>78304</v>
      </c>
      <c r="G2702" s="20">
        <f t="shared" si="42"/>
        <v>0.48868834759381652</v>
      </c>
      <c r="H2702" s="24" t="s">
        <v>603</v>
      </c>
      <c r="I2702" s="24" t="s">
        <v>604</v>
      </c>
      <c r="J2702" s="24" t="s">
        <v>605</v>
      </c>
      <c r="K2702" s="24" t="s">
        <v>602</v>
      </c>
    </row>
    <row r="2703" spans="1:11">
      <c r="A2703" s="12">
        <v>2021</v>
      </c>
      <c r="B2703" s="15" t="s">
        <v>73</v>
      </c>
      <c r="C2703" s="15" t="s">
        <v>95</v>
      </c>
      <c r="D2703" s="15" t="s">
        <v>96</v>
      </c>
      <c r="E2703" s="19">
        <v>132076</v>
      </c>
      <c r="F2703" s="19">
        <v>127894</v>
      </c>
      <c r="G2703" s="20">
        <f t="shared" si="42"/>
        <v>0.49195676424202794</v>
      </c>
      <c r="H2703" s="24" t="s">
        <v>603</v>
      </c>
      <c r="I2703" s="24" t="s">
        <v>604</v>
      </c>
      <c r="J2703" s="24" t="s">
        <v>605</v>
      </c>
      <c r="K2703" s="24" t="s">
        <v>602</v>
      </c>
    </row>
    <row r="2704" spans="1:11">
      <c r="A2704" s="12">
        <v>2021</v>
      </c>
      <c r="B2704" s="15" t="s">
        <v>73</v>
      </c>
      <c r="C2704" s="15" t="s">
        <v>97</v>
      </c>
      <c r="D2704" s="15" t="s">
        <v>98</v>
      </c>
      <c r="E2704" s="19">
        <v>155675</v>
      </c>
      <c r="F2704" s="19">
        <v>161072</v>
      </c>
      <c r="G2704" s="20">
        <f t="shared" si="42"/>
        <v>0.5085194177056136</v>
      </c>
      <c r="H2704" s="24" t="s">
        <v>603</v>
      </c>
      <c r="I2704" s="24" t="s">
        <v>604</v>
      </c>
      <c r="J2704" s="24" t="s">
        <v>605</v>
      </c>
      <c r="K2704" s="24" t="s">
        <v>602</v>
      </c>
    </row>
    <row r="2705" spans="1:11">
      <c r="A2705" s="12">
        <v>2021</v>
      </c>
      <c r="B2705" s="15" t="s">
        <v>73</v>
      </c>
      <c r="C2705" s="15" t="s">
        <v>99</v>
      </c>
      <c r="D2705" s="15" t="s">
        <v>100</v>
      </c>
      <c r="E2705" s="19">
        <v>90874</v>
      </c>
      <c r="F2705" s="19">
        <v>74577</v>
      </c>
      <c r="G2705" s="20">
        <f t="shared" si="42"/>
        <v>0.4507497688137273</v>
      </c>
      <c r="H2705" s="24" t="s">
        <v>603</v>
      </c>
      <c r="I2705" s="24" t="s">
        <v>604</v>
      </c>
      <c r="J2705" s="24" t="s">
        <v>605</v>
      </c>
      <c r="K2705" s="24" t="s">
        <v>602</v>
      </c>
    </row>
    <row r="2706" spans="1:11">
      <c r="A2706" s="12">
        <v>2021</v>
      </c>
      <c r="B2706" s="15" t="s">
        <v>73</v>
      </c>
      <c r="C2706" s="15" t="s">
        <v>69</v>
      </c>
      <c r="D2706" s="15" t="s">
        <v>101</v>
      </c>
      <c r="E2706" s="19">
        <v>28397</v>
      </c>
      <c r="F2706" s="19">
        <v>31819</v>
      </c>
      <c r="G2706" s="20">
        <f t="shared" si="42"/>
        <v>0.52841437491696563</v>
      </c>
      <c r="H2706" s="24" t="s">
        <v>603</v>
      </c>
      <c r="I2706" s="24" t="s">
        <v>604</v>
      </c>
      <c r="J2706" s="24" t="s">
        <v>605</v>
      </c>
      <c r="K2706" s="24" t="s">
        <v>602</v>
      </c>
    </row>
    <row r="2707" spans="1:11">
      <c r="A2707" s="12">
        <v>2021</v>
      </c>
      <c r="B2707" s="15" t="s">
        <v>73</v>
      </c>
      <c r="C2707" s="15" t="s">
        <v>102</v>
      </c>
      <c r="D2707" s="15" t="s">
        <v>103</v>
      </c>
      <c r="E2707" s="19">
        <v>326502</v>
      </c>
      <c r="F2707" s="19">
        <v>246330</v>
      </c>
      <c r="G2707" s="20">
        <f t="shared" si="42"/>
        <v>0.43002136752136755</v>
      </c>
      <c r="H2707" s="24" t="s">
        <v>603</v>
      </c>
      <c r="I2707" s="24" t="s">
        <v>604</v>
      </c>
      <c r="J2707" s="24" t="s">
        <v>605</v>
      </c>
      <c r="K2707" s="24" t="s">
        <v>602</v>
      </c>
    </row>
    <row r="2708" spans="1:11">
      <c r="A2708" s="12">
        <v>2021</v>
      </c>
      <c r="B2708" s="15" t="s">
        <v>104</v>
      </c>
      <c r="C2708" s="15" t="s">
        <v>22</v>
      </c>
      <c r="D2708" s="15" t="s">
        <v>104</v>
      </c>
      <c r="E2708" s="19">
        <v>2202423</v>
      </c>
      <c r="F2708" s="19">
        <v>385616</v>
      </c>
      <c r="G2708" s="20">
        <f t="shared" si="42"/>
        <v>0.14899930024238428</v>
      </c>
      <c r="H2708" s="24" t="s">
        <v>603</v>
      </c>
      <c r="I2708" s="24" t="s">
        <v>604</v>
      </c>
      <c r="J2708" s="24" t="s">
        <v>605</v>
      </c>
      <c r="K2708" s="24" t="s">
        <v>602</v>
      </c>
    </row>
    <row r="2709" spans="1:11">
      <c r="A2709" s="12">
        <v>2021</v>
      </c>
      <c r="B2709" s="15" t="s">
        <v>104</v>
      </c>
      <c r="C2709" s="15" t="s">
        <v>79</v>
      </c>
      <c r="D2709" s="15" t="s">
        <v>107</v>
      </c>
      <c r="E2709" s="19">
        <v>103239</v>
      </c>
      <c r="F2709" s="19">
        <v>112877</v>
      </c>
      <c r="G2709" s="20">
        <f t="shared" si="42"/>
        <v>0.52229821022043721</v>
      </c>
      <c r="H2709" s="24" t="s">
        <v>603</v>
      </c>
      <c r="I2709" s="24" t="s">
        <v>604</v>
      </c>
      <c r="J2709" s="24" t="s">
        <v>605</v>
      </c>
      <c r="K2709" s="24" t="s">
        <v>602</v>
      </c>
    </row>
    <row r="2710" spans="1:11">
      <c r="A2710" s="12">
        <v>2021</v>
      </c>
      <c r="B2710" s="15" t="s">
        <v>104</v>
      </c>
      <c r="C2710" s="15" t="s">
        <v>108</v>
      </c>
      <c r="D2710" s="15" t="s">
        <v>109</v>
      </c>
      <c r="E2710" s="19">
        <v>467855</v>
      </c>
      <c r="F2710" s="19">
        <v>346399</v>
      </c>
      <c r="G2710" s="20">
        <f t="shared" si="42"/>
        <v>0.42541884964642485</v>
      </c>
      <c r="H2710" s="24" t="s">
        <v>603</v>
      </c>
      <c r="I2710" s="24" t="s">
        <v>604</v>
      </c>
      <c r="J2710" s="24" t="s">
        <v>605</v>
      </c>
      <c r="K2710" s="24" t="s">
        <v>602</v>
      </c>
    </row>
    <row r="2711" spans="1:11">
      <c r="A2711" s="12">
        <v>2021</v>
      </c>
      <c r="B2711" s="15" t="s">
        <v>104</v>
      </c>
      <c r="C2711" s="15" t="s">
        <v>110</v>
      </c>
      <c r="D2711" s="15" t="s">
        <v>111</v>
      </c>
      <c r="E2711" s="19">
        <v>208762</v>
      </c>
      <c r="F2711" s="19">
        <v>194667</v>
      </c>
      <c r="G2711" s="20">
        <f t="shared" si="42"/>
        <v>0.48253100297697982</v>
      </c>
      <c r="H2711" s="24" t="s">
        <v>603</v>
      </c>
      <c r="I2711" s="24" t="s">
        <v>604</v>
      </c>
      <c r="J2711" s="24" t="s">
        <v>605</v>
      </c>
      <c r="K2711" s="24" t="s">
        <v>602</v>
      </c>
    </row>
    <row r="2712" spans="1:11">
      <c r="A2712" s="12">
        <v>2021</v>
      </c>
      <c r="B2712" s="15" t="s">
        <v>104</v>
      </c>
      <c r="C2712" s="15" t="s">
        <v>81</v>
      </c>
      <c r="D2712" s="15" t="s">
        <v>112</v>
      </c>
      <c r="E2712" s="19">
        <v>276250</v>
      </c>
      <c r="F2712" s="19">
        <v>232882</v>
      </c>
      <c r="G2712" s="20">
        <f t="shared" si="42"/>
        <v>0.45740986620365642</v>
      </c>
      <c r="H2712" s="24" t="s">
        <v>603</v>
      </c>
      <c r="I2712" s="24" t="s">
        <v>604</v>
      </c>
      <c r="J2712" s="24" t="s">
        <v>605</v>
      </c>
      <c r="K2712" s="24" t="s">
        <v>602</v>
      </c>
    </row>
    <row r="2713" spans="1:11">
      <c r="A2713" s="12">
        <v>2021</v>
      </c>
      <c r="B2713" s="15" t="s">
        <v>104</v>
      </c>
      <c r="C2713" s="15" t="s">
        <v>87</v>
      </c>
      <c r="D2713" s="15" t="s">
        <v>113</v>
      </c>
      <c r="E2713" s="19">
        <v>365098</v>
      </c>
      <c r="F2713" s="19">
        <v>278996</v>
      </c>
      <c r="G2713" s="20">
        <f t="shared" si="42"/>
        <v>0.43316037721202183</v>
      </c>
      <c r="H2713" s="24" t="s">
        <v>603</v>
      </c>
      <c r="I2713" s="24" t="s">
        <v>604</v>
      </c>
      <c r="J2713" s="24" t="s">
        <v>605</v>
      </c>
      <c r="K2713" s="24" t="s">
        <v>602</v>
      </c>
    </row>
    <row r="2714" spans="1:11">
      <c r="A2714" s="12">
        <v>2021</v>
      </c>
      <c r="B2714" s="15" t="s">
        <v>104</v>
      </c>
      <c r="C2714" s="15" t="s">
        <v>93</v>
      </c>
      <c r="D2714" s="15" t="s">
        <v>114</v>
      </c>
      <c r="E2714" s="19">
        <v>123139</v>
      </c>
      <c r="F2714" s="19">
        <v>129068</v>
      </c>
      <c r="G2714" s="20">
        <f t="shared" si="42"/>
        <v>0.51175423362555361</v>
      </c>
      <c r="H2714" s="24" t="s">
        <v>603</v>
      </c>
      <c r="I2714" s="24" t="s">
        <v>604</v>
      </c>
      <c r="J2714" s="24" t="s">
        <v>605</v>
      </c>
      <c r="K2714" s="24" t="s">
        <v>602</v>
      </c>
    </row>
    <row r="2715" spans="1:11">
      <c r="A2715" s="12">
        <v>2021</v>
      </c>
      <c r="B2715" s="15" t="s">
        <v>104</v>
      </c>
      <c r="C2715" s="15" t="s">
        <v>115</v>
      </c>
      <c r="D2715" s="15" t="s">
        <v>116</v>
      </c>
      <c r="E2715" s="19">
        <v>345718</v>
      </c>
      <c r="F2715" s="19">
        <v>286129</v>
      </c>
      <c r="G2715" s="20">
        <f t="shared" si="42"/>
        <v>0.45284538820315678</v>
      </c>
      <c r="H2715" s="24" t="s">
        <v>603</v>
      </c>
      <c r="I2715" s="24" t="s">
        <v>604</v>
      </c>
      <c r="J2715" s="24" t="s">
        <v>605</v>
      </c>
      <c r="K2715" s="24" t="s">
        <v>602</v>
      </c>
    </row>
    <row r="2716" spans="1:11">
      <c r="A2716" s="12">
        <v>2021</v>
      </c>
      <c r="B2716" s="15" t="s">
        <v>104</v>
      </c>
      <c r="C2716" s="15" t="s">
        <v>69</v>
      </c>
      <c r="D2716" s="15" t="s">
        <v>117</v>
      </c>
      <c r="E2716" s="19">
        <v>56111</v>
      </c>
      <c r="F2716" s="19">
        <v>57342</v>
      </c>
      <c r="G2716" s="20">
        <f t="shared" si="42"/>
        <v>0.50542515402854049</v>
      </c>
      <c r="H2716" s="24" t="s">
        <v>603</v>
      </c>
      <c r="I2716" s="24" t="s">
        <v>604</v>
      </c>
      <c r="J2716" s="24" t="s">
        <v>605</v>
      </c>
      <c r="K2716" s="24" t="s">
        <v>602</v>
      </c>
    </row>
    <row r="2717" spans="1:11">
      <c r="A2717" s="12">
        <v>2021</v>
      </c>
      <c r="B2717" s="15" t="s">
        <v>118</v>
      </c>
      <c r="C2717" s="15" t="s">
        <v>22</v>
      </c>
      <c r="D2717" s="15" t="s">
        <v>118</v>
      </c>
      <c r="E2717" s="19">
        <v>2629688</v>
      </c>
      <c r="F2717" s="19">
        <v>972524</v>
      </c>
      <c r="G2717" s="20">
        <f t="shared" si="42"/>
        <v>0.26997966804841028</v>
      </c>
      <c r="H2717" s="24" t="s">
        <v>589</v>
      </c>
      <c r="I2717" s="24" t="s">
        <v>596</v>
      </c>
      <c r="J2717" s="24" t="s">
        <v>597</v>
      </c>
      <c r="K2717" s="24" t="s">
        <v>602</v>
      </c>
    </row>
    <row r="2718" spans="1:11">
      <c r="A2718" s="12">
        <v>2021</v>
      </c>
      <c r="B2718" s="15" t="s">
        <v>118</v>
      </c>
      <c r="C2718" s="15" t="s">
        <v>119</v>
      </c>
      <c r="D2718" s="15" t="s">
        <v>120</v>
      </c>
      <c r="E2718" s="19">
        <v>52221</v>
      </c>
      <c r="F2718" s="19">
        <v>49059</v>
      </c>
      <c r="G2718" s="20">
        <f t="shared" si="42"/>
        <v>0.48438981042654028</v>
      </c>
      <c r="H2718" s="24" t="s">
        <v>589</v>
      </c>
      <c r="I2718" s="24" t="s">
        <v>596</v>
      </c>
      <c r="J2718" s="24" t="s">
        <v>597</v>
      </c>
      <c r="K2718" s="24" t="s">
        <v>602</v>
      </c>
    </row>
    <row r="2719" spans="1:11">
      <c r="A2719" s="12">
        <v>2021</v>
      </c>
      <c r="B2719" s="15" t="s">
        <v>118</v>
      </c>
      <c r="C2719" s="15" t="s">
        <v>121</v>
      </c>
      <c r="D2719" s="15" t="s">
        <v>122</v>
      </c>
      <c r="E2719" s="19">
        <v>241132</v>
      </c>
      <c r="F2719" s="19">
        <v>172255</v>
      </c>
      <c r="G2719" s="20">
        <f t="shared" si="42"/>
        <v>0.41669186500784977</v>
      </c>
      <c r="H2719" s="24" t="s">
        <v>589</v>
      </c>
      <c r="I2719" s="24" t="s">
        <v>596</v>
      </c>
      <c r="J2719" s="24" t="s">
        <v>597</v>
      </c>
      <c r="K2719" s="24" t="s">
        <v>602</v>
      </c>
    </row>
    <row r="2720" spans="1:11">
      <c r="A2720" s="12">
        <v>2021</v>
      </c>
      <c r="B2720" s="15" t="s">
        <v>118</v>
      </c>
      <c r="C2720" s="15" t="s">
        <v>124</v>
      </c>
      <c r="D2720" s="15" t="s">
        <v>125</v>
      </c>
      <c r="E2720" s="19">
        <v>436055</v>
      </c>
      <c r="F2720" s="19">
        <v>308164</v>
      </c>
      <c r="G2720" s="20">
        <f t="shared" si="42"/>
        <v>0.4140770391511101</v>
      </c>
      <c r="H2720" s="24" t="s">
        <v>589</v>
      </c>
      <c r="I2720" s="24" t="s">
        <v>596</v>
      </c>
      <c r="J2720" s="24" t="s">
        <v>597</v>
      </c>
      <c r="K2720" s="24" t="s">
        <v>602</v>
      </c>
    </row>
    <row r="2721" spans="1:11">
      <c r="A2721" s="12">
        <v>2021</v>
      </c>
      <c r="B2721" s="15" t="s">
        <v>118</v>
      </c>
      <c r="C2721" s="15" t="s">
        <v>81</v>
      </c>
      <c r="D2721" s="15" t="s">
        <v>126</v>
      </c>
      <c r="E2721" s="19">
        <v>46059</v>
      </c>
      <c r="F2721" s="19">
        <v>47611</v>
      </c>
      <c r="G2721" s="20">
        <f t="shared" si="42"/>
        <v>0.50828440269029573</v>
      </c>
      <c r="H2721" s="24" t="s">
        <v>589</v>
      </c>
      <c r="I2721" s="24" t="s">
        <v>596</v>
      </c>
      <c r="J2721" s="24" t="s">
        <v>597</v>
      </c>
      <c r="K2721" s="24" t="s">
        <v>602</v>
      </c>
    </row>
    <row r="2722" spans="1:11">
      <c r="A2722" s="12">
        <v>2021</v>
      </c>
      <c r="B2722" s="15" t="s">
        <v>118</v>
      </c>
      <c r="C2722" s="15" t="s">
        <v>127</v>
      </c>
      <c r="D2722" s="15" t="s">
        <v>128</v>
      </c>
      <c r="E2722" s="19">
        <v>318799</v>
      </c>
      <c r="F2722" s="19">
        <v>282131</v>
      </c>
      <c r="G2722" s="20">
        <f t="shared" si="42"/>
        <v>0.46949062286788812</v>
      </c>
      <c r="H2722" s="24" t="s">
        <v>589</v>
      </c>
      <c r="I2722" s="24" t="s">
        <v>596</v>
      </c>
      <c r="J2722" s="24" t="s">
        <v>597</v>
      </c>
      <c r="K2722" s="24" t="s">
        <v>602</v>
      </c>
    </row>
    <row r="2723" spans="1:11">
      <c r="A2723" s="12">
        <v>2021</v>
      </c>
      <c r="B2723" s="15" t="s">
        <v>118</v>
      </c>
      <c r="C2723" s="15" t="s">
        <v>129</v>
      </c>
      <c r="D2723" s="15" t="s">
        <v>130</v>
      </c>
      <c r="E2723" s="19">
        <v>400731</v>
      </c>
      <c r="F2723" s="19">
        <v>298148</v>
      </c>
      <c r="G2723" s="20">
        <f t="shared" si="42"/>
        <v>0.42660889796373908</v>
      </c>
      <c r="H2723" s="24" t="s">
        <v>589</v>
      </c>
      <c r="I2723" s="24" t="s">
        <v>596</v>
      </c>
      <c r="J2723" s="24" t="s">
        <v>597</v>
      </c>
      <c r="K2723" s="24" t="s">
        <v>602</v>
      </c>
    </row>
    <row r="2724" spans="1:11">
      <c r="A2724" s="12">
        <v>2021</v>
      </c>
      <c r="B2724" s="15" t="s">
        <v>118</v>
      </c>
      <c r="C2724" s="15" t="s">
        <v>93</v>
      </c>
      <c r="D2724" s="15" t="s">
        <v>131</v>
      </c>
      <c r="E2724" s="19">
        <v>466662</v>
      </c>
      <c r="F2724" s="19">
        <v>319311</v>
      </c>
      <c r="G2724" s="20">
        <f t="shared" si="42"/>
        <v>0.40626204716955927</v>
      </c>
      <c r="H2724" s="24" t="s">
        <v>589</v>
      </c>
      <c r="I2724" s="24" t="s">
        <v>596</v>
      </c>
      <c r="J2724" s="24" t="s">
        <v>597</v>
      </c>
      <c r="K2724" s="24" t="s">
        <v>602</v>
      </c>
    </row>
    <row r="2725" spans="1:11">
      <c r="A2725" s="12">
        <v>2021</v>
      </c>
      <c r="B2725" s="15" t="s">
        <v>118</v>
      </c>
      <c r="C2725" s="15" t="s">
        <v>132</v>
      </c>
      <c r="D2725" s="15" t="s">
        <v>133</v>
      </c>
      <c r="E2725" s="19">
        <v>325514</v>
      </c>
      <c r="F2725" s="19">
        <v>243578</v>
      </c>
      <c r="G2725" s="20">
        <f t="shared" si="42"/>
        <v>0.42801163959430111</v>
      </c>
      <c r="H2725" s="24" t="s">
        <v>589</v>
      </c>
      <c r="I2725" s="24" t="s">
        <v>596</v>
      </c>
      <c r="J2725" s="24" t="s">
        <v>597</v>
      </c>
      <c r="K2725" s="24" t="s">
        <v>602</v>
      </c>
    </row>
    <row r="2726" spans="1:11">
      <c r="A2726" s="12">
        <v>2021</v>
      </c>
      <c r="B2726" s="15" t="s">
        <v>118</v>
      </c>
      <c r="C2726" s="15" t="s">
        <v>134</v>
      </c>
      <c r="D2726" s="15" t="s">
        <v>135</v>
      </c>
      <c r="E2726" s="19">
        <v>11683</v>
      </c>
      <c r="F2726" s="19">
        <v>17723</v>
      </c>
      <c r="G2726" s="20">
        <f t="shared" si="42"/>
        <v>0.60270012922532812</v>
      </c>
      <c r="H2726" s="24" t="s">
        <v>589</v>
      </c>
      <c r="I2726" s="24" t="s">
        <v>596</v>
      </c>
      <c r="J2726" s="24" t="s">
        <v>597</v>
      </c>
      <c r="K2726" s="24" t="s">
        <v>602</v>
      </c>
    </row>
    <row r="2727" spans="1:11">
      <c r="A2727" s="12">
        <v>2021</v>
      </c>
      <c r="B2727" s="15" t="s">
        <v>118</v>
      </c>
      <c r="C2727" s="15" t="s">
        <v>69</v>
      </c>
      <c r="D2727" s="15" t="s">
        <v>136</v>
      </c>
      <c r="E2727" s="19">
        <v>107218</v>
      </c>
      <c r="F2727" s="19">
        <v>101294</v>
      </c>
      <c r="G2727" s="20">
        <f t="shared" si="42"/>
        <v>0.4857945825659914</v>
      </c>
      <c r="H2727" s="24" t="s">
        <v>589</v>
      </c>
      <c r="I2727" s="24" t="s">
        <v>596</v>
      </c>
      <c r="J2727" s="24" t="s">
        <v>597</v>
      </c>
      <c r="K2727" s="24" t="s">
        <v>602</v>
      </c>
    </row>
    <row r="2728" spans="1:11">
      <c r="A2728" s="12">
        <v>2021</v>
      </c>
      <c r="B2728" s="15" t="s">
        <v>137</v>
      </c>
      <c r="C2728" s="15" t="s">
        <v>22</v>
      </c>
      <c r="D2728" s="15" t="s">
        <v>137</v>
      </c>
      <c r="E2728" s="19">
        <v>1329018</v>
      </c>
      <c r="F2728" s="19">
        <v>288593</v>
      </c>
      <c r="G2728" s="20">
        <f t="shared" si="42"/>
        <v>0.17840692230703178</v>
      </c>
      <c r="H2728" s="24" t="s">
        <v>583</v>
      </c>
      <c r="I2728" s="24" t="s">
        <v>606</v>
      </c>
      <c r="J2728" s="24" t="s">
        <v>607</v>
      </c>
      <c r="K2728" s="24" t="s">
        <v>602</v>
      </c>
    </row>
    <row r="2729" spans="1:11">
      <c r="A2729" s="12">
        <v>2021</v>
      </c>
      <c r="B2729" s="15" t="s">
        <v>137</v>
      </c>
      <c r="C2729" s="15" t="s">
        <v>138</v>
      </c>
      <c r="D2729" s="15" t="s">
        <v>139</v>
      </c>
      <c r="E2729" s="19">
        <v>351326</v>
      </c>
      <c r="F2729" s="19">
        <v>224913</v>
      </c>
      <c r="G2729" s="20">
        <f t="shared" si="42"/>
        <v>0.39031200595586207</v>
      </c>
      <c r="H2729" s="24" t="s">
        <v>583</v>
      </c>
      <c r="I2729" s="24" t="s">
        <v>606</v>
      </c>
      <c r="J2729" s="24" t="s">
        <v>607</v>
      </c>
      <c r="K2729" s="24" t="s">
        <v>602</v>
      </c>
    </row>
    <row r="2730" spans="1:11">
      <c r="A2730" s="12">
        <v>2021</v>
      </c>
      <c r="B2730" s="15" t="s">
        <v>137</v>
      </c>
      <c r="C2730" s="15" t="s">
        <v>79</v>
      </c>
      <c r="D2730" s="15" t="s">
        <v>140</v>
      </c>
      <c r="E2730" s="19">
        <v>172556</v>
      </c>
      <c r="F2730" s="19">
        <v>152233</v>
      </c>
      <c r="G2730" s="20">
        <f t="shared" si="42"/>
        <v>0.46871353401746979</v>
      </c>
      <c r="H2730" s="24" t="s">
        <v>583</v>
      </c>
      <c r="I2730" s="24" t="s">
        <v>606</v>
      </c>
      <c r="J2730" s="24" t="s">
        <v>607</v>
      </c>
      <c r="K2730" s="24" t="s">
        <v>602</v>
      </c>
    </row>
    <row r="2731" spans="1:11">
      <c r="A2731" s="12">
        <v>2021</v>
      </c>
      <c r="B2731" s="15" t="s">
        <v>137</v>
      </c>
      <c r="C2731" s="15" t="s">
        <v>81</v>
      </c>
      <c r="D2731" s="15" t="s">
        <v>141</v>
      </c>
      <c r="E2731" s="19">
        <v>76588</v>
      </c>
      <c r="F2731" s="19">
        <v>82270</v>
      </c>
      <c r="G2731" s="20">
        <f t="shared" si="42"/>
        <v>0.51788389630991205</v>
      </c>
      <c r="H2731" s="24" t="s">
        <v>583</v>
      </c>
      <c r="I2731" s="24" t="s">
        <v>606</v>
      </c>
      <c r="J2731" s="24" t="s">
        <v>607</v>
      </c>
      <c r="K2731" s="24" t="s">
        <v>602</v>
      </c>
    </row>
    <row r="2732" spans="1:11">
      <c r="A2732" s="12">
        <v>2021</v>
      </c>
      <c r="B2732" s="15" t="s">
        <v>137</v>
      </c>
      <c r="C2732" s="15" t="s">
        <v>87</v>
      </c>
      <c r="D2732" s="15" t="s">
        <v>142</v>
      </c>
      <c r="E2732" s="19">
        <v>352467</v>
      </c>
      <c r="F2732" s="19">
        <v>277338</v>
      </c>
      <c r="G2732" s="20">
        <f t="shared" si="42"/>
        <v>0.44035534808393073</v>
      </c>
      <c r="H2732" s="24" t="s">
        <v>583</v>
      </c>
      <c r="I2732" s="24" t="s">
        <v>606</v>
      </c>
      <c r="J2732" s="24" t="s">
        <v>607</v>
      </c>
      <c r="K2732" s="24" t="s">
        <v>602</v>
      </c>
    </row>
    <row r="2733" spans="1:11">
      <c r="A2733" s="12">
        <v>2021</v>
      </c>
      <c r="B2733" s="15" t="s">
        <v>137</v>
      </c>
      <c r="C2733" s="15" t="s">
        <v>93</v>
      </c>
      <c r="D2733" s="15" t="s">
        <v>143</v>
      </c>
      <c r="E2733" s="19">
        <v>241567</v>
      </c>
      <c r="F2733" s="19">
        <v>190525</v>
      </c>
      <c r="G2733" s="20">
        <f t="shared" si="42"/>
        <v>0.44093618951519586</v>
      </c>
      <c r="H2733" s="24" t="s">
        <v>583</v>
      </c>
      <c r="I2733" s="24" t="s">
        <v>606</v>
      </c>
      <c r="J2733" s="24" t="s">
        <v>607</v>
      </c>
      <c r="K2733" s="24" t="s">
        <v>602</v>
      </c>
    </row>
    <row r="2734" spans="1:11">
      <c r="A2734" s="12">
        <v>2021</v>
      </c>
      <c r="B2734" s="15" t="s">
        <v>144</v>
      </c>
      <c r="C2734" s="15" t="s">
        <v>22</v>
      </c>
      <c r="D2734" s="15" t="s">
        <v>144</v>
      </c>
      <c r="E2734" s="19">
        <v>1332234</v>
      </c>
      <c r="F2734" s="19">
        <v>306968</v>
      </c>
      <c r="G2734" s="20">
        <f t="shared" si="42"/>
        <v>0.18726673100691679</v>
      </c>
      <c r="H2734" s="24" t="s">
        <v>586</v>
      </c>
      <c r="I2734" s="24" t="s">
        <v>608</v>
      </c>
      <c r="J2734" s="24" t="s">
        <v>609</v>
      </c>
      <c r="K2734" s="24" t="s">
        <v>602</v>
      </c>
    </row>
    <row r="2735" spans="1:11">
      <c r="A2735" s="12">
        <v>2021</v>
      </c>
      <c r="B2735" s="15" t="s">
        <v>144</v>
      </c>
      <c r="C2735" s="15" t="s">
        <v>145</v>
      </c>
      <c r="D2735" s="15" t="s">
        <v>146</v>
      </c>
      <c r="E2735" s="19">
        <v>138925</v>
      </c>
      <c r="F2735" s="19">
        <v>130084</v>
      </c>
      <c r="G2735" s="20">
        <f t="shared" si="42"/>
        <v>0.48356746428558151</v>
      </c>
      <c r="H2735" s="24" t="s">
        <v>586</v>
      </c>
      <c r="I2735" s="24" t="s">
        <v>608</v>
      </c>
      <c r="J2735" s="24" t="s">
        <v>609</v>
      </c>
      <c r="K2735" s="24" t="s">
        <v>602</v>
      </c>
    </row>
    <row r="2736" spans="1:11">
      <c r="A2736" s="12">
        <v>2021</v>
      </c>
      <c r="B2736" s="15" t="s">
        <v>144</v>
      </c>
      <c r="C2736" s="15" t="s">
        <v>81</v>
      </c>
      <c r="D2736" s="15" t="s">
        <v>147</v>
      </c>
      <c r="E2736" s="19">
        <v>175426</v>
      </c>
      <c r="F2736" s="19">
        <v>170643</v>
      </c>
      <c r="G2736" s="20">
        <f t="shared" si="42"/>
        <v>0.49308952838884729</v>
      </c>
      <c r="H2736" s="24" t="s">
        <v>586</v>
      </c>
      <c r="I2736" s="24" t="s">
        <v>608</v>
      </c>
      <c r="J2736" s="24" t="s">
        <v>609</v>
      </c>
      <c r="K2736" s="24" t="s">
        <v>602</v>
      </c>
    </row>
    <row r="2737" spans="1:11">
      <c r="A2737" s="12">
        <v>2021</v>
      </c>
      <c r="B2737" s="15" t="s">
        <v>144</v>
      </c>
      <c r="C2737" s="15" t="s">
        <v>93</v>
      </c>
      <c r="D2737" s="15" t="s">
        <v>148</v>
      </c>
      <c r="E2737" s="19">
        <v>406803</v>
      </c>
      <c r="F2737" s="19">
        <v>278717</v>
      </c>
      <c r="G2737" s="20">
        <f t="shared" si="42"/>
        <v>0.40657748862177617</v>
      </c>
      <c r="H2737" s="24" t="s">
        <v>586</v>
      </c>
      <c r="I2737" s="24" t="s">
        <v>608</v>
      </c>
      <c r="J2737" s="24" t="s">
        <v>609</v>
      </c>
      <c r="K2737" s="24" t="s">
        <v>602</v>
      </c>
    </row>
    <row r="2738" spans="1:11">
      <c r="A2738" s="12">
        <v>2021</v>
      </c>
      <c r="B2738" s="15" t="s">
        <v>144</v>
      </c>
      <c r="C2738" s="15" t="s">
        <v>149</v>
      </c>
      <c r="D2738" s="15" t="s">
        <v>150</v>
      </c>
      <c r="E2738" s="19">
        <v>287278</v>
      </c>
      <c r="F2738" s="19">
        <v>246420</v>
      </c>
      <c r="G2738" s="20">
        <f t="shared" si="42"/>
        <v>0.4617217977208084</v>
      </c>
      <c r="H2738" s="24" t="s">
        <v>586</v>
      </c>
      <c r="I2738" s="24" t="s">
        <v>608</v>
      </c>
      <c r="J2738" s="24" t="s">
        <v>609</v>
      </c>
      <c r="K2738" s="24" t="s">
        <v>602</v>
      </c>
    </row>
    <row r="2739" spans="1:11">
      <c r="A2739" s="12">
        <v>2021</v>
      </c>
      <c r="B2739" s="15" t="s">
        <v>144</v>
      </c>
      <c r="C2739" s="15" t="s">
        <v>69</v>
      </c>
      <c r="D2739" s="15" t="s">
        <v>151</v>
      </c>
      <c r="E2739" s="19">
        <v>187643</v>
      </c>
      <c r="F2739" s="19">
        <v>164481</v>
      </c>
      <c r="G2739" s="20">
        <f t="shared" si="42"/>
        <v>0.46711101770967045</v>
      </c>
      <c r="H2739" s="24" t="s">
        <v>586</v>
      </c>
      <c r="I2739" s="24" t="s">
        <v>608</v>
      </c>
      <c r="J2739" s="24" t="s">
        <v>609</v>
      </c>
      <c r="K2739" s="24" t="s">
        <v>602</v>
      </c>
    </row>
    <row r="2740" spans="1:11">
      <c r="A2740" s="12">
        <v>2021</v>
      </c>
      <c r="B2740" s="15" t="s">
        <v>152</v>
      </c>
      <c r="C2740" s="15" t="s">
        <v>22</v>
      </c>
      <c r="D2740" s="15" t="s">
        <v>152</v>
      </c>
      <c r="E2740" s="19">
        <v>1028659</v>
      </c>
      <c r="F2740" s="19">
        <v>230271</v>
      </c>
      <c r="G2740" s="20">
        <f t="shared" si="42"/>
        <v>0.18291009031479114</v>
      </c>
      <c r="H2740" s="24" t="s">
        <v>603</v>
      </c>
      <c r="I2740" s="24" t="s">
        <v>604</v>
      </c>
      <c r="J2740" s="24" t="s">
        <v>605</v>
      </c>
      <c r="K2740" s="24" t="s">
        <v>602</v>
      </c>
    </row>
    <row r="2741" spans="1:11">
      <c r="A2741" s="12">
        <v>2021</v>
      </c>
      <c r="B2741" s="15" t="s">
        <v>152</v>
      </c>
      <c r="C2741" s="15" t="s">
        <v>79</v>
      </c>
      <c r="D2741" s="15" t="s">
        <v>153</v>
      </c>
      <c r="E2741" s="19">
        <v>276771</v>
      </c>
      <c r="F2741" s="19">
        <v>154233</v>
      </c>
      <c r="G2741" s="20">
        <f t="shared" si="42"/>
        <v>0.35784586685970432</v>
      </c>
      <c r="H2741" s="24" t="s">
        <v>603</v>
      </c>
      <c r="I2741" s="24" t="s">
        <v>604</v>
      </c>
      <c r="J2741" s="24" t="s">
        <v>605</v>
      </c>
      <c r="K2741" s="24" t="s">
        <v>602</v>
      </c>
    </row>
    <row r="2742" spans="1:11">
      <c r="A2742" s="12">
        <v>2021</v>
      </c>
      <c r="B2742" s="15" t="s">
        <v>152</v>
      </c>
      <c r="C2742" s="15" t="s">
        <v>81</v>
      </c>
      <c r="D2742" s="15" t="s">
        <v>154</v>
      </c>
      <c r="E2742" s="19">
        <v>136464</v>
      </c>
      <c r="F2742" s="19">
        <v>77655</v>
      </c>
      <c r="G2742" s="20">
        <f t="shared" si="42"/>
        <v>0.36267215893965504</v>
      </c>
      <c r="H2742" s="24" t="s">
        <v>603</v>
      </c>
      <c r="I2742" s="24" t="s">
        <v>604</v>
      </c>
      <c r="J2742" s="24" t="s">
        <v>605</v>
      </c>
      <c r="K2742" s="24" t="s">
        <v>602</v>
      </c>
    </row>
    <row r="2743" spans="1:11">
      <c r="A2743" s="12">
        <v>2021</v>
      </c>
      <c r="B2743" s="15" t="s">
        <v>152</v>
      </c>
      <c r="C2743" s="15" t="s">
        <v>87</v>
      </c>
      <c r="D2743" s="15" t="s">
        <v>155</v>
      </c>
      <c r="E2743" s="19">
        <v>174063</v>
      </c>
      <c r="F2743" s="19">
        <v>152116</v>
      </c>
      <c r="G2743" s="20">
        <f t="shared" si="42"/>
        <v>0.46635742950956377</v>
      </c>
      <c r="H2743" s="24" t="s">
        <v>603</v>
      </c>
      <c r="I2743" s="24" t="s">
        <v>604</v>
      </c>
      <c r="J2743" s="24" t="s">
        <v>605</v>
      </c>
      <c r="K2743" s="24" t="s">
        <v>602</v>
      </c>
    </row>
    <row r="2744" spans="1:11">
      <c r="A2744" s="12">
        <v>2021</v>
      </c>
      <c r="B2744" s="15" t="s">
        <v>152</v>
      </c>
      <c r="C2744" s="15" t="s">
        <v>156</v>
      </c>
      <c r="D2744" s="15" t="s">
        <v>157</v>
      </c>
      <c r="E2744" s="19">
        <v>160445</v>
      </c>
      <c r="F2744" s="19">
        <v>170817</v>
      </c>
      <c r="G2744" s="20">
        <f t="shared" si="42"/>
        <v>0.5156552819218625</v>
      </c>
      <c r="H2744" s="24" t="s">
        <v>603</v>
      </c>
      <c r="I2744" s="24" t="s">
        <v>604</v>
      </c>
      <c r="J2744" s="24" t="s">
        <v>605</v>
      </c>
      <c r="K2744" s="24" t="s">
        <v>602</v>
      </c>
    </row>
    <row r="2745" spans="1:11">
      <c r="A2745" s="12">
        <v>2021</v>
      </c>
      <c r="B2745" s="15" t="s">
        <v>152</v>
      </c>
      <c r="C2745" s="15" t="s">
        <v>69</v>
      </c>
      <c r="D2745" s="15" t="s">
        <v>158</v>
      </c>
      <c r="E2745" s="19">
        <v>169662</v>
      </c>
      <c r="F2745" s="19">
        <v>152526</v>
      </c>
      <c r="G2745" s="20">
        <f t="shared" si="42"/>
        <v>0.47340683079444301</v>
      </c>
      <c r="H2745" s="24" t="s">
        <v>603</v>
      </c>
      <c r="I2745" s="24" t="s">
        <v>604</v>
      </c>
      <c r="J2745" s="24" t="s">
        <v>605</v>
      </c>
      <c r="K2745" s="24" t="s">
        <v>602</v>
      </c>
    </row>
    <row r="2746" spans="1:11">
      <c r="A2746" s="12">
        <v>2021</v>
      </c>
      <c r="B2746" s="15" t="s">
        <v>159</v>
      </c>
      <c r="C2746" s="15" t="s">
        <v>22</v>
      </c>
      <c r="D2746" s="15" t="s">
        <v>159</v>
      </c>
      <c r="E2746" s="19">
        <v>312770</v>
      </c>
      <c r="F2746" s="19">
        <v>210772</v>
      </c>
      <c r="G2746" s="20">
        <f t="shared" si="42"/>
        <v>0.40258852202879614</v>
      </c>
      <c r="H2746" s="24" t="s">
        <v>586</v>
      </c>
      <c r="I2746" s="24" t="s">
        <v>608</v>
      </c>
      <c r="J2746" s="24" t="s">
        <v>609</v>
      </c>
      <c r="K2746" s="24" t="s">
        <v>602</v>
      </c>
    </row>
    <row r="2747" spans="1:11">
      <c r="A2747" s="12">
        <v>2021</v>
      </c>
      <c r="B2747" s="15" t="s">
        <v>160</v>
      </c>
      <c r="C2747" s="15" t="s">
        <v>22</v>
      </c>
      <c r="D2747" s="15" t="s">
        <v>160</v>
      </c>
      <c r="E2747" s="19">
        <v>12305280</v>
      </c>
      <c r="F2747" s="19">
        <v>4595144</v>
      </c>
      <c r="G2747" s="20">
        <f t="shared" si="42"/>
        <v>0.27189519032185228</v>
      </c>
      <c r="H2747" s="24" t="s">
        <v>589</v>
      </c>
      <c r="I2747" s="24" t="s">
        <v>596</v>
      </c>
      <c r="J2747" s="24" t="s">
        <v>597</v>
      </c>
      <c r="K2747" s="24" t="s">
        <v>602</v>
      </c>
    </row>
    <row r="2748" spans="1:11">
      <c r="A2748" s="12">
        <v>2021</v>
      </c>
      <c r="B2748" s="15" t="s">
        <v>160</v>
      </c>
      <c r="C2748" s="15" t="s">
        <v>161</v>
      </c>
      <c r="D2748" s="15" t="s">
        <v>162</v>
      </c>
      <c r="E2748" s="19">
        <v>47826</v>
      </c>
      <c r="F2748" s="19">
        <v>46687</v>
      </c>
      <c r="G2748" s="20">
        <f t="shared" si="42"/>
        <v>0.49397437389565457</v>
      </c>
      <c r="H2748" s="24" t="s">
        <v>589</v>
      </c>
      <c r="I2748" s="24" t="s">
        <v>591</v>
      </c>
      <c r="J2748" s="24" t="s">
        <v>592</v>
      </c>
      <c r="K2748" s="24" t="s">
        <v>602</v>
      </c>
    </row>
    <row r="2749" spans="1:11">
      <c r="A2749" s="12">
        <v>2021</v>
      </c>
      <c r="B2749" s="15" t="s">
        <v>160</v>
      </c>
      <c r="C2749" s="15" t="s">
        <v>163</v>
      </c>
      <c r="D2749" s="15" t="s">
        <v>164</v>
      </c>
      <c r="E2749" s="19">
        <v>377519</v>
      </c>
      <c r="F2749" s="19">
        <v>322205</v>
      </c>
      <c r="G2749" s="20">
        <f t="shared" si="42"/>
        <v>0.4604744156267328</v>
      </c>
      <c r="H2749" s="24" t="s">
        <v>589</v>
      </c>
      <c r="I2749" s="24" t="s">
        <v>591</v>
      </c>
      <c r="J2749" s="24" t="s">
        <v>592</v>
      </c>
      <c r="K2749" s="24" t="s">
        <v>602</v>
      </c>
    </row>
    <row r="2750" spans="1:11">
      <c r="A2750" s="12">
        <v>2021</v>
      </c>
      <c r="B2750" s="15" t="s">
        <v>160</v>
      </c>
      <c r="C2750" s="15" t="s">
        <v>167</v>
      </c>
      <c r="D2750" s="15" t="s">
        <v>168</v>
      </c>
      <c r="E2750" s="19">
        <v>230421</v>
      </c>
      <c r="F2750" s="19">
        <v>197960</v>
      </c>
      <c r="G2750" s="20">
        <f t="shared" si="42"/>
        <v>0.46211199843130296</v>
      </c>
      <c r="H2750" s="24" t="s">
        <v>589</v>
      </c>
      <c r="I2750" s="24" t="s">
        <v>591</v>
      </c>
      <c r="J2750" s="24" t="s">
        <v>592</v>
      </c>
      <c r="K2750" s="24" t="s">
        <v>602</v>
      </c>
    </row>
    <row r="2751" spans="1:11">
      <c r="A2751" s="12">
        <v>2021</v>
      </c>
      <c r="B2751" s="15" t="s">
        <v>160</v>
      </c>
      <c r="C2751" s="15" t="s">
        <v>169</v>
      </c>
      <c r="D2751" s="15" t="s">
        <v>170</v>
      </c>
      <c r="E2751" s="19">
        <v>234129</v>
      </c>
      <c r="F2751" s="19">
        <v>206225</v>
      </c>
      <c r="G2751" s="20">
        <f t="shared" si="42"/>
        <v>0.46831639998728297</v>
      </c>
      <c r="H2751" s="24" t="s">
        <v>589</v>
      </c>
      <c r="I2751" s="24" t="s">
        <v>591</v>
      </c>
      <c r="J2751" s="24" t="s">
        <v>592</v>
      </c>
      <c r="K2751" s="24" t="s">
        <v>602</v>
      </c>
    </row>
    <row r="2752" spans="1:11">
      <c r="A2752" s="12">
        <v>2021</v>
      </c>
      <c r="B2752" s="15" t="s">
        <v>160</v>
      </c>
      <c r="C2752" s="15" t="s">
        <v>171</v>
      </c>
      <c r="D2752" s="15" t="s">
        <v>172</v>
      </c>
      <c r="E2752" s="19">
        <v>50941</v>
      </c>
      <c r="F2752" s="19">
        <v>57976</v>
      </c>
      <c r="G2752" s="20">
        <f t="shared" si="42"/>
        <v>0.53229523398551193</v>
      </c>
      <c r="H2752" s="24" t="s">
        <v>589</v>
      </c>
      <c r="I2752" s="24" t="s">
        <v>591</v>
      </c>
      <c r="J2752" s="24" t="s">
        <v>592</v>
      </c>
      <c r="K2752" s="24" t="s">
        <v>602</v>
      </c>
    </row>
    <row r="2753" spans="1:11">
      <c r="A2753" s="12">
        <v>2021</v>
      </c>
      <c r="B2753" s="15" t="s">
        <v>160</v>
      </c>
      <c r="C2753" s="15" t="s">
        <v>173</v>
      </c>
      <c r="D2753" s="15" t="s">
        <v>174</v>
      </c>
      <c r="E2753" s="19">
        <v>247724</v>
      </c>
      <c r="F2753" s="19">
        <v>176127</v>
      </c>
      <c r="G2753" s="20">
        <f t="shared" si="42"/>
        <v>0.41553989491590204</v>
      </c>
      <c r="H2753" s="24" t="s">
        <v>589</v>
      </c>
      <c r="I2753" s="24" t="s">
        <v>591</v>
      </c>
      <c r="J2753" s="24" t="s">
        <v>592</v>
      </c>
      <c r="K2753" s="24" t="s">
        <v>602</v>
      </c>
    </row>
    <row r="2754" spans="1:11">
      <c r="A2754" s="12">
        <v>2021</v>
      </c>
      <c r="B2754" s="15" t="s">
        <v>160</v>
      </c>
      <c r="C2754" s="15" t="s">
        <v>175</v>
      </c>
      <c r="D2754" s="15" t="s">
        <v>176</v>
      </c>
      <c r="E2754" s="19">
        <v>293319</v>
      </c>
      <c r="F2754" s="19">
        <v>262162</v>
      </c>
      <c r="G2754" s="20">
        <f t="shared" si="42"/>
        <v>0.4719549363524585</v>
      </c>
      <c r="H2754" s="24" t="s">
        <v>589</v>
      </c>
      <c r="I2754" s="24" t="s">
        <v>591</v>
      </c>
      <c r="J2754" s="24" t="s">
        <v>592</v>
      </c>
      <c r="K2754" s="24" t="s">
        <v>602</v>
      </c>
    </row>
    <row r="2755" spans="1:11">
      <c r="A2755" s="12">
        <v>2021</v>
      </c>
      <c r="B2755" s="15" t="s">
        <v>160</v>
      </c>
      <c r="C2755" s="15" t="s">
        <v>177</v>
      </c>
      <c r="D2755" s="15" t="s">
        <v>178</v>
      </c>
      <c r="E2755" s="19">
        <v>156606</v>
      </c>
      <c r="F2755" s="19">
        <v>115978</v>
      </c>
      <c r="G2755" s="20">
        <f t="shared" si="42"/>
        <v>0.42547618348839256</v>
      </c>
      <c r="H2755" s="24" t="s">
        <v>589</v>
      </c>
      <c r="I2755" s="24" t="s">
        <v>591</v>
      </c>
      <c r="J2755" s="24" t="s">
        <v>592</v>
      </c>
      <c r="K2755" s="24" t="s">
        <v>602</v>
      </c>
    </row>
    <row r="2756" spans="1:11">
      <c r="A2756" s="12">
        <v>2021</v>
      </c>
      <c r="B2756" s="15" t="s">
        <v>160</v>
      </c>
      <c r="C2756" s="15" t="s">
        <v>179</v>
      </c>
      <c r="D2756" s="15" t="s">
        <v>180</v>
      </c>
      <c r="E2756" s="19">
        <v>225193</v>
      </c>
      <c r="F2756" s="19">
        <v>164229</v>
      </c>
      <c r="G2756" s="20">
        <f t="shared" si="42"/>
        <v>0.42172501810375379</v>
      </c>
      <c r="H2756" s="24" t="s">
        <v>589</v>
      </c>
      <c r="I2756" s="24" t="s">
        <v>591</v>
      </c>
      <c r="J2756" s="24" t="s">
        <v>592</v>
      </c>
      <c r="K2756" s="24" t="s">
        <v>602</v>
      </c>
    </row>
    <row r="2757" spans="1:11">
      <c r="A2757" s="12">
        <v>2021</v>
      </c>
      <c r="B2757" s="15" t="s">
        <v>160</v>
      </c>
      <c r="C2757" s="15" t="s">
        <v>181</v>
      </c>
      <c r="D2757" s="15" t="s">
        <v>182</v>
      </c>
      <c r="E2757" s="19">
        <v>425044</v>
      </c>
      <c r="F2757" s="19">
        <v>271769</v>
      </c>
      <c r="G2757" s="20">
        <f t="shared" si="42"/>
        <v>0.39001712080572548</v>
      </c>
      <c r="H2757" s="24" t="s">
        <v>589</v>
      </c>
      <c r="I2757" s="24" t="s">
        <v>591</v>
      </c>
      <c r="J2757" s="24" t="s">
        <v>592</v>
      </c>
      <c r="K2757" s="24" t="s">
        <v>602</v>
      </c>
    </row>
    <row r="2758" spans="1:11">
      <c r="A2758" s="12">
        <v>2021</v>
      </c>
      <c r="B2758" s="15" t="s">
        <v>160</v>
      </c>
      <c r="C2758" s="15" t="s">
        <v>183</v>
      </c>
      <c r="D2758" s="15" t="s">
        <v>184</v>
      </c>
      <c r="E2758" s="19">
        <v>593514</v>
      </c>
      <c r="F2758" s="19">
        <v>452711</v>
      </c>
      <c r="G2758" s="20">
        <f t="shared" ref="G2758:G2821" si="43">IFERROR(F2758/(E2758+F2758),"")</f>
        <v>0.43270902530526417</v>
      </c>
      <c r="H2758" s="24" t="s">
        <v>589</v>
      </c>
      <c r="I2758" s="24" t="s">
        <v>591</v>
      </c>
      <c r="J2758" s="24" t="s">
        <v>592</v>
      </c>
      <c r="K2758" s="24" t="s">
        <v>602</v>
      </c>
    </row>
    <row r="2759" spans="1:11">
      <c r="A2759" s="12">
        <v>2021</v>
      </c>
      <c r="B2759" s="15" t="s">
        <v>160</v>
      </c>
      <c r="C2759" s="15" t="s">
        <v>185</v>
      </c>
      <c r="D2759" s="15" t="s">
        <v>186</v>
      </c>
      <c r="E2759" s="19">
        <v>76151</v>
      </c>
      <c r="F2759" s="19">
        <v>57771</v>
      </c>
      <c r="G2759" s="20">
        <f t="shared" si="43"/>
        <v>0.43137796627887876</v>
      </c>
      <c r="H2759" s="24" t="s">
        <v>589</v>
      </c>
      <c r="I2759" s="24" t="s">
        <v>591</v>
      </c>
      <c r="J2759" s="24" t="s">
        <v>592</v>
      </c>
      <c r="K2759" s="24" t="s">
        <v>602</v>
      </c>
    </row>
    <row r="2760" spans="1:11">
      <c r="A2760" s="12">
        <v>2021</v>
      </c>
      <c r="B2760" s="15" t="s">
        <v>160</v>
      </c>
      <c r="C2760" s="15" t="s">
        <v>187</v>
      </c>
      <c r="D2760" s="15" t="s">
        <v>188</v>
      </c>
      <c r="E2760" s="19">
        <v>702558</v>
      </c>
      <c r="F2760" s="19">
        <v>377991</v>
      </c>
      <c r="G2760" s="20">
        <f t="shared" si="43"/>
        <v>0.34981384462898024</v>
      </c>
      <c r="H2760" s="24" t="s">
        <v>589</v>
      </c>
      <c r="I2760" s="24" t="s">
        <v>596</v>
      </c>
      <c r="J2760" s="24" t="s">
        <v>597</v>
      </c>
      <c r="K2760" s="24" t="s">
        <v>602</v>
      </c>
    </row>
    <row r="2761" spans="1:11">
      <c r="A2761" s="12">
        <v>2021</v>
      </c>
      <c r="B2761" s="15" t="s">
        <v>160</v>
      </c>
      <c r="C2761" s="15" t="s">
        <v>195</v>
      </c>
      <c r="D2761" s="15" t="s">
        <v>196</v>
      </c>
      <c r="E2761" s="19">
        <v>407414</v>
      </c>
      <c r="F2761" s="19">
        <v>261928</v>
      </c>
      <c r="G2761" s="20">
        <f t="shared" si="43"/>
        <v>0.39132162631360351</v>
      </c>
      <c r="H2761" s="24" t="s">
        <v>589</v>
      </c>
      <c r="I2761" s="24" t="s">
        <v>596</v>
      </c>
      <c r="J2761" s="24" t="s">
        <v>597</v>
      </c>
      <c r="K2761" s="24" t="s">
        <v>602</v>
      </c>
    </row>
    <row r="2762" spans="1:11">
      <c r="A2762" s="12">
        <v>2021</v>
      </c>
      <c r="B2762" s="15" t="s">
        <v>160</v>
      </c>
      <c r="C2762" s="15" t="s">
        <v>197</v>
      </c>
      <c r="D2762" s="15" t="s">
        <v>198</v>
      </c>
      <c r="E2762" s="19">
        <v>175174</v>
      </c>
      <c r="F2762" s="19">
        <v>177995</v>
      </c>
      <c r="G2762" s="20">
        <f t="shared" si="43"/>
        <v>0.50399383864382208</v>
      </c>
      <c r="H2762" s="24" t="s">
        <v>589</v>
      </c>
      <c r="I2762" s="24" t="s">
        <v>596</v>
      </c>
      <c r="J2762" s="24" t="s">
        <v>597</v>
      </c>
      <c r="K2762" s="24" t="s">
        <v>602</v>
      </c>
    </row>
    <row r="2763" spans="1:11">
      <c r="A2763" s="12">
        <v>2021</v>
      </c>
      <c r="B2763" s="15" t="s">
        <v>160</v>
      </c>
      <c r="C2763" s="15" t="s">
        <v>199</v>
      </c>
      <c r="D2763" s="15" t="s">
        <v>200</v>
      </c>
      <c r="E2763" s="19">
        <v>150128</v>
      </c>
      <c r="F2763" s="19">
        <v>166651</v>
      </c>
      <c r="G2763" s="20">
        <f t="shared" si="43"/>
        <v>0.52607969593944048</v>
      </c>
      <c r="H2763" s="24" t="s">
        <v>589</v>
      </c>
      <c r="I2763" s="24" t="s">
        <v>596</v>
      </c>
      <c r="J2763" s="24" t="s">
        <v>597</v>
      </c>
      <c r="K2763" s="24" t="s">
        <v>602</v>
      </c>
    </row>
    <row r="2764" spans="1:11">
      <c r="A2764" s="12">
        <v>2021</v>
      </c>
      <c r="B2764" s="15" t="s">
        <v>160</v>
      </c>
      <c r="C2764" s="15" t="s">
        <v>201</v>
      </c>
      <c r="D2764" s="15" t="s">
        <v>202</v>
      </c>
      <c r="E2764" s="19">
        <v>277229</v>
      </c>
      <c r="F2764" s="19">
        <v>273063</v>
      </c>
      <c r="G2764" s="20">
        <f t="shared" si="43"/>
        <v>0.4962147369033168</v>
      </c>
      <c r="H2764" s="24" t="s">
        <v>589</v>
      </c>
      <c r="I2764" s="24" t="s">
        <v>596</v>
      </c>
      <c r="J2764" s="24" t="s">
        <v>597</v>
      </c>
      <c r="K2764" s="24" t="s">
        <v>602</v>
      </c>
    </row>
    <row r="2765" spans="1:11">
      <c r="A2765" s="12">
        <v>2021</v>
      </c>
      <c r="B2765" s="15" t="s">
        <v>160</v>
      </c>
      <c r="C2765" s="15" t="s">
        <v>203</v>
      </c>
      <c r="D2765" s="15" t="s">
        <v>204</v>
      </c>
      <c r="E2765" s="19">
        <v>291557</v>
      </c>
      <c r="F2765" s="19">
        <v>256453</v>
      </c>
      <c r="G2765" s="20">
        <f t="shared" si="43"/>
        <v>0.46797138738344191</v>
      </c>
      <c r="H2765" s="24" t="s">
        <v>589</v>
      </c>
      <c r="I2765" s="24" t="s">
        <v>596</v>
      </c>
      <c r="J2765" s="24" t="s">
        <v>597</v>
      </c>
      <c r="K2765" s="24" t="s">
        <v>602</v>
      </c>
    </row>
    <row r="2766" spans="1:11">
      <c r="A2766" s="12">
        <v>2021</v>
      </c>
      <c r="B2766" s="15" t="s">
        <v>160</v>
      </c>
      <c r="C2766" s="15" t="s">
        <v>205</v>
      </c>
      <c r="D2766" s="15" t="s">
        <v>206</v>
      </c>
      <c r="E2766" s="19">
        <v>218872</v>
      </c>
      <c r="F2766" s="19">
        <v>190473</v>
      </c>
      <c r="G2766" s="20">
        <f t="shared" si="43"/>
        <v>0.4653116564267305</v>
      </c>
      <c r="H2766" s="24" t="s">
        <v>589</v>
      </c>
      <c r="I2766" s="24" t="s">
        <v>596</v>
      </c>
      <c r="J2766" s="24" t="s">
        <v>597</v>
      </c>
      <c r="K2766" s="24" t="s">
        <v>602</v>
      </c>
    </row>
    <row r="2767" spans="1:11">
      <c r="A2767" s="12">
        <v>2021</v>
      </c>
      <c r="B2767" s="15" t="s">
        <v>160</v>
      </c>
      <c r="C2767" s="15" t="s">
        <v>207</v>
      </c>
      <c r="D2767" s="15" t="s">
        <v>208</v>
      </c>
      <c r="E2767" s="19">
        <v>144691</v>
      </c>
      <c r="F2767" s="19">
        <v>139239</v>
      </c>
      <c r="G2767" s="20">
        <f t="shared" si="43"/>
        <v>0.49039904201739865</v>
      </c>
      <c r="H2767" s="24" t="s">
        <v>589</v>
      </c>
      <c r="I2767" s="24" t="s">
        <v>596</v>
      </c>
      <c r="J2767" s="24" t="s">
        <v>597</v>
      </c>
      <c r="K2767" s="24" t="s">
        <v>602</v>
      </c>
    </row>
    <row r="2768" spans="1:11">
      <c r="A2768" s="12">
        <v>2021</v>
      </c>
      <c r="B2768" s="15" t="s">
        <v>160</v>
      </c>
      <c r="C2768" s="15" t="s">
        <v>209</v>
      </c>
      <c r="D2768" s="15" t="s">
        <v>210</v>
      </c>
      <c r="E2768" s="19">
        <v>449016</v>
      </c>
      <c r="F2768" s="19">
        <v>312000</v>
      </c>
      <c r="G2768" s="20">
        <f t="shared" si="43"/>
        <v>0.40997823961651264</v>
      </c>
      <c r="H2768" s="24" t="s">
        <v>589</v>
      </c>
      <c r="I2768" s="24" t="s">
        <v>591</v>
      </c>
      <c r="J2768" s="24" t="s">
        <v>592</v>
      </c>
      <c r="K2768" s="24" t="s">
        <v>602</v>
      </c>
    </row>
    <row r="2769" spans="1:11">
      <c r="A2769" s="12">
        <v>2021</v>
      </c>
      <c r="B2769" s="15" t="s">
        <v>160</v>
      </c>
      <c r="C2769" s="15" t="s">
        <v>211</v>
      </c>
      <c r="D2769" s="15" t="s">
        <v>212</v>
      </c>
      <c r="E2769" s="19">
        <v>280577</v>
      </c>
      <c r="F2769" s="19">
        <v>174762</v>
      </c>
      <c r="G2769" s="20">
        <f t="shared" si="43"/>
        <v>0.38380635087264653</v>
      </c>
      <c r="H2769" s="24" t="s">
        <v>589</v>
      </c>
      <c r="I2769" s="24" t="s">
        <v>591</v>
      </c>
      <c r="J2769" s="24" t="s">
        <v>592</v>
      </c>
      <c r="K2769" s="24" t="s">
        <v>602</v>
      </c>
    </row>
    <row r="2770" spans="1:11">
      <c r="A2770" s="12">
        <v>2021</v>
      </c>
      <c r="B2770" s="15" t="s">
        <v>160</v>
      </c>
      <c r="C2770" s="15" t="s">
        <v>213</v>
      </c>
      <c r="D2770" s="15" t="s">
        <v>214</v>
      </c>
      <c r="E2770" s="19">
        <v>261193</v>
      </c>
      <c r="F2770" s="19">
        <v>259188</v>
      </c>
      <c r="G2770" s="20">
        <f t="shared" si="43"/>
        <v>0.4980735268966392</v>
      </c>
      <c r="H2770" s="24" t="s">
        <v>589</v>
      </c>
      <c r="I2770" s="24" t="s">
        <v>591</v>
      </c>
      <c r="J2770" s="24" t="s">
        <v>592</v>
      </c>
      <c r="K2770" s="24" t="s">
        <v>602</v>
      </c>
    </row>
    <row r="2771" spans="1:11">
      <c r="A2771" s="12">
        <v>2021</v>
      </c>
      <c r="B2771" s="15" t="s">
        <v>160</v>
      </c>
      <c r="C2771" s="15" t="s">
        <v>215</v>
      </c>
      <c r="D2771" s="15" t="s">
        <v>216</v>
      </c>
      <c r="E2771" s="19">
        <v>158914</v>
      </c>
      <c r="F2771" s="19">
        <v>126279</v>
      </c>
      <c r="G2771" s="20">
        <f t="shared" si="43"/>
        <v>0.44278436006493849</v>
      </c>
      <c r="H2771" s="24" t="s">
        <v>589</v>
      </c>
      <c r="I2771" s="24" t="s">
        <v>591</v>
      </c>
      <c r="J2771" s="24" t="s">
        <v>592</v>
      </c>
      <c r="K2771" s="24" t="s">
        <v>602</v>
      </c>
    </row>
    <row r="2772" spans="1:11">
      <c r="A2772" s="12">
        <v>2021</v>
      </c>
      <c r="B2772" s="15" t="s">
        <v>160</v>
      </c>
      <c r="C2772" s="15" t="s">
        <v>217</v>
      </c>
      <c r="D2772" s="15" t="s">
        <v>218</v>
      </c>
      <c r="E2772" s="19">
        <v>257243</v>
      </c>
      <c r="F2772" s="19">
        <v>185954</v>
      </c>
      <c r="G2772" s="20">
        <f t="shared" si="43"/>
        <v>0.4195741397166497</v>
      </c>
      <c r="H2772" s="24" t="s">
        <v>589</v>
      </c>
      <c r="I2772" s="24" t="s">
        <v>596</v>
      </c>
      <c r="J2772" s="24" t="s">
        <v>597</v>
      </c>
      <c r="K2772" s="24" t="s">
        <v>602</v>
      </c>
    </row>
    <row r="2773" spans="1:11">
      <c r="A2773" s="12">
        <v>2021</v>
      </c>
      <c r="B2773" s="15" t="s">
        <v>160</v>
      </c>
      <c r="C2773" s="15" t="s">
        <v>219</v>
      </c>
      <c r="D2773" s="15" t="s">
        <v>220</v>
      </c>
      <c r="E2773" s="19">
        <v>183490</v>
      </c>
      <c r="F2773" s="19">
        <v>169350</v>
      </c>
      <c r="G2773" s="20">
        <f t="shared" si="43"/>
        <v>0.47996258927559232</v>
      </c>
      <c r="H2773" s="24" t="s">
        <v>589</v>
      </c>
      <c r="I2773" s="24" t="s">
        <v>596</v>
      </c>
      <c r="J2773" s="24" t="s">
        <v>597</v>
      </c>
      <c r="K2773" s="24" t="s">
        <v>602</v>
      </c>
    </row>
    <row r="2774" spans="1:11">
      <c r="A2774" s="12">
        <v>2021</v>
      </c>
      <c r="B2774" s="15" t="s">
        <v>160</v>
      </c>
      <c r="C2774" s="15" t="s">
        <v>221</v>
      </c>
      <c r="D2774" s="15" t="s">
        <v>222</v>
      </c>
      <c r="E2774" s="19">
        <v>186325</v>
      </c>
      <c r="F2774" s="19">
        <v>161848</v>
      </c>
      <c r="G2774" s="20">
        <f t="shared" si="43"/>
        <v>0.46484937085873979</v>
      </c>
      <c r="H2774" s="24" t="s">
        <v>589</v>
      </c>
      <c r="I2774" s="24" t="s">
        <v>591</v>
      </c>
      <c r="J2774" s="24" t="s">
        <v>592</v>
      </c>
      <c r="K2774" s="24" t="s">
        <v>602</v>
      </c>
    </row>
    <row r="2775" spans="1:11">
      <c r="A2775" s="12">
        <v>2021</v>
      </c>
      <c r="B2775" s="15" t="s">
        <v>160</v>
      </c>
      <c r="C2775" s="15" t="s">
        <v>223</v>
      </c>
      <c r="D2775" s="15" t="s">
        <v>224</v>
      </c>
      <c r="E2775" s="19">
        <v>88165</v>
      </c>
      <c r="F2775" s="19">
        <v>82095</v>
      </c>
      <c r="G2775" s="20">
        <f t="shared" si="43"/>
        <v>0.48217432162574886</v>
      </c>
      <c r="H2775" s="24" t="s">
        <v>589</v>
      </c>
      <c r="I2775" s="24" t="s">
        <v>591</v>
      </c>
      <c r="J2775" s="24" t="s">
        <v>592</v>
      </c>
      <c r="K2775" s="24" t="s">
        <v>602</v>
      </c>
    </row>
    <row r="2776" spans="1:11">
      <c r="A2776" s="12">
        <v>2021</v>
      </c>
      <c r="B2776" s="15" t="s">
        <v>160</v>
      </c>
      <c r="C2776" s="15" t="s">
        <v>227</v>
      </c>
      <c r="D2776" s="15" t="s">
        <v>228</v>
      </c>
      <c r="E2776" s="19">
        <v>87294</v>
      </c>
      <c r="F2776" s="19">
        <v>69981</v>
      </c>
      <c r="G2776" s="20">
        <f t="shared" si="43"/>
        <v>0.44495946590367191</v>
      </c>
      <c r="H2776" s="24" t="s">
        <v>589</v>
      </c>
      <c r="I2776" s="24" t="s">
        <v>591</v>
      </c>
      <c r="J2776" s="24" t="s">
        <v>592</v>
      </c>
      <c r="K2776" s="24" t="s">
        <v>602</v>
      </c>
    </row>
    <row r="2777" spans="1:11">
      <c r="A2777" s="12">
        <v>2021</v>
      </c>
      <c r="B2777" s="15" t="s">
        <v>160</v>
      </c>
      <c r="C2777" s="15" t="s">
        <v>229</v>
      </c>
      <c r="D2777" s="15" t="s">
        <v>230</v>
      </c>
      <c r="E2777" s="19">
        <v>31771</v>
      </c>
      <c r="F2777" s="19">
        <v>31459</v>
      </c>
      <c r="G2777" s="20">
        <f t="shared" si="43"/>
        <v>0.49753281670093308</v>
      </c>
      <c r="H2777" s="24" t="s">
        <v>589</v>
      </c>
      <c r="I2777" s="24" t="s">
        <v>591</v>
      </c>
      <c r="J2777" s="24" t="s">
        <v>592</v>
      </c>
      <c r="K2777" s="24" t="s">
        <v>602</v>
      </c>
    </row>
    <row r="2778" spans="1:11">
      <c r="A2778" s="12">
        <v>2021</v>
      </c>
      <c r="B2778" s="15" t="s">
        <v>160</v>
      </c>
      <c r="C2778" s="15" t="s">
        <v>231</v>
      </c>
      <c r="D2778" s="15" t="s">
        <v>232</v>
      </c>
      <c r="E2778" s="19">
        <v>192397</v>
      </c>
      <c r="F2778" s="19">
        <v>141284</v>
      </c>
      <c r="G2778" s="20">
        <f t="shared" si="43"/>
        <v>0.42341038297056172</v>
      </c>
      <c r="H2778" s="24" t="s">
        <v>589</v>
      </c>
      <c r="I2778" s="24" t="s">
        <v>591</v>
      </c>
      <c r="J2778" s="24" t="s">
        <v>592</v>
      </c>
      <c r="K2778" s="24" t="s">
        <v>602</v>
      </c>
    </row>
    <row r="2779" spans="1:11">
      <c r="A2779" s="12">
        <v>2021</v>
      </c>
      <c r="B2779" s="15" t="s">
        <v>160</v>
      </c>
      <c r="C2779" s="15" t="s">
        <v>235</v>
      </c>
      <c r="D2779" s="15" t="s">
        <v>236</v>
      </c>
      <c r="E2779" s="19">
        <v>339117</v>
      </c>
      <c r="F2779" s="19">
        <v>312501</v>
      </c>
      <c r="G2779" s="20">
        <f t="shared" si="43"/>
        <v>0.47957699142749277</v>
      </c>
      <c r="H2779" s="24" t="s">
        <v>589</v>
      </c>
      <c r="I2779" s="24" t="s">
        <v>591</v>
      </c>
      <c r="J2779" s="24" t="s">
        <v>592</v>
      </c>
      <c r="K2779" s="24" t="s">
        <v>602</v>
      </c>
    </row>
    <row r="2780" spans="1:11">
      <c r="A2780" s="12">
        <v>2021</v>
      </c>
      <c r="B2780" s="15" t="s">
        <v>160</v>
      </c>
      <c r="C2780" s="15" t="s">
        <v>237</v>
      </c>
      <c r="D2780" s="15" t="s">
        <v>238</v>
      </c>
      <c r="E2780" s="19">
        <v>284082</v>
      </c>
      <c r="F2780" s="19">
        <v>278421</v>
      </c>
      <c r="G2780" s="20">
        <f t="shared" si="43"/>
        <v>0.49496802683719021</v>
      </c>
      <c r="H2780" s="24" t="s">
        <v>589</v>
      </c>
      <c r="I2780" s="24" t="s">
        <v>591</v>
      </c>
      <c r="J2780" s="24" t="s">
        <v>592</v>
      </c>
      <c r="K2780" s="24" t="s">
        <v>602</v>
      </c>
    </row>
    <row r="2781" spans="1:11">
      <c r="A2781" s="12">
        <v>2021</v>
      </c>
      <c r="B2781" s="15" t="s">
        <v>160</v>
      </c>
      <c r="C2781" s="15" t="s">
        <v>239</v>
      </c>
      <c r="D2781" s="15" t="s">
        <v>240</v>
      </c>
      <c r="E2781" s="19">
        <v>205148</v>
      </c>
      <c r="F2781" s="19">
        <v>170858</v>
      </c>
      <c r="G2781" s="20">
        <f t="shared" si="43"/>
        <v>0.45440232336718034</v>
      </c>
      <c r="H2781" s="24" t="s">
        <v>589</v>
      </c>
      <c r="I2781" s="24" t="s">
        <v>591</v>
      </c>
      <c r="J2781" s="24" t="s">
        <v>592</v>
      </c>
      <c r="K2781" s="24" t="s">
        <v>602</v>
      </c>
    </row>
    <row r="2782" spans="1:11">
      <c r="A2782" s="12">
        <v>2021</v>
      </c>
      <c r="B2782" s="15" t="s">
        <v>160</v>
      </c>
      <c r="C2782" s="15" t="s">
        <v>241</v>
      </c>
      <c r="D2782" s="15" t="s">
        <v>242</v>
      </c>
      <c r="E2782" s="19">
        <v>109525</v>
      </c>
      <c r="F2782" s="19">
        <v>135548</v>
      </c>
      <c r="G2782" s="20">
        <f t="shared" si="43"/>
        <v>0.5530923439138542</v>
      </c>
      <c r="H2782" s="24" t="s">
        <v>589</v>
      </c>
      <c r="I2782" s="24" t="s">
        <v>591</v>
      </c>
      <c r="J2782" s="24" t="s">
        <v>592</v>
      </c>
      <c r="K2782" s="24" t="s">
        <v>602</v>
      </c>
    </row>
    <row r="2783" spans="1:11">
      <c r="A2783" s="12">
        <v>2021</v>
      </c>
      <c r="B2783" s="15" t="s">
        <v>160</v>
      </c>
      <c r="C2783" s="15" t="s">
        <v>243</v>
      </c>
      <c r="D2783" s="15" t="s">
        <v>244</v>
      </c>
      <c r="E2783" s="19">
        <v>392539</v>
      </c>
      <c r="F2783" s="19">
        <v>227899</v>
      </c>
      <c r="G2783" s="20">
        <f t="shared" si="43"/>
        <v>0.36731953877744433</v>
      </c>
      <c r="H2783" s="24" t="s">
        <v>589</v>
      </c>
      <c r="I2783" s="24" t="s">
        <v>596</v>
      </c>
      <c r="J2783" s="24" t="s">
        <v>597</v>
      </c>
      <c r="K2783" s="24" t="s">
        <v>602</v>
      </c>
    </row>
    <row r="2784" spans="1:11">
      <c r="A2784" s="12">
        <v>2021</v>
      </c>
      <c r="B2784" s="15" t="s">
        <v>160</v>
      </c>
      <c r="C2784" s="15" t="s">
        <v>245</v>
      </c>
      <c r="D2784" s="15" t="s">
        <v>246</v>
      </c>
      <c r="E2784" s="19">
        <v>192789</v>
      </c>
      <c r="F2784" s="19">
        <v>114776</v>
      </c>
      <c r="G2784" s="20">
        <f t="shared" si="43"/>
        <v>0.37317640173621835</v>
      </c>
      <c r="H2784" s="24" t="s">
        <v>589</v>
      </c>
      <c r="I2784" s="24" t="s">
        <v>591</v>
      </c>
      <c r="J2784" s="24" t="s">
        <v>592</v>
      </c>
      <c r="K2784" s="24" t="s">
        <v>602</v>
      </c>
    </row>
    <row r="2785" spans="1:11">
      <c r="A2785" s="12">
        <v>2021</v>
      </c>
      <c r="B2785" s="15" t="s">
        <v>160</v>
      </c>
      <c r="C2785" s="15" t="s">
        <v>247</v>
      </c>
      <c r="D2785" s="15" t="s">
        <v>248</v>
      </c>
      <c r="E2785" s="19">
        <v>397093</v>
      </c>
      <c r="F2785" s="19">
        <v>285181</v>
      </c>
      <c r="G2785" s="20">
        <f t="shared" si="43"/>
        <v>0.41798602907336346</v>
      </c>
      <c r="H2785" s="24" t="s">
        <v>589</v>
      </c>
      <c r="I2785" s="24" t="s">
        <v>591</v>
      </c>
      <c r="J2785" s="24" t="s">
        <v>592</v>
      </c>
      <c r="K2785" s="24" t="s">
        <v>602</v>
      </c>
    </row>
    <row r="2786" spans="1:11">
      <c r="A2786" s="12">
        <v>2021</v>
      </c>
      <c r="B2786" s="15" t="s">
        <v>160</v>
      </c>
      <c r="C2786" s="15" t="s">
        <v>249</v>
      </c>
      <c r="D2786" s="15" t="s">
        <v>250</v>
      </c>
      <c r="E2786" s="19">
        <v>503009</v>
      </c>
      <c r="F2786" s="19">
        <v>275468</v>
      </c>
      <c r="G2786" s="20">
        <f t="shared" si="43"/>
        <v>0.35385502718770112</v>
      </c>
      <c r="H2786" s="24" t="s">
        <v>589</v>
      </c>
      <c r="I2786" s="24" t="s">
        <v>591</v>
      </c>
      <c r="J2786" s="24" t="s">
        <v>592</v>
      </c>
      <c r="K2786" s="24" t="s">
        <v>602</v>
      </c>
    </row>
    <row r="2787" spans="1:11">
      <c r="A2787" s="12">
        <v>2021</v>
      </c>
      <c r="B2787" s="15" t="s">
        <v>160</v>
      </c>
      <c r="C2787" s="15" t="s">
        <v>251</v>
      </c>
      <c r="D2787" s="15" t="s">
        <v>252</v>
      </c>
      <c r="E2787" s="19">
        <v>122539</v>
      </c>
      <c r="F2787" s="19">
        <v>93773</v>
      </c>
      <c r="G2787" s="20">
        <f t="shared" si="43"/>
        <v>0.43350808092015236</v>
      </c>
      <c r="H2787" s="24" t="s">
        <v>589</v>
      </c>
      <c r="I2787" s="24" t="s">
        <v>591</v>
      </c>
      <c r="J2787" s="24" t="s">
        <v>592</v>
      </c>
      <c r="K2787" s="24" t="s">
        <v>602</v>
      </c>
    </row>
    <row r="2788" spans="1:11">
      <c r="A2788" s="12">
        <v>2021</v>
      </c>
      <c r="B2788" s="15" t="s">
        <v>160</v>
      </c>
      <c r="C2788" s="15" t="s">
        <v>253</v>
      </c>
      <c r="D2788" s="15" t="s">
        <v>254</v>
      </c>
      <c r="E2788" s="19">
        <v>229283</v>
      </c>
      <c r="F2788" s="19">
        <v>228034</v>
      </c>
      <c r="G2788" s="20">
        <f t="shared" si="43"/>
        <v>0.49863442644817491</v>
      </c>
      <c r="H2788" s="24" t="s">
        <v>589</v>
      </c>
      <c r="I2788" s="24" t="s">
        <v>591</v>
      </c>
      <c r="J2788" s="24" t="s">
        <v>592</v>
      </c>
      <c r="K2788" s="24" t="s">
        <v>602</v>
      </c>
    </row>
    <row r="2789" spans="1:11">
      <c r="A2789" s="12">
        <v>2021</v>
      </c>
      <c r="B2789" s="15" t="s">
        <v>160</v>
      </c>
      <c r="C2789" s="15" t="s">
        <v>255</v>
      </c>
      <c r="D2789" s="15" t="s">
        <v>256</v>
      </c>
      <c r="E2789" s="19">
        <v>763914</v>
      </c>
      <c r="F2789" s="19">
        <v>557983</v>
      </c>
      <c r="G2789" s="20">
        <f t="shared" si="43"/>
        <v>0.42210777390371562</v>
      </c>
      <c r="H2789" s="24" t="s">
        <v>589</v>
      </c>
      <c r="I2789" s="24" t="s">
        <v>591</v>
      </c>
      <c r="J2789" s="24" t="s">
        <v>592</v>
      </c>
      <c r="K2789" s="24" t="s">
        <v>602</v>
      </c>
    </row>
    <row r="2790" spans="1:11">
      <c r="A2790" s="12">
        <v>2021</v>
      </c>
      <c r="B2790" s="15" t="s">
        <v>257</v>
      </c>
      <c r="C2790" s="15" t="s">
        <v>22</v>
      </c>
      <c r="D2790" s="15" t="s">
        <v>257</v>
      </c>
      <c r="E2790" s="19">
        <v>1360998</v>
      </c>
      <c r="F2790" s="19">
        <v>420664</v>
      </c>
      <c r="G2790" s="20">
        <f t="shared" si="43"/>
        <v>0.23610763433243792</v>
      </c>
      <c r="H2790" s="24" t="s">
        <v>589</v>
      </c>
      <c r="I2790" s="24" t="s">
        <v>591</v>
      </c>
      <c r="J2790" s="24" t="s">
        <v>592</v>
      </c>
      <c r="K2790" s="24" t="s">
        <v>602</v>
      </c>
    </row>
    <row r="2791" spans="1:11">
      <c r="A2791" s="12">
        <v>2021</v>
      </c>
      <c r="B2791" s="15" t="s">
        <v>257</v>
      </c>
      <c r="C2791" s="15" t="s">
        <v>258</v>
      </c>
      <c r="D2791" s="15" t="s">
        <v>259</v>
      </c>
      <c r="E2791" s="19">
        <v>188239</v>
      </c>
      <c r="F2791" s="19">
        <v>52855</v>
      </c>
      <c r="G2791" s="20">
        <f t="shared" si="43"/>
        <v>0.21922984396127651</v>
      </c>
      <c r="H2791" s="24" t="s">
        <v>589</v>
      </c>
      <c r="I2791" s="24" t="s">
        <v>591</v>
      </c>
      <c r="J2791" s="24" t="s">
        <v>592</v>
      </c>
      <c r="K2791" s="24" t="s">
        <v>602</v>
      </c>
    </row>
    <row r="2792" spans="1:11">
      <c r="A2792" s="12">
        <v>2021</v>
      </c>
      <c r="B2792" s="15" t="s">
        <v>257</v>
      </c>
      <c r="C2792" s="15" t="s">
        <v>260</v>
      </c>
      <c r="D2792" s="15" t="s">
        <v>261</v>
      </c>
      <c r="E2792" s="19">
        <v>14609</v>
      </c>
      <c r="F2792" s="19">
        <v>23297</v>
      </c>
      <c r="G2792" s="20">
        <f t="shared" si="43"/>
        <v>0.61459927188307917</v>
      </c>
      <c r="H2792" s="24" t="s">
        <v>589</v>
      </c>
      <c r="I2792" s="24" t="s">
        <v>591</v>
      </c>
      <c r="J2792" s="24" t="s">
        <v>592</v>
      </c>
      <c r="K2792" s="24" t="s">
        <v>602</v>
      </c>
    </row>
    <row r="2793" spans="1:11">
      <c r="A2793" s="12">
        <v>2021</v>
      </c>
      <c r="B2793" s="15" t="s">
        <v>257</v>
      </c>
      <c r="C2793" s="15" t="s">
        <v>262</v>
      </c>
      <c r="D2793" s="15" t="s">
        <v>263</v>
      </c>
      <c r="E2793" s="19">
        <v>77633</v>
      </c>
      <c r="F2793" s="19">
        <v>44114</v>
      </c>
      <c r="G2793" s="20">
        <f t="shared" si="43"/>
        <v>0.36234157720518778</v>
      </c>
      <c r="H2793" s="24" t="s">
        <v>589</v>
      </c>
      <c r="I2793" s="24" t="s">
        <v>591</v>
      </c>
      <c r="J2793" s="24" t="s">
        <v>592</v>
      </c>
      <c r="K2793" s="24" t="s">
        <v>602</v>
      </c>
    </row>
    <row r="2794" spans="1:11">
      <c r="A2794" s="12">
        <v>2021</v>
      </c>
      <c r="B2794" s="15" t="s">
        <v>257</v>
      </c>
      <c r="C2794" s="15" t="s">
        <v>264</v>
      </c>
      <c r="D2794" s="15" t="s">
        <v>265</v>
      </c>
      <c r="E2794" s="19">
        <v>52865</v>
      </c>
      <c r="F2794" s="19">
        <v>37667</v>
      </c>
      <c r="G2794" s="20">
        <f t="shared" si="43"/>
        <v>0.41606282861308708</v>
      </c>
      <c r="H2794" s="24" t="s">
        <v>589</v>
      </c>
      <c r="I2794" s="24" t="s">
        <v>591</v>
      </c>
      <c r="J2794" s="24" t="s">
        <v>592</v>
      </c>
      <c r="K2794" s="24" t="s">
        <v>602</v>
      </c>
    </row>
    <row r="2795" spans="1:11">
      <c r="A2795" s="12">
        <v>2021</v>
      </c>
      <c r="B2795" s="15" t="s">
        <v>257</v>
      </c>
      <c r="C2795" s="15" t="s">
        <v>266</v>
      </c>
      <c r="D2795" s="15" t="s">
        <v>267</v>
      </c>
      <c r="E2795" s="19">
        <v>71162</v>
      </c>
      <c r="F2795" s="19">
        <v>37821</v>
      </c>
      <c r="G2795" s="20">
        <f t="shared" si="43"/>
        <v>0.34703577622197956</v>
      </c>
      <c r="H2795" s="24" t="s">
        <v>589</v>
      </c>
      <c r="I2795" s="24" t="s">
        <v>591</v>
      </c>
      <c r="J2795" s="24" t="s">
        <v>592</v>
      </c>
      <c r="K2795" s="24" t="s">
        <v>602</v>
      </c>
    </row>
    <row r="2796" spans="1:11">
      <c r="A2796" s="12">
        <v>2021</v>
      </c>
      <c r="B2796" s="15" t="s">
        <v>257</v>
      </c>
      <c r="C2796" s="15" t="s">
        <v>268</v>
      </c>
      <c r="D2796" s="15" t="s">
        <v>269</v>
      </c>
      <c r="E2796" s="19">
        <v>16688</v>
      </c>
      <c r="F2796" s="19">
        <v>16730</v>
      </c>
      <c r="G2796" s="20">
        <f t="shared" si="43"/>
        <v>0.50062840385421026</v>
      </c>
      <c r="H2796" s="24" t="s">
        <v>589</v>
      </c>
      <c r="I2796" s="24" t="s">
        <v>591</v>
      </c>
      <c r="J2796" s="24" t="s">
        <v>592</v>
      </c>
      <c r="K2796" s="24" t="s">
        <v>602</v>
      </c>
    </row>
    <row r="2797" spans="1:11">
      <c r="A2797" s="12">
        <v>2021</v>
      </c>
      <c r="B2797" s="15" t="s">
        <v>257</v>
      </c>
      <c r="C2797" s="15" t="s">
        <v>270</v>
      </c>
      <c r="D2797" s="15" t="s">
        <v>271</v>
      </c>
      <c r="E2797" s="19">
        <v>17516</v>
      </c>
      <c r="F2797" s="19">
        <v>23046</v>
      </c>
      <c r="G2797" s="20">
        <f t="shared" si="43"/>
        <v>0.56816725013559488</v>
      </c>
      <c r="H2797" s="24" t="s">
        <v>589</v>
      </c>
      <c r="I2797" s="24" t="s">
        <v>591</v>
      </c>
      <c r="J2797" s="24" t="s">
        <v>592</v>
      </c>
      <c r="K2797" s="24" t="s">
        <v>602</v>
      </c>
    </row>
    <row r="2798" spans="1:11">
      <c r="A2798" s="12">
        <v>2021</v>
      </c>
      <c r="B2798" s="15" t="s">
        <v>257</v>
      </c>
      <c r="C2798" s="15" t="s">
        <v>272</v>
      </c>
      <c r="D2798" s="15" t="s">
        <v>273</v>
      </c>
      <c r="E2798" s="19">
        <v>27591</v>
      </c>
      <c r="F2798" s="19">
        <v>27760</v>
      </c>
      <c r="G2798" s="20">
        <f t="shared" si="43"/>
        <v>0.50152662101859047</v>
      </c>
      <c r="H2798" s="24" t="s">
        <v>589</v>
      </c>
      <c r="I2798" s="24" t="s">
        <v>591</v>
      </c>
      <c r="J2798" s="24" t="s">
        <v>592</v>
      </c>
      <c r="K2798" s="24" t="s">
        <v>602</v>
      </c>
    </row>
    <row r="2799" spans="1:11">
      <c r="A2799" s="12">
        <v>2021</v>
      </c>
      <c r="B2799" s="15" t="s">
        <v>257</v>
      </c>
      <c r="C2799" s="15" t="s">
        <v>274</v>
      </c>
      <c r="D2799" s="15" t="s">
        <v>275</v>
      </c>
      <c r="E2799" s="19">
        <v>317059</v>
      </c>
      <c r="F2799" s="19">
        <v>98626</v>
      </c>
      <c r="G2799" s="20">
        <f t="shared" si="43"/>
        <v>0.23726138782972683</v>
      </c>
      <c r="H2799" s="24" t="s">
        <v>589</v>
      </c>
      <c r="I2799" s="24" t="s">
        <v>591</v>
      </c>
      <c r="J2799" s="24" t="s">
        <v>592</v>
      </c>
      <c r="K2799" s="24" t="s">
        <v>602</v>
      </c>
    </row>
    <row r="2800" spans="1:11">
      <c r="A2800" s="12">
        <v>2021</v>
      </c>
      <c r="B2800" s="15" t="s">
        <v>257</v>
      </c>
      <c r="C2800" s="15" t="s">
        <v>276</v>
      </c>
      <c r="D2800" s="15" t="s">
        <v>277</v>
      </c>
      <c r="E2800" s="19">
        <v>23578</v>
      </c>
      <c r="F2800" s="19">
        <v>24910</v>
      </c>
      <c r="G2800" s="20">
        <f t="shared" si="43"/>
        <v>0.51373535720178187</v>
      </c>
      <c r="H2800" s="24" t="s">
        <v>589</v>
      </c>
      <c r="I2800" s="24" t="s">
        <v>591</v>
      </c>
      <c r="J2800" s="24" t="s">
        <v>592</v>
      </c>
      <c r="K2800" s="24" t="s">
        <v>602</v>
      </c>
    </row>
    <row r="2801" spans="1:11">
      <c r="A2801" s="12">
        <v>2021</v>
      </c>
      <c r="B2801" s="15" t="s">
        <v>257</v>
      </c>
      <c r="C2801" s="15" t="s">
        <v>278</v>
      </c>
      <c r="D2801" s="15" t="s">
        <v>279</v>
      </c>
      <c r="E2801" s="19">
        <v>23793</v>
      </c>
      <c r="F2801" s="19">
        <v>28046</v>
      </c>
      <c r="G2801" s="20">
        <f t="shared" si="43"/>
        <v>0.5410212388356257</v>
      </c>
      <c r="H2801" s="24" t="s">
        <v>589</v>
      </c>
      <c r="I2801" s="24" t="s">
        <v>591</v>
      </c>
      <c r="J2801" s="24" t="s">
        <v>592</v>
      </c>
      <c r="K2801" s="24" t="s">
        <v>602</v>
      </c>
    </row>
    <row r="2802" spans="1:11">
      <c r="A2802" s="12">
        <v>2021</v>
      </c>
      <c r="B2802" s="15" t="s">
        <v>257</v>
      </c>
      <c r="C2802" s="15" t="s">
        <v>280</v>
      </c>
      <c r="D2802" s="15" t="s">
        <v>281</v>
      </c>
      <c r="E2802" s="19">
        <v>35042</v>
      </c>
      <c r="F2802" s="19">
        <v>30319</v>
      </c>
      <c r="G2802" s="20">
        <f t="shared" si="43"/>
        <v>0.46386989183152033</v>
      </c>
      <c r="H2802" s="24" t="s">
        <v>589</v>
      </c>
      <c r="I2802" s="24" t="s">
        <v>591</v>
      </c>
      <c r="J2802" s="24" t="s">
        <v>592</v>
      </c>
      <c r="K2802" s="24" t="s">
        <v>602</v>
      </c>
    </row>
    <row r="2803" spans="1:11">
      <c r="A2803" s="12">
        <v>2021</v>
      </c>
      <c r="B2803" s="15" t="s">
        <v>257</v>
      </c>
      <c r="C2803" s="15" t="s">
        <v>282</v>
      </c>
      <c r="D2803" s="15" t="s">
        <v>283</v>
      </c>
      <c r="E2803" s="19">
        <v>255816</v>
      </c>
      <c r="F2803" s="19">
        <v>74747</v>
      </c>
      <c r="G2803" s="20">
        <f t="shared" si="43"/>
        <v>0.2261202856944062</v>
      </c>
      <c r="H2803" s="24" t="s">
        <v>589</v>
      </c>
      <c r="I2803" s="24" t="s">
        <v>591</v>
      </c>
      <c r="J2803" s="24" t="s">
        <v>592</v>
      </c>
      <c r="K2803" s="24" t="s">
        <v>602</v>
      </c>
    </row>
    <row r="2804" spans="1:11">
      <c r="A2804" s="12">
        <v>2021</v>
      </c>
      <c r="B2804" s="15" t="s">
        <v>257</v>
      </c>
      <c r="C2804" s="15" t="s">
        <v>284</v>
      </c>
      <c r="D2804" s="15" t="s">
        <v>285</v>
      </c>
      <c r="E2804" s="19">
        <v>34159</v>
      </c>
      <c r="F2804" s="19">
        <v>24155</v>
      </c>
      <c r="G2804" s="20">
        <f t="shared" si="43"/>
        <v>0.41422299962273212</v>
      </c>
      <c r="H2804" s="24" t="s">
        <v>589</v>
      </c>
      <c r="I2804" s="24" t="s">
        <v>591</v>
      </c>
      <c r="J2804" s="24" t="s">
        <v>592</v>
      </c>
      <c r="K2804" s="24" t="s">
        <v>602</v>
      </c>
    </row>
    <row r="2805" spans="1:11">
      <c r="A2805" s="12">
        <v>2021</v>
      </c>
      <c r="B2805" s="15" t="s">
        <v>257</v>
      </c>
      <c r="C2805" s="15" t="s">
        <v>286</v>
      </c>
      <c r="D2805" s="15" t="s">
        <v>287</v>
      </c>
      <c r="E2805" s="19">
        <v>29267</v>
      </c>
      <c r="F2805" s="19">
        <v>32537</v>
      </c>
      <c r="G2805" s="20">
        <f t="shared" si="43"/>
        <v>0.52645459840787001</v>
      </c>
      <c r="H2805" s="24" t="s">
        <v>589</v>
      </c>
      <c r="I2805" s="24" t="s">
        <v>591</v>
      </c>
      <c r="J2805" s="24" t="s">
        <v>592</v>
      </c>
      <c r="K2805" s="24" t="s">
        <v>602</v>
      </c>
    </row>
    <row r="2806" spans="1:11">
      <c r="A2806" s="12">
        <v>2021</v>
      </c>
      <c r="B2806" s="15" t="s">
        <v>257</v>
      </c>
      <c r="C2806" s="15" t="s">
        <v>288</v>
      </c>
      <c r="D2806" s="15" t="s">
        <v>289</v>
      </c>
      <c r="E2806" s="19">
        <v>53636</v>
      </c>
      <c r="F2806" s="19">
        <v>44054</v>
      </c>
      <c r="G2806" s="20">
        <f t="shared" si="43"/>
        <v>0.45095710922305249</v>
      </c>
      <c r="H2806" s="24" t="s">
        <v>589</v>
      </c>
      <c r="I2806" s="24" t="s">
        <v>591</v>
      </c>
      <c r="J2806" s="24" t="s">
        <v>592</v>
      </c>
      <c r="K2806" s="24" t="s">
        <v>602</v>
      </c>
    </row>
    <row r="2807" spans="1:11">
      <c r="A2807" s="12">
        <v>2021</v>
      </c>
      <c r="B2807" s="15" t="s">
        <v>257</v>
      </c>
      <c r="C2807" s="15" t="s">
        <v>290</v>
      </c>
      <c r="D2807" s="15" t="s">
        <v>291</v>
      </c>
      <c r="E2807" s="19">
        <v>17333</v>
      </c>
      <c r="F2807" s="19">
        <v>19945</v>
      </c>
      <c r="G2807" s="20">
        <f t="shared" si="43"/>
        <v>0.5350340683513064</v>
      </c>
      <c r="H2807" s="24" t="s">
        <v>589</v>
      </c>
      <c r="I2807" s="24" t="s">
        <v>591</v>
      </c>
      <c r="J2807" s="24" t="s">
        <v>592</v>
      </c>
      <c r="K2807" s="24" t="s">
        <v>602</v>
      </c>
    </row>
    <row r="2808" spans="1:11">
      <c r="A2808" s="12">
        <v>2021</v>
      </c>
      <c r="B2808" s="15" t="s">
        <v>257</v>
      </c>
      <c r="C2808" s="15" t="s">
        <v>292</v>
      </c>
      <c r="D2808" s="15" t="s">
        <v>293</v>
      </c>
      <c r="E2808" s="19">
        <v>34572</v>
      </c>
      <c r="F2808" s="19">
        <v>35487</v>
      </c>
      <c r="G2808" s="20">
        <f t="shared" si="43"/>
        <v>0.50653021025135958</v>
      </c>
      <c r="H2808" s="24" t="s">
        <v>589</v>
      </c>
      <c r="I2808" s="24" t="s">
        <v>591</v>
      </c>
      <c r="J2808" s="24" t="s">
        <v>592</v>
      </c>
      <c r="K2808" s="24" t="s">
        <v>602</v>
      </c>
    </row>
    <row r="2809" spans="1:11">
      <c r="A2809" s="12">
        <v>2021</v>
      </c>
      <c r="B2809" s="15" t="s">
        <v>294</v>
      </c>
      <c r="C2809" s="15" t="s">
        <v>22</v>
      </c>
      <c r="D2809" s="15" t="s">
        <v>294</v>
      </c>
      <c r="E2809" s="19">
        <v>1455207</v>
      </c>
      <c r="F2809" s="19">
        <v>476148</v>
      </c>
      <c r="G2809" s="20">
        <f t="shared" si="43"/>
        <v>0.24653572232965976</v>
      </c>
      <c r="H2809" s="24" t="s">
        <v>586</v>
      </c>
      <c r="I2809" s="24" t="s">
        <v>608</v>
      </c>
      <c r="J2809" s="24" t="s">
        <v>609</v>
      </c>
      <c r="K2809" s="24" t="s">
        <v>602</v>
      </c>
    </row>
    <row r="2810" spans="1:11">
      <c r="A2810" s="12">
        <v>2021</v>
      </c>
      <c r="B2810" s="15" t="s">
        <v>294</v>
      </c>
      <c r="C2810" s="15" t="s">
        <v>295</v>
      </c>
      <c r="D2810" s="15" t="s">
        <v>296</v>
      </c>
      <c r="E2810" s="19">
        <v>23806</v>
      </c>
      <c r="F2810" s="19">
        <v>32134</v>
      </c>
      <c r="G2810" s="20">
        <f t="shared" si="43"/>
        <v>0.57443689667500897</v>
      </c>
      <c r="H2810" s="24" t="s">
        <v>586</v>
      </c>
      <c r="I2810" s="24" t="s">
        <v>608</v>
      </c>
      <c r="J2810" s="24" t="s">
        <v>609</v>
      </c>
      <c r="K2810" s="24" t="s">
        <v>602</v>
      </c>
    </row>
    <row r="2811" spans="1:11">
      <c r="A2811" s="12">
        <v>2021</v>
      </c>
      <c r="B2811" s="15" t="s">
        <v>294</v>
      </c>
      <c r="C2811" s="15" t="s">
        <v>297</v>
      </c>
      <c r="D2811" s="15" t="s">
        <v>298</v>
      </c>
      <c r="E2811" s="19">
        <v>19915</v>
      </c>
      <c r="F2811" s="19">
        <v>23017</v>
      </c>
      <c r="G2811" s="20">
        <f t="shared" si="43"/>
        <v>0.53612689835088045</v>
      </c>
      <c r="H2811" s="24" t="s">
        <v>586</v>
      </c>
      <c r="I2811" s="24" t="s">
        <v>608</v>
      </c>
      <c r="J2811" s="24" t="s">
        <v>609</v>
      </c>
      <c r="K2811" s="24" t="s">
        <v>602</v>
      </c>
    </row>
    <row r="2812" spans="1:11">
      <c r="A2812" s="12">
        <v>2021</v>
      </c>
      <c r="B2812" s="15" t="s">
        <v>294</v>
      </c>
      <c r="C2812" s="15" t="s">
        <v>299</v>
      </c>
      <c r="D2812" s="15" t="s">
        <v>300</v>
      </c>
      <c r="E2812" s="19">
        <v>25341</v>
      </c>
      <c r="F2812" s="19">
        <v>23192</v>
      </c>
      <c r="G2812" s="20">
        <f t="shared" si="43"/>
        <v>0.47786042486555541</v>
      </c>
      <c r="H2812" s="24" t="s">
        <v>586</v>
      </c>
      <c r="I2812" s="24" t="s">
        <v>608</v>
      </c>
      <c r="J2812" s="24" t="s">
        <v>609</v>
      </c>
      <c r="K2812" s="24" t="s">
        <v>602</v>
      </c>
    </row>
    <row r="2813" spans="1:11">
      <c r="A2813" s="12">
        <v>2021</v>
      </c>
      <c r="B2813" s="15" t="s">
        <v>294</v>
      </c>
      <c r="C2813" s="15" t="s">
        <v>301</v>
      </c>
      <c r="D2813" s="15" t="s">
        <v>302</v>
      </c>
      <c r="E2813" s="19">
        <v>37235</v>
      </c>
      <c r="F2813" s="19">
        <v>30832</v>
      </c>
      <c r="G2813" s="20">
        <f t="shared" si="43"/>
        <v>0.45296546050215231</v>
      </c>
      <c r="H2813" s="24" t="s">
        <v>586</v>
      </c>
      <c r="I2813" s="24" t="s">
        <v>608</v>
      </c>
      <c r="J2813" s="24" t="s">
        <v>609</v>
      </c>
      <c r="K2813" s="24" t="s">
        <v>602</v>
      </c>
    </row>
    <row r="2814" spans="1:11">
      <c r="A2814" s="12">
        <v>2021</v>
      </c>
      <c r="B2814" s="15" t="s">
        <v>294</v>
      </c>
      <c r="C2814" s="15" t="s">
        <v>303</v>
      </c>
      <c r="D2814" s="15" t="s">
        <v>304</v>
      </c>
      <c r="E2814" s="19">
        <v>41108</v>
      </c>
      <c r="F2814" s="19">
        <v>35140</v>
      </c>
      <c r="G2814" s="20">
        <f t="shared" si="43"/>
        <v>0.46086454726681353</v>
      </c>
      <c r="H2814" s="24" t="s">
        <v>586</v>
      </c>
      <c r="I2814" s="24" t="s">
        <v>608</v>
      </c>
      <c r="J2814" s="24" t="s">
        <v>609</v>
      </c>
      <c r="K2814" s="24" t="s">
        <v>602</v>
      </c>
    </row>
    <row r="2815" spans="1:11">
      <c r="A2815" s="12">
        <v>2021</v>
      </c>
      <c r="B2815" s="15" t="s">
        <v>294</v>
      </c>
      <c r="C2815" s="15" t="s">
        <v>305</v>
      </c>
      <c r="D2815" s="15" t="s">
        <v>306</v>
      </c>
      <c r="E2815" s="19">
        <v>78521</v>
      </c>
      <c r="F2815" s="19">
        <v>70862</v>
      </c>
      <c r="G2815" s="20">
        <f t="shared" si="43"/>
        <v>0.47436455286076729</v>
      </c>
      <c r="H2815" s="24" t="s">
        <v>586</v>
      </c>
      <c r="I2815" s="24" t="s">
        <v>608</v>
      </c>
      <c r="J2815" s="24" t="s">
        <v>609</v>
      </c>
      <c r="K2815" s="24" t="s">
        <v>602</v>
      </c>
    </row>
    <row r="2816" spans="1:11">
      <c r="A2816" s="12">
        <v>2021</v>
      </c>
      <c r="B2816" s="15" t="s">
        <v>294</v>
      </c>
      <c r="C2816" s="15" t="s">
        <v>307</v>
      </c>
      <c r="D2816" s="15" t="s">
        <v>308</v>
      </c>
      <c r="E2816" s="19">
        <v>116161</v>
      </c>
      <c r="F2816" s="19">
        <v>56661</v>
      </c>
      <c r="G2816" s="20">
        <f t="shared" si="43"/>
        <v>0.32785756443045444</v>
      </c>
      <c r="H2816" s="24" t="s">
        <v>586</v>
      </c>
      <c r="I2816" s="24" t="s">
        <v>608</v>
      </c>
      <c r="J2816" s="24" t="s">
        <v>609</v>
      </c>
      <c r="K2816" s="24" t="s">
        <v>602</v>
      </c>
    </row>
    <row r="2817" spans="1:11">
      <c r="A2817" s="12">
        <v>2021</v>
      </c>
      <c r="B2817" s="15" t="s">
        <v>294</v>
      </c>
      <c r="C2817" s="15" t="s">
        <v>309</v>
      </c>
      <c r="D2817" s="15" t="s">
        <v>310</v>
      </c>
      <c r="E2817" s="19">
        <v>29857</v>
      </c>
      <c r="F2817" s="19">
        <v>25910</v>
      </c>
      <c r="G2817" s="20">
        <f t="shared" si="43"/>
        <v>0.46461168791579249</v>
      </c>
      <c r="H2817" s="24" t="s">
        <v>586</v>
      </c>
      <c r="I2817" s="24" t="s">
        <v>608</v>
      </c>
      <c r="J2817" s="24" t="s">
        <v>609</v>
      </c>
      <c r="K2817" s="24" t="s">
        <v>602</v>
      </c>
    </row>
    <row r="2818" spans="1:11">
      <c r="A2818" s="12">
        <v>2021</v>
      </c>
      <c r="B2818" s="15" t="s">
        <v>294</v>
      </c>
      <c r="C2818" s="15" t="s">
        <v>311</v>
      </c>
      <c r="D2818" s="15" t="s">
        <v>312</v>
      </c>
      <c r="E2818" s="19">
        <v>72152</v>
      </c>
      <c r="F2818" s="19">
        <v>60571</v>
      </c>
      <c r="G2818" s="20">
        <f t="shared" si="43"/>
        <v>0.45637154072768094</v>
      </c>
      <c r="H2818" s="24" t="s">
        <v>586</v>
      </c>
      <c r="I2818" s="24" t="s">
        <v>608</v>
      </c>
      <c r="J2818" s="24" t="s">
        <v>609</v>
      </c>
      <c r="K2818" s="24" t="s">
        <v>602</v>
      </c>
    </row>
    <row r="2819" spans="1:11">
      <c r="A2819" s="12">
        <v>2021</v>
      </c>
      <c r="B2819" s="15" t="s">
        <v>294</v>
      </c>
      <c r="C2819" s="15" t="s">
        <v>315</v>
      </c>
      <c r="D2819" s="15" t="s">
        <v>316</v>
      </c>
      <c r="E2819" s="19">
        <v>159663</v>
      </c>
      <c r="F2819" s="19">
        <v>133000</v>
      </c>
      <c r="G2819" s="20">
        <f t="shared" si="43"/>
        <v>0.45444760697457487</v>
      </c>
      <c r="H2819" s="24" t="s">
        <v>586</v>
      </c>
      <c r="I2819" s="24" t="s">
        <v>608</v>
      </c>
      <c r="J2819" s="24" t="s">
        <v>609</v>
      </c>
      <c r="K2819" s="24" t="s">
        <v>602</v>
      </c>
    </row>
    <row r="2820" spans="1:11">
      <c r="A2820" s="12">
        <v>2021</v>
      </c>
      <c r="B2820" s="15" t="s">
        <v>294</v>
      </c>
      <c r="C2820" s="15" t="s">
        <v>317</v>
      </c>
      <c r="D2820" s="15" t="s">
        <v>318</v>
      </c>
      <c r="E2820" s="19">
        <v>150232</v>
      </c>
      <c r="F2820" s="19">
        <v>150043</v>
      </c>
      <c r="G2820" s="20">
        <f t="shared" si="43"/>
        <v>0.49968528848555493</v>
      </c>
      <c r="H2820" s="24" t="s">
        <v>586</v>
      </c>
      <c r="I2820" s="24" t="s">
        <v>608</v>
      </c>
      <c r="J2820" s="24" t="s">
        <v>609</v>
      </c>
      <c r="K2820" s="24" t="s">
        <v>602</v>
      </c>
    </row>
    <row r="2821" spans="1:11">
      <c r="A2821" s="12">
        <v>2021</v>
      </c>
      <c r="B2821" s="15" t="s">
        <v>294</v>
      </c>
      <c r="C2821" s="15" t="s">
        <v>319</v>
      </c>
      <c r="D2821" s="15" t="s">
        <v>320</v>
      </c>
      <c r="E2821" s="19">
        <v>163930</v>
      </c>
      <c r="F2821" s="19">
        <v>126081</v>
      </c>
      <c r="G2821" s="20">
        <f t="shared" si="43"/>
        <v>0.43474557861598351</v>
      </c>
      <c r="H2821" s="24" t="s">
        <v>586</v>
      </c>
      <c r="I2821" s="24" t="s">
        <v>608</v>
      </c>
      <c r="J2821" s="24" t="s">
        <v>609</v>
      </c>
      <c r="K2821" s="24" t="s">
        <v>602</v>
      </c>
    </row>
    <row r="2822" spans="1:11">
      <c r="A2822" s="12">
        <v>2021</v>
      </c>
      <c r="B2822" s="15" t="s">
        <v>294</v>
      </c>
      <c r="C2822" s="15" t="s">
        <v>321</v>
      </c>
      <c r="D2822" s="15" t="s">
        <v>322</v>
      </c>
      <c r="E2822" s="19">
        <v>222249</v>
      </c>
      <c r="F2822" s="19">
        <v>181349</v>
      </c>
      <c r="G2822" s="20">
        <f t="shared" ref="G2822:G2885" si="44">IFERROR(F2822/(E2822+F2822),"")</f>
        <v>0.44933076972631181</v>
      </c>
      <c r="H2822" s="24" t="s">
        <v>586</v>
      </c>
      <c r="I2822" s="24" t="s">
        <v>608</v>
      </c>
      <c r="J2822" s="24" t="s">
        <v>609</v>
      </c>
      <c r="K2822" s="24" t="s">
        <v>602</v>
      </c>
    </row>
    <row r="2823" spans="1:11">
      <c r="A2823" s="12">
        <v>2021</v>
      </c>
      <c r="B2823" s="15" t="s">
        <v>294</v>
      </c>
      <c r="C2823" s="15" t="s">
        <v>323</v>
      </c>
      <c r="D2823" s="15" t="s">
        <v>324</v>
      </c>
      <c r="E2823" s="19">
        <v>189199</v>
      </c>
      <c r="F2823" s="19">
        <v>75150</v>
      </c>
      <c r="G2823" s="20">
        <f t="shared" si="44"/>
        <v>0.28428327703150003</v>
      </c>
      <c r="H2823" s="24" t="s">
        <v>586</v>
      </c>
      <c r="I2823" s="24" t="s">
        <v>608</v>
      </c>
      <c r="J2823" s="24" t="s">
        <v>609</v>
      </c>
      <c r="K2823" s="24" t="s">
        <v>602</v>
      </c>
    </row>
    <row r="2824" spans="1:11">
      <c r="A2824" s="12">
        <v>2021</v>
      </c>
      <c r="B2824" s="15" t="s">
        <v>325</v>
      </c>
      <c r="C2824" s="15" t="s">
        <v>22</v>
      </c>
      <c r="D2824" s="15" t="s">
        <v>325</v>
      </c>
      <c r="E2824" s="19">
        <v>1920672</v>
      </c>
      <c r="F2824" s="19">
        <v>784763</v>
      </c>
      <c r="G2824" s="20">
        <f t="shared" si="44"/>
        <v>0.29006906467906268</v>
      </c>
      <c r="H2824" s="24" t="s">
        <v>586</v>
      </c>
      <c r="I2824" s="24" t="s">
        <v>608</v>
      </c>
      <c r="J2824" s="24" t="s">
        <v>609</v>
      </c>
      <c r="K2824" s="24" t="s">
        <v>602</v>
      </c>
    </row>
    <row r="2825" spans="1:11">
      <c r="A2825" s="12">
        <v>2021</v>
      </c>
      <c r="B2825" s="15" t="s">
        <v>325</v>
      </c>
      <c r="C2825" s="15" t="s">
        <v>326</v>
      </c>
      <c r="D2825" s="15" t="s">
        <v>327</v>
      </c>
      <c r="E2825" s="19">
        <v>32856</v>
      </c>
      <c r="F2825" s="19">
        <v>33015</v>
      </c>
      <c r="G2825" s="20">
        <f t="shared" si="44"/>
        <v>0.50120690440406246</v>
      </c>
      <c r="H2825" s="24" t="s">
        <v>586</v>
      </c>
      <c r="I2825" s="24" t="s">
        <v>608</v>
      </c>
      <c r="J2825" s="24" t="s">
        <v>609</v>
      </c>
      <c r="K2825" s="24" t="s">
        <v>602</v>
      </c>
    </row>
    <row r="2826" spans="1:11">
      <c r="A2826" s="12">
        <v>2021</v>
      </c>
      <c r="B2826" s="15" t="s">
        <v>325</v>
      </c>
      <c r="C2826" s="15" t="s">
        <v>328</v>
      </c>
      <c r="D2826" s="15" t="s">
        <v>329</v>
      </c>
      <c r="E2826" s="19">
        <v>85148</v>
      </c>
      <c r="F2826" s="19">
        <v>64325</v>
      </c>
      <c r="G2826" s="20">
        <f t="shared" si="44"/>
        <v>0.43034527974951997</v>
      </c>
      <c r="H2826" s="24" t="s">
        <v>586</v>
      </c>
      <c r="I2826" s="24" t="s">
        <v>608</v>
      </c>
      <c r="J2826" s="24" t="s">
        <v>609</v>
      </c>
      <c r="K2826" s="24" t="s">
        <v>602</v>
      </c>
    </row>
    <row r="2827" spans="1:11">
      <c r="A2827" s="12">
        <v>2021</v>
      </c>
      <c r="B2827" s="15" t="s">
        <v>325</v>
      </c>
      <c r="C2827" s="15" t="s">
        <v>330</v>
      </c>
      <c r="D2827" s="15" t="s">
        <v>331</v>
      </c>
      <c r="E2827" s="19">
        <v>40724</v>
      </c>
      <c r="F2827" s="19">
        <v>37195</v>
      </c>
      <c r="G2827" s="20">
        <f t="shared" si="44"/>
        <v>0.47735468884354265</v>
      </c>
      <c r="H2827" s="24" t="s">
        <v>586</v>
      </c>
      <c r="I2827" s="24" t="s">
        <v>608</v>
      </c>
      <c r="J2827" s="24" t="s">
        <v>609</v>
      </c>
      <c r="K2827" s="24" t="s">
        <v>602</v>
      </c>
    </row>
    <row r="2828" spans="1:11">
      <c r="A2828" s="12">
        <v>2021</v>
      </c>
      <c r="B2828" s="15" t="s">
        <v>325</v>
      </c>
      <c r="C2828" s="15" t="s">
        <v>332</v>
      </c>
      <c r="D2828" s="15" t="s">
        <v>333</v>
      </c>
      <c r="E2828" s="19">
        <v>98713</v>
      </c>
      <c r="F2828" s="19">
        <v>64143</v>
      </c>
      <c r="G2828" s="20">
        <f t="shared" si="44"/>
        <v>0.39386329026870365</v>
      </c>
      <c r="H2828" s="24" t="s">
        <v>586</v>
      </c>
      <c r="I2828" s="24" t="s">
        <v>608</v>
      </c>
      <c r="J2828" s="24" t="s">
        <v>609</v>
      </c>
      <c r="K2828" s="24" t="s">
        <v>602</v>
      </c>
    </row>
    <row r="2829" spans="1:11">
      <c r="A2829" s="12">
        <v>2021</v>
      </c>
      <c r="B2829" s="15" t="s">
        <v>325</v>
      </c>
      <c r="C2829" s="15" t="s">
        <v>336</v>
      </c>
      <c r="D2829" s="15" t="s">
        <v>337</v>
      </c>
      <c r="E2829" s="19">
        <v>148005</v>
      </c>
      <c r="F2829" s="19">
        <v>84976</v>
      </c>
      <c r="G2829" s="20">
        <f t="shared" si="44"/>
        <v>0.36473360488623535</v>
      </c>
      <c r="H2829" s="24" t="s">
        <v>586</v>
      </c>
      <c r="I2829" s="24" t="s">
        <v>608</v>
      </c>
      <c r="J2829" s="24" t="s">
        <v>609</v>
      </c>
      <c r="K2829" s="24" t="s">
        <v>602</v>
      </c>
    </row>
    <row r="2830" spans="1:11">
      <c r="A2830" s="12">
        <v>2021</v>
      </c>
      <c r="B2830" s="15" t="s">
        <v>325</v>
      </c>
      <c r="C2830" s="15" t="s">
        <v>338</v>
      </c>
      <c r="D2830" s="15" t="s">
        <v>339</v>
      </c>
      <c r="E2830" s="19">
        <v>85840</v>
      </c>
      <c r="F2830" s="19">
        <v>53535</v>
      </c>
      <c r="G2830" s="20">
        <f t="shared" si="44"/>
        <v>0.38410762331838566</v>
      </c>
      <c r="H2830" s="24" t="s">
        <v>586</v>
      </c>
      <c r="I2830" s="24" t="s">
        <v>608</v>
      </c>
      <c r="J2830" s="24" t="s">
        <v>609</v>
      </c>
      <c r="K2830" s="24" t="s">
        <v>602</v>
      </c>
    </row>
    <row r="2831" spans="1:11">
      <c r="A2831" s="12">
        <v>2021</v>
      </c>
      <c r="B2831" s="15" t="s">
        <v>325</v>
      </c>
      <c r="C2831" s="15" t="s">
        <v>340</v>
      </c>
      <c r="D2831" s="15" t="s">
        <v>341</v>
      </c>
      <c r="E2831" s="19">
        <v>51628</v>
      </c>
      <c r="F2831" s="19">
        <v>46078</v>
      </c>
      <c r="G2831" s="20">
        <f t="shared" si="44"/>
        <v>0.47159846887601581</v>
      </c>
      <c r="H2831" s="24" t="s">
        <v>586</v>
      </c>
      <c r="I2831" s="24" t="s">
        <v>608</v>
      </c>
      <c r="J2831" s="24" t="s">
        <v>609</v>
      </c>
      <c r="K2831" s="24" t="s">
        <v>602</v>
      </c>
    </row>
    <row r="2832" spans="1:11">
      <c r="A2832" s="12">
        <v>2021</v>
      </c>
      <c r="B2832" s="15" t="s">
        <v>325</v>
      </c>
      <c r="C2832" s="15" t="s">
        <v>342</v>
      </c>
      <c r="D2832" s="15" t="s">
        <v>343</v>
      </c>
      <c r="E2832" s="19">
        <v>155943</v>
      </c>
      <c r="F2832" s="19">
        <v>83420</v>
      </c>
      <c r="G2832" s="20">
        <f t="shared" si="44"/>
        <v>0.34850833253259694</v>
      </c>
      <c r="H2832" s="24" t="s">
        <v>586</v>
      </c>
      <c r="I2832" s="24" t="s">
        <v>608</v>
      </c>
      <c r="J2832" s="24" t="s">
        <v>609</v>
      </c>
      <c r="K2832" s="24" t="s">
        <v>602</v>
      </c>
    </row>
    <row r="2833" spans="1:11">
      <c r="A2833" s="12">
        <v>2021</v>
      </c>
      <c r="B2833" s="15" t="s">
        <v>325</v>
      </c>
      <c r="C2833" s="15" t="s">
        <v>344</v>
      </c>
      <c r="D2833" s="15" t="s">
        <v>345</v>
      </c>
      <c r="E2833" s="19">
        <v>42848</v>
      </c>
      <c r="F2833" s="19">
        <v>35773</v>
      </c>
      <c r="G2833" s="20">
        <f t="shared" si="44"/>
        <v>0.45500566006537696</v>
      </c>
      <c r="H2833" s="24" t="s">
        <v>586</v>
      </c>
      <c r="I2833" s="24" t="s">
        <v>608</v>
      </c>
      <c r="J2833" s="24" t="s">
        <v>609</v>
      </c>
      <c r="K2833" s="24" t="s">
        <v>602</v>
      </c>
    </row>
    <row r="2834" spans="1:11">
      <c r="A2834" s="12">
        <v>2021</v>
      </c>
      <c r="B2834" s="15" t="s">
        <v>325</v>
      </c>
      <c r="C2834" s="15" t="s">
        <v>346</v>
      </c>
      <c r="D2834" s="15" t="s">
        <v>347</v>
      </c>
      <c r="E2834" s="19">
        <v>277188</v>
      </c>
      <c r="F2834" s="19">
        <v>205237</v>
      </c>
      <c r="G2834" s="20">
        <f t="shared" si="44"/>
        <v>0.42542778670259623</v>
      </c>
      <c r="H2834" s="24" t="s">
        <v>586</v>
      </c>
      <c r="I2834" s="24" t="s">
        <v>608</v>
      </c>
      <c r="J2834" s="24" t="s">
        <v>609</v>
      </c>
      <c r="K2834" s="24" t="s">
        <v>602</v>
      </c>
    </row>
    <row r="2835" spans="1:11">
      <c r="A2835" s="12">
        <v>2021</v>
      </c>
      <c r="B2835" s="15" t="s">
        <v>325</v>
      </c>
      <c r="C2835" s="15" t="s">
        <v>350</v>
      </c>
      <c r="D2835" s="15" t="s">
        <v>351</v>
      </c>
      <c r="E2835" s="19">
        <v>62314</v>
      </c>
      <c r="F2835" s="19">
        <v>52925</v>
      </c>
      <c r="G2835" s="20">
        <f t="shared" si="44"/>
        <v>0.45926292314233896</v>
      </c>
      <c r="H2835" s="24" t="s">
        <v>586</v>
      </c>
      <c r="I2835" s="24" t="s">
        <v>608</v>
      </c>
      <c r="J2835" s="24" t="s">
        <v>609</v>
      </c>
      <c r="K2835" s="24" t="s">
        <v>602</v>
      </c>
    </row>
    <row r="2836" spans="1:11">
      <c r="A2836" s="12">
        <v>2021</v>
      </c>
      <c r="B2836" s="15" t="s">
        <v>325</v>
      </c>
      <c r="C2836" s="15" t="s">
        <v>354</v>
      </c>
      <c r="D2836" s="15" t="s">
        <v>355</v>
      </c>
      <c r="E2836" s="19">
        <v>204087</v>
      </c>
      <c r="F2836" s="19">
        <v>190737</v>
      </c>
      <c r="G2836" s="20">
        <f t="shared" si="44"/>
        <v>0.48309373290377483</v>
      </c>
      <c r="H2836" s="24" t="s">
        <v>586</v>
      </c>
      <c r="I2836" s="24" t="s">
        <v>608</v>
      </c>
      <c r="J2836" s="24" t="s">
        <v>609</v>
      </c>
      <c r="K2836" s="24" t="s">
        <v>602</v>
      </c>
    </row>
    <row r="2837" spans="1:11">
      <c r="A2837" s="12">
        <v>2021</v>
      </c>
      <c r="B2837" s="15" t="s">
        <v>325</v>
      </c>
      <c r="C2837" s="15" t="s">
        <v>356</v>
      </c>
      <c r="D2837" s="15" t="s">
        <v>357</v>
      </c>
      <c r="E2837" s="19">
        <v>347462</v>
      </c>
      <c r="F2837" s="19">
        <v>255939</v>
      </c>
      <c r="G2837" s="20">
        <f t="shared" si="44"/>
        <v>0.4241607156766396</v>
      </c>
      <c r="H2837" s="24" t="s">
        <v>586</v>
      </c>
      <c r="I2837" s="24" t="s">
        <v>608</v>
      </c>
      <c r="J2837" s="24" t="s">
        <v>609</v>
      </c>
      <c r="K2837" s="24" t="s">
        <v>602</v>
      </c>
    </row>
    <row r="2838" spans="1:11">
      <c r="A2838" s="12">
        <v>2021</v>
      </c>
      <c r="B2838" s="15" t="s">
        <v>325</v>
      </c>
      <c r="C2838" s="15" t="s">
        <v>358</v>
      </c>
      <c r="D2838" s="15" t="s">
        <v>359</v>
      </c>
      <c r="E2838" s="19">
        <v>22272</v>
      </c>
      <c r="F2838" s="19">
        <v>24978</v>
      </c>
      <c r="G2838" s="20">
        <f t="shared" si="44"/>
        <v>0.52863492063492068</v>
      </c>
      <c r="H2838" s="24" t="s">
        <v>586</v>
      </c>
      <c r="I2838" s="24" t="s">
        <v>608</v>
      </c>
      <c r="J2838" s="24" t="s">
        <v>609</v>
      </c>
      <c r="K2838" s="24" t="s">
        <v>602</v>
      </c>
    </row>
    <row r="2839" spans="1:11">
      <c r="A2839" s="12">
        <v>2021</v>
      </c>
      <c r="B2839" s="15" t="s">
        <v>325</v>
      </c>
      <c r="C2839" s="15" t="s">
        <v>360</v>
      </c>
      <c r="D2839" s="15" t="s">
        <v>361</v>
      </c>
      <c r="E2839" s="19">
        <v>50910</v>
      </c>
      <c r="F2839" s="19">
        <v>43411</v>
      </c>
      <c r="G2839" s="20">
        <f t="shared" si="44"/>
        <v>0.46024745284719204</v>
      </c>
      <c r="H2839" s="24" t="s">
        <v>586</v>
      </c>
      <c r="I2839" s="24" t="s">
        <v>608</v>
      </c>
      <c r="J2839" s="24" t="s">
        <v>609</v>
      </c>
      <c r="K2839" s="24" t="s">
        <v>602</v>
      </c>
    </row>
    <row r="2840" spans="1:11">
      <c r="A2840" s="12">
        <v>2021</v>
      </c>
      <c r="B2840" s="15" t="s">
        <v>325</v>
      </c>
      <c r="C2840" s="15" t="s">
        <v>362</v>
      </c>
      <c r="D2840" s="15" t="s">
        <v>363</v>
      </c>
      <c r="E2840" s="19">
        <v>87206</v>
      </c>
      <c r="F2840" s="19">
        <v>55032</v>
      </c>
      <c r="G2840" s="20">
        <f t="shared" si="44"/>
        <v>0.38690082818937271</v>
      </c>
      <c r="H2840" s="24" t="s">
        <v>586</v>
      </c>
      <c r="I2840" s="24" t="s">
        <v>608</v>
      </c>
      <c r="J2840" s="24" t="s">
        <v>609</v>
      </c>
      <c r="K2840" s="24" t="s">
        <v>602</v>
      </c>
    </row>
    <row r="2841" spans="1:11">
      <c r="A2841" s="12">
        <v>2021</v>
      </c>
      <c r="B2841" s="15" t="s">
        <v>364</v>
      </c>
      <c r="C2841" s="15" t="s">
        <v>22</v>
      </c>
      <c r="D2841" s="15" t="s">
        <v>364</v>
      </c>
      <c r="E2841" s="19">
        <v>1647612</v>
      </c>
      <c r="F2841" s="19">
        <v>361009</v>
      </c>
      <c r="G2841" s="20">
        <f t="shared" si="44"/>
        <v>0.17972977480570004</v>
      </c>
      <c r="H2841" s="24" t="s">
        <v>583</v>
      </c>
      <c r="I2841" s="24" t="s">
        <v>606</v>
      </c>
      <c r="J2841" s="24" t="s">
        <v>607</v>
      </c>
      <c r="K2841" s="24" t="s">
        <v>602</v>
      </c>
    </row>
    <row r="2842" spans="1:11">
      <c r="A2842" s="12">
        <v>2021</v>
      </c>
      <c r="B2842" s="15" t="s">
        <v>364</v>
      </c>
      <c r="C2842" s="15" t="s">
        <v>365</v>
      </c>
      <c r="D2842" s="15" t="s">
        <v>366</v>
      </c>
      <c r="E2842" s="19">
        <v>44041</v>
      </c>
      <c r="F2842" s="19">
        <v>35912</v>
      </c>
      <c r="G2842" s="20">
        <f t="shared" si="44"/>
        <v>0.44916388378172178</v>
      </c>
      <c r="H2842" s="24" t="s">
        <v>583</v>
      </c>
      <c r="I2842" s="24" t="s">
        <v>606</v>
      </c>
      <c r="J2842" s="24" t="s">
        <v>607</v>
      </c>
      <c r="K2842" s="24" t="s">
        <v>602</v>
      </c>
    </row>
    <row r="2843" spans="1:11">
      <c r="A2843" s="12">
        <v>2021</v>
      </c>
      <c r="B2843" s="15" t="s">
        <v>364</v>
      </c>
      <c r="C2843" s="15" t="s">
        <v>367</v>
      </c>
      <c r="D2843" s="15" t="s">
        <v>368</v>
      </c>
      <c r="E2843" s="19">
        <v>238427</v>
      </c>
      <c r="F2843" s="19">
        <v>101361</v>
      </c>
      <c r="G2843" s="20">
        <f t="shared" si="44"/>
        <v>0.29830659116861102</v>
      </c>
      <c r="H2843" s="24" t="s">
        <v>583</v>
      </c>
      <c r="I2843" s="24" t="s">
        <v>606</v>
      </c>
      <c r="J2843" s="24" t="s">
        <v>607</v>
      </c>
      <c r="K2843" s="24" t="s">
        <v>602</v>
      </c>
    </row>
    <row r="2844" spans="1:11">
      <c r="A2844" s="12">
        <v>2021</v>
      </c>
      <c r="B2844" s="15" t="s">
        <v>364</v>
      </c>
      <c r="C2844" s="15" t="s">
        <v>369</v>
      </c>
      <c r="D2844" s="15" t="s">
        <v>370</v>
      </c>
      <c r="E2844" s="19">
        <v>62824</v>
      </c>
      <c r="F2844" s="19">
        <v>54997</v>
      </c>
      <c r="G2844" s="20">
        <f t="shared" si="44"/>
        <v>0.46678435932473838</v>
      </c>
      <c r="H2844" s="24" t="s">
        <v>583</v>
      </c>
      <c r="I2844" s="24" t="s">
        <v>606</v>
      </c>
      <c r="J2844" s="24" t="s">
        <v>607</v>
      </c>
      <c r="K2844" s="24" t="s">
        <v>602</v>
      </c>
    </row>
    <row r="2845" spans="1:11">
      <c r="A2845" s="12">
        <v>2021</v>
      </c>
      <c r="B2845" s="15" t="s">
        <v>364</v>
      </c>
      <c r="C2845" s="15" t="s">
        <v>371</v>
      </c>
      <c r="D2845" s="15" t="s">
        <v>372</v>
      </c>
      <c r="E2845" s="19">
        <v>69409</v>
      </c>
      <c r="F2845" s="19">
        <v>41787</v>
      </c>
      <c r="G2845" s="20">
        <f t="shared" si="44"/>
        <v>0.37579589193855895</v>
      </c>
      <c r="H2845" s="24" t="s">
        <v>583</v>
      </c>
      <c r="I2845" s="24" t="s">
        <v>606</v>
      </c>
      <c r="J2845" s="24" t="s">
        <v>607</v>
      </c>
      <c r="K2845" s="24" t="s">
        <v>602</v>
      </c>
    </row>
    <row r="2846" spans="1:11">
      <c r="A2846" s="12">
        <v>2021</v>
      </c>
      <c r="B2846" s="15" t="s">
        <v>364</v>
      </c>
      <c r="C2846" s="15" t="s">
        <v>373</v>
      </c>
      <c r="D2846" s="15" t="s">
        <v>374</v>
      </c>
      <c r="E2846" s="19">
        <v>18789</v>
      </c>
      <c r="F2846" s="19">
        <v>18598</v>
      </c>
      <c r="G2846" s="20">
        <f t="shared" si="44"/>
        <v>0.49744563618370019</v>
      </c>
      <c r="H2846" s="24" t="s">
        <v>583</v>
      </c>
      <c r="I2846" s="24" t="s">
        <v>606</v>
      </c>
      <c r="J2846" s="24" t="s">
        <v>607</v>
      </c>
      <c r="K2846" s="24" t="s">
        <v>602</v>
      </c>
    </row>
    <row r="2847" spans="1:11">
      <c r="A2847" s="12">
        <v>2021</v>
      </c>
      <c r="B2847" s="15" t="s">
        <v>364</v>
      </c>
      <c r="C2847" s="15" t="s">
        <v>375</v>
      </c>
      <c r="D2847" s="15" t="s">
        <v>376</v>
      </c>
      <c r="E2847" s="19">
        <v>42715</v>
      </c>
      <c r="F2847" s="19">
        <v>32475</v>
      </c>
      <c r="G2847" s="20">
        <f t="shared" si="44"/>
        <v>0.43190583854235937</v>
      </c>
      <c r="H2847" s="24" t="s">
        <v>583</v>
      </c>
      <c r="I2847" s="24" t="s">
        <v>606</v>
      </c>
      <c r="J2847" s="24" t="s">
        <v>607</v>
      </c>
      <c r="K2847" s="24" t="s">
        <v>602</v>
      </c>
    </row>
    <row r="2848" spans="1:11">
      <c r="A2848" s="12">
        <v>2021</v>
      </c>
      <c r="B2848" s="15" t="s">
        <v>364</v>
      </c>
      <c r="C2848" s="15" t="s">
        <v>377</v>
      </c>
      <c r="D2848" s="15" t="s">
        <v>378</v>
      </c>
      <c r="E2848" s="19">
        <v>19743</v>
      </c>
      <c r="F2848" s="19">
        <v>21414</v>
      </c>
      <c r="G2848" s="20">
        <f t="shared" si="44"/>
        <v>0.5203003134339238</v>
      </c>
      <c r="H2848" s="24" t="s">
        <v>583</v>
      </c>
      <c r="I2848" s="24" t="s">
        <v>606</v>
      </c>
      <c r="J2848" s="24" t="s">
        <v>607</v>
      </c>
      <c r="K2848" s="24" t="s">
        <v>602</v>
      </c>
    </row>
    <row r="2849" spans="1:11">
      <c r="A2849" s="12">
        <v>2021</v>
      </c>
      <c r="B2849" s="15" t="s">
        <v>364</v>
      </c>
      <c r="C2849" s="15" t="s">
        <v>379</v>
      </c>
      <c r="D2849" s="15" t="s">
        <v>380</v>
      </c>
      <c r="E2849" s="19">
        <v>59234</v>
      </c>
      <c r="F2849" s="19">
        <v>78685</v>
      </c>
      <c r="G2849" s="20">
        <f t="shared" si="44"/>
        <v>0.57051602752340147</v>
      </c>
      <c r="H2849" s="24" t="s">
        <v>583</v>
      </c>
      <c r="I2849" s="24" t="s">
        <v>606</v>
      </c>
      <c r="J2849" s="24" t="s">
        <v>607</v>
      </c>
      <c r="K2849" s="24" t="s">
        <v>602</v>
      </c>
    </row>
    <row r="2850" spans="1:11">
      <c r="A2850" s="12">
        <v>2021</v>
      </c>
      <c r="B2850" s="15" t="s">
        <v>364</v>
      </c>
      <c r="C2850" s="15" t="s">
        <v>381</v>
      </c>
      <c r="D2850" s="15" t="s">
        <v>382</v>
      </c>
      <c r="E2850" s="19">
        <v>247006</v>
      </c>
      <c r="F2850" s="19">
        <v>95069</v>
      </c>
      <c r="G2850" s="20">
        <f t="shared" si="44"/>
        <v>0.27791858510560552</v>
      </c>
      <c r="H2850" s="24" t="s">
        <v>583</v>
      </c>
      <c r="I2850" s="24" t="s">
        <v>606</v>
      </c>
      <c r="J2850" s="24" t="s">
        <v>607</v>
      </c>
      <c r="K2850" s="24" t="s">
        <v>602</v>
      </c>
    </row>
    <row r="2851" spans="1:11">
      <c r="A2851" s="12">
        <v>2021</v>
      </c>
      <c r="B2851" s="15" t="s">
        <v>364</v>
      </c>
      <c r="C2851" s="15" t="s">
        <v>383</v>
      </c>
      <c r="D2851" s="15" t="s">
        <v>384</v>
      </c>
      <c r="E2851" s="19">
        <v>18897</v>
      </c>
      <c r="F2851" s="19">
        <v>22541</v>
      </c>
      <c r="G2851" s="20">
        <f t="shared" si="44"/>
        <v>0.54396930353781558</v>
      </c>
      <c r="H2851" s="24" t="s">
        <v>583</v>
      </c>
      <c r="I2851" s="24" t="s">
        <v>606</v>
      </c>
      <c r="J2851" s="24" t="s">
        <v>607</v>
      </c>
      <c r="K2851" s="24" t="s">
        <v>602</v>
      </c>
    </row>
    <row r="2852" spans="1:11">
      <c r="A2852" s="12">
        <v>2021</v>
      </c>
      <c r="B2852" s="15" t="s">
        <v>364</v>
      </c>
      <c r="C2852" s="15" t="s">
        <v>385</v>
      </c>
      <c r="D2852" s="15" t="s">
        <v>386</v>
      </c>
      <c r="E2852" s="19">
        <v>15856</v>
      </c>
      <c r="F2852" s="19">
        <v>18192</v>
      </c>
      <c r="G2852" s="20">
        <f t="shared" si="44"/>
        <v>0.53430451127819545</v>
      </c>
      <c r="H2852" s="24" t="s">
        <v>583</v>
      </c>
      <c r="I2852" s="24" t="s">
        <v>606</v>
      </c>
      <c r="J2852" s="24" t="s">
        <v>607</v>
      </c>
      <c r="K2852" s="24" t="s">
        <v>602</v>
      </c>
    </row>
    <row r="2853" spans="1:11">
      <c r="A2853" s="12">
        <v>2021</v>
      </c>
      <c r="B2853" s="15" t="s">
        <v>364</v>
      </c>
      <c r="C2853" s="15" t="s">
        <v>387</v>
      </c>
      <c r="D2853" s="15" t="s">
        <v>388</v>
      </c>
      <c r="E2853" s="19">
        <v>275634</v>
      </c>
      <c r="F2853" s="19">
        <v>199875</v>
      </c>
      <c r="G2853" s="20">
        <f t="shared" si="44"/>
        <v>0.42033904721046289</v>
      </c>
      <c r="H2853" s="24" t="s">
        <v>583</v>
      </c>
      <c r="I2853" s="24" t="s">
        <v>606</v>
      </c>
      <c r="J2853" s="24" t="s">
        <v>607</v>
      </c>
      <c r="K2853" s="24" t="s">
        <v>602</v>
      </c>
    </row>
    <row r="2854" spans="1:11">
      <c r="A2854" s="12">
        <v>2021</v>
      </c>
      <c r="B2854" s="15" t="s">
        <v>364</v>
      </c>
      <c r="C2854" s="15" t="s">
        <v>389</v>
      </c>
      <c r="D2854" s="15" t="s">
        <v>390</v>
      </c>
      <c r="E2854" s="19">
        <v>293581</v>
      </c>
      <c r="F2854" s="19">
        <v>181247</v>
      </c>
      <c r="G2854" s="20">
        <f t="shared" si="44"/>
        <v>0.38171085108713049</v>
      </c>
      <c r="H2854" s="24" t="s">
        <v>583</v>
      </c>
      <c r="I2854" s="24" t="s">
        <v>606</v>
      </c>
      <c r="J2854" s="24" t="s">
        <v>607</v>
      </c>
      <c r="K2854" s="24" t="s">
        <v>602</v>
      </c>
    </row>
    <row r="2855" spans="1:11">
      <c r="A2855" s="12">
        <v>2021</v>
      </c>
      <c r="B2855" s="15" t="s">
        <v>364</v>
      </c>
      <c r="C2855" s="15" t="s">
        <v>391</v>
      </c>
      <c r="D2855" s="15" t="s">
        <v>392</v>
      </c>
      <c r="E2855" s="19">
        <v>92673</v>
      </c>
      <c r="F2855" s="19">
        <v>57387</v>
      </c>
      <c r="G2855" s="20">
        <f t="shared" si="44"/>
        <v>0.38242702918832466</v>
      </c>
      <c r="H2855" s="24" t="s">
        <v>583</v>
      </c>
      <c r="I2855" s="24" t="s">
        <v>606</v>
      </c>
      <c r="J2855" s="24" t="s">
        <v>607</v>
      </c>
      <c r="K2855" s="24" t="s">
        <v>602</v>
      </c>
    </row>
    <row r="2856" spans="1:11">
      <c r="A2856" s="12">
        <v>2021</v>
      </c>
      <c r="B2856" s="15" t="s">
        <v>364</v>
      </c>
      <c r="C2856" s="15" t="s">
        <v>393</v>
      </c>
      <c r="D2856" s="15" t="s">
        <v>394</v>
      </c>
      <c r="E2856" s="19">
        <v>17603</v>
      </c>
      <c r="F2856" s="19">
        <v>20623</v>
      </c>
      <c r="G2856" s="20">
        <f t="shared" si="44"/>
        <v>0.53950190969497203</v>
      </c>
      <c r="H2856" s="24" t="s">
        <v>583</v>
      </c>
      <c r="I2856" s="24" t="s">
        <v>606</v>
      </c>
      <c r="J2856" s="24" t="s">
        <v>607</v>
      </c>
      <c r="K2856" s="24" t="s">
        <v>602</v>
      </c>
    </row>
    <row r="2857" spans="1:11">
      <c r="A2857" s="12">
        <v>2021</v>
      </c>
      <c r="B2857" s="15" t="s">
        <v>395</v>
      </c>
      <c r="C2857" s="15" t="s">
        <v>22</v>
      </c>
      <c r="D2857" s="15" t="s">
        <v>395</v>
      </c>
      <c r="E2857" s="19">
        <v>1621408</v>
      </c>
      <c r="F2857" s="19">
        <v>698615</v>
      </c>
      <c r="G2857" s="20">
        <f t="shared" si="44"/>
        <v>0.30112416988969504</v>
      </c>
      <c r="H2857" s="24" t="s">
        <v>583</v>
      </c>
      <c r="I2857" s="24" t="s">
        <v>606</v>
      </c>
      <c r="J2857" s="24" t="s">
        <v>607</v>
      </c>
      <c r="K2857" s="24" t="s">
        <v>602</v>
      </c>
    </row>
    <row r="2858" spans="1:11">
      <c r="A2858" s="12">
        <v>2021</v>
      </c>
      <c r="B2858" s="15" t="s">
        <v>395</v>
      </c>
      <c r="C2858" s="15" t="s">
        <v>396</v>
      </c>
      <c r="D2858" s="15" t="s">
        <v>397</v>
      </c>
      <c r="E2858" s="19">
        <v>27958</v>
      </c>
      <c r="F2858" s="19">
        <v>23297</v>
      </c>
      <c r="G2858" s="20">
        <f t="shared" si="44"/>
        <v>0.45453126524241538</v>
      </c>
      <c r="H2858" s="24" t="s">
        <v>583</v>
      </c>
      <c r="I2858" s="24" t="s">
        <v>606</v>
      </c>
      <c r="J2858" s="24" t="s">
        <v>607</v>
      </c>
      <c r="K2858" s="24" t="s">
        <v>602</v>
      </c>
    </row>
    <row r="2859" spans="1:11">
      <c r="A2859" s="12">
        <v>2021</v>
      </c>
      <c r="B2859" s="15" t="s">
        <v>395</v>
      </c>
      <c r="C2859" s="15" t="s">
        <v>398</v>
      </c>
      <c r="D2859" s="15" t="s">
        <v>399</v>
      </c>
      <c r="E2859" s="19">
        <v>51921</v>
      </c>
      <c r="F2859" s="19">
        <v>42010</v>
      </c>
      <c r="G2859" s="20">
        <f t="shared" si="44"/>
        <v>0.44724318914948208</v>
      </c>
      <c r="H2859" s="24" t="s">
        <v>583</v>
      </c>
      <c r="I2859" s="24" t="s">
        <v>606</v>
      </c>
      <c r="J2859" s="24" t="s">
        <v>607</v>
      </c>
      <c r="K2859" s="24" t="s">
        <v>602</v>
      </c>
    </row>
    <row r="2860" spans="1:11">
      <c r="A2860" s="12">
        <v>2021</v>
      </c>
      <c r="B2860" s="15" t="s">
        <v>395</v>
      </c>
      <c r="C2860" s="15" t="s">
        <v>400</v>
      </c>
      <c r="D2860" s="15" t="s">
        <v>401</v>
      </c>
      <c r="E2860" s="19">
        <v>20587</v>
      </c>
      <c r="F2860" s="19">
        <v>22377</v>
      </c>
      <c r="G2860" s="20">
        <f t="shared" si="44"/>
        <v>0.520831393724979</v>
      </c>
      <c r="H2860" s="24" t="s">
        <v>583</v>
      </c>
      <c r="I2860" s="24" t="s">
        <v>606</v>
      </c>
      <c r="J2860" s="24" t="s">
        <v>607</v>
      </c>
      <c r="K2860" s="24" t="s">
        <v>602</v>
      </c>
    </row>
    <row r="2861" spans="1:11">
      <c r="A2861" s="12">
        <v>2021</v>
      </c>
      <c r="B2861" s="15" t="s">
        <v>395</v>
      </c>
      <c r="C2861" s="15" t="s">
        <v>402</v>
      </c>
      <c r="D2861" s="15" t="s">
        <v>403</v>
      </c>
      <c r="E2861" s="19">
        <v>124290</v>
      </c>
      <c r="F2861" s="19">
        <v>91533</v>
      </c>
      <c r="G2861" s="20">
        <f t="shared" si="44"/>
        <v>0.42411142463963525</v>
      </c>
      <c r="H2861" s="24" t="s">
        <v>583</v>
      </c>
      <c r="I2861" s="24" t="s">
        <v>606</v>
      </c>
      <c r="J2861" s="24" t="s">
        <v>607</v>
      </c>
      <c r="K2861" s="24" t="s">
        <v>602</v>
      </c>
    </row>
    <row r="2862" spans="1:11">
      <c r="A2862" s="12">
        <v>2021</v>
      </c>
      <c r="B2862" s="15" t="s">
        <v>395</v>
      </c>
      <c r="C2862" s="15" t="s">
        <v>404</v>
      </c>
      <c r="D2862" s="15" t="s">
        <v>405</v>
      </c>
      <c r="E2862" s="19">
        <v>19597</v>
      </c>
      <c r="F2862" s="19">
        <v>19477</v>
      </c>
      <c r="G2862" s="20">
        <f t="shared" si="44"/>
        <v>0.49846445206531198</v>
      </c>
      <c r="H2862" s="24" t="s">
        <v>583</v>
      </c>
      <c r="I2862" s="24" t="s">
        <v>606</v>
      </c>
      <c r="J2862" s="24" t="s">
        <v>607</v>
      </c>
      <c r="K2862" s="24" t="s">
        <v>602</v>
      </c>
    </row>
    <row r="2863" spans="1:11">
      <c r="A2863" s="12">
        <v>2021</v>
      </c>
      <c r="B2863" s="15" t="s">
        <v>395</v>
      </c>
      <c r="C2863" s="15" t="s">
        <v>406</v>
      </c>
      <c r="D2863" s="15" t="s">
        <v>407</v>
      </c>
      <c r="E2863" s="19">
        <v>93935</v>
      </c>
      <c r="F2863" s="19">
        <v>76962</v>
      </c>
      <c r="G2863" s="20">
        <f t="shared" si="44"/>
        <v>0.4503414337290883</v>
      </c>
      <c r="H2863" s="24" t="s">
        <v>583</v>
      </c>
      <c r="I2863" s="24" t="s">
        <v>606</v>
      </c>
      <c r="J2863" s="24" t="s">
        <v>607</v>
      </c>
      <c r="K2863" s="24" t="s">
        <v>602</v>
      </c>
    </row>
    <row r="2864" spans="1:11">
      <c r="A2864" s="12">
        <v>2021</v>
      </c>
      <c r="B2864" s="15" t="s">
        <v>395</v>
      </c>
      <c r="C2864" s="15" t="s">
        <v>408</v>
      </c>
      <c r="D2864" s="15" t="s">
        <v>409</v>
      </c>
      <c r="E2864" s="19">
        <v>30909</v>
      </c>
      <c r="F2864" s="19">
        <v>37171</v>
      </c>
      <c r="G2864" s="20">
        <f t="shared" si="44"/>
        <v>0.54599001175088135</v>
      </c>
      <c r="H2864" s="24" t="s">
        <v>583</v>
      </c>
      <c r="I2864" s="24" t="s">
        <v>606</v>
      </c>
      <c r="J2864" s="24" t="s">
        <v>607</v>
      </c>
      <c r="K2864" s="24" t="s">
        <v>602</v>
      </c>
    </row>
    <row r="2865" spans="1:11">
      <c r="A2865" s="12">
        <v>2021</v>
      </c>
      <c r="B2865" s="15" t="s">
        <v>395</v>
      </c>
      <c r="C2865" s="15" t="s">
        <v>410</v>
      </c>
      <c r="D2865" s="15" t="s">
        <v>411</v>
      </c>
      <c r="E2865" s="19">
        <v>195180</v>
      </c>
      <c r="F2865" s="19">
        <v>90975</v>
      </c>
      <c r="G2865" s="20">
        <f t="shared" si="44"/>
        <v>0.31792210515280178</v>
      </c>
      <c r="H2865" s="24" t="s">
        <v>583</v>
      </c>
      <c r="I2865" s="24" t="s">
        <v>606</v>
      </c>
      <c r="J2865" s="24" t="s">
        <v>607</v>
      </c>
      <c r="K2865" s="24" t="s">
        <v>602</v>
      </c>
    </row>
    <row r="2866" spans="1:11">
      <c r="A2866" s="12">
        <v>2021</v>
      </c>
      <c r="B2866" s="15" t="s">
        <v>395</v>
      </c>
      <c r="C2866" s="15" t="s">
        <v>412</v>
      </c>
      <c r="D2866" s="15" t="s">
        <v>413</v>
      </c>
      <c r="E2866" s="19">
        <v>69354</v>
      </c>
      <c r="F2866" s="19">
        <v>72028</v>
      </c>
      <c r="G2866" s="20">
        <f t="shared" si="44"/>
        <v>0.50945664936130486</v>
      </c>
      <c r="H2866" s="24" t="s">
        <v>583</v>
      </c>
      <c r="I2866" s="24" t="s">
        <v>606</v>
      </c>
      <c r="J2866" s="24" t="s">
        <v>607</v>
      </c>
      <c r="K2866" s="24" t="s">
        <v>602</v>
      </c>
    </row>
    <row r="2867" spans="1:11">
      <c r="A2867" s="12">
        <v>2021</v>
      </c>
      <c r="B2867" s="15" t="s">
        <v>395</v>
      </c>
      <c r="C2867" s="15" t="s">
        <v>414</v>
      </c>
      <c r="D2867" s="15" t="s">
        <v>415</v>
      </c>
      <c r="E2867" s="19">
        <v>30326</v>
      </c>
      <c r="F2867" s="19">
        <v>29500</v>
      </c>
      <c r="G2867" s="20">
        <f t="shared" si="44"/>
        <v>0.49309664694280081</v>
      </c>
      <c r="H2867" s="24" t="s">
        <v>583</v>
      </c>
      <c r="I2867" s="24" t="s">
        <v>606</v>
      </c>
      <c r="J2867" s="24" t="s">
        <v>607</v>
      </c>
      <c r="K2867" s="24" t="s">
        <v>602</v>
      </c>
    </row>
    <row r="2868" spans="1:11">
      <c r="A2868" s="12">
        <v>2021</v>
      </c>
      <c r="B2868" s="15" t="s">
        <v>395</v>
      </c>
      <c r="C2868" s="15" t="s">
        <v>416</v>
      </c>
      <c r="D2868" s="15" t="s">
        <v>417</v>
      </c>
      <c r="E2868" s="19">
        <v>251095</v>
      </c>
      <c r="F2868" s="19">
        <v>99354</v>
      </c>
      <c r="G2868" s="20">
        <f t="shared" si="44"/>
        <v>0.28350487517441908</v>
      </c>
      <c r="H2868" s="24" t="s">
        <v>583</v>
      </c>
      <c r="I2868" s="24" t="s">
        <v>606</v>
      </c>
      <c r="J2868" s="24" t="s">
        <v>607</v>
      </c>
      <c r="K2868" s="24" t="s">
        <v>602</v>
      </c>
    </row>
    <row r="2869" spans="1:11">
      <c r="A2869" s="12">
        <v>2021</v>
      </c>
      <c r="B2869" s="15" t="s">
        <v>395</v>
      </c>
      <c r="C2869" s="15" t="s">
        <v>418</v>
      </c>
      <c r="D2869" s="15" t="s">
        <v>419</v>
      </c>
      <c r="E2869" s="19">
        <v>23759</v>
      </c>
      <c r="F2869" s="19">
        <v>34218</v>
      </c>
      <c r="G2869" s="20">
        <f t="shared" si="44"/>
        <v>0.59019956189523437</v>
      </c>
      <c r="H2869" s="24" t="s">
        <v>583</v>
      </c>
      <c r="I2869" s="24" t="s">
        <v>606</v>
      </c>
      <c r="J2869" s="24" t="s">
        <v>607</v>
      </c>
      <c r="K2869" s="24" t="s">
        <v>602</v>
      </c>
    </row>
    <row r="2870" spans="1:11">
      <c r="A2870" s="12">
        <v>2021</v>
      </c>
      <c r="B2870" s="15" t="s">
        <v>395</v>
      </c>
      <c r="C2870" s="15" t="s">
        <v>420</v>
      </c>
      <c r="D2870" s="15" t="s">
        <v>421</v>
      </c>
      <c r="E2870" s="19">
        <v>248884</v>
      </c>
      <c r="F2870" s="19">
        <v>102959</v>
      </c>
      <c r="G2870" s="20">
        <f t="shared" si="44"/>
        <v>0.29262767768578601</v>
      </c>
      <c r="H2870" s="24" t="s">
        <v>583</v>
      </c>
      <c r="I2870" s="24" t="s">
        <v>606</v>
      </c>
      <c r="J2870" s="24" t="s">
        <v>607</v>
      </c>
      <c r="K2870" s="24" t="s">
        <v>602</v>
      </c>
    </row>
    <row r="2871" spans="1:11">
      <c r="A2871" s="12">
        <v>2021</v>
      </c>
      <c r="B2871" s="15" t="s">
        <v>395</v>
      </c>
      <c r="C2871" s="15" t="s">
        <v>422</v>
      </c>
      <c r="D2871" s="15" t="s">
        <v>423</v>
      </c>
      <c r="E2871" s="19">
        <v>42669</v>
      </c>
      <c r="F2871" s="19">
        <v>31558</v>
      </c>
      <c r="G2871" s="20">
        <f t="shared" si="44"/>
        <v>0.4251552669513789</v>
      </c>
      <c r="H2871" s="24" t="s">
        <v>583</v>
      </c>
      <c r="I2871" s="24" t="s">
        <v>606</v>
      </c>
      <c r="J2871" s="24" t="s">
        <v>607</v>
      </c>
      <c r="K2871" s="24" t="s">
        <v>602</v>
      </c>
    </row>
    <row r="2872" spans="1:11">
      <c r="A2872" s="12">
        <v>2021</v>
      </c>
      <c r="B2872" s="15" t="s">
        <v>395</v>
      </c>
      <c r="C2872" s="15" t="s">
        <v>424</v>
      </c>
      <c r="D2872" s="15" t="s">
        <v>425</v>
      </c>
      <c r="E2872" s="19">
        <v>38841</v>
      </c>
      <c r="F2872" s="19">
        <v>46948</v>
      </c>
      <c r="G2872" s="20">
        <f t="shared" si="44"/>
        <v>0.54724964739069115</v>
      </c>
      <c r="H2872" s="24" t="s">
        <v>583</v>
      </c>
      <c r="I2872" s="24" t="s">
        <v>606</v>
      </c>
      <c r="J2872" s="24" t="s">
        <v>607</v>
      </c>
      <c r="K2872" s="24" t="s">
        <v>602</v>
      </c>
    </row>
    <row r="2873" spans="1:11">
      <c r="A2873" s="12">
        <v>2021</v>
      </c>
      <c r="B2873" s="15" t="s">
        <v>395</v>
      </c>
      <c r="C2873" s="15" t="s">
        <v>426</v>
      </c>
      <c r="D2873" s="15" t="s">
        <v>427</v>
      </c>
      <c r="E2873" s="19">
        <v>40515</v>
      </c>
      <c r="F2873" s="19">
        <v>39006</v>
      </c>
      <c r="G2873" s="20">
        <f t="shared" si="44"/>
        <v>0.49051194024220018</v>
      </c>
      <c r="H2873" s="24" t="s">
        <v>583</v>
      </c>
      <c r="I2873" s="24" t="s">
        <v>606</v>
      </c>
      <c r="J2873" s="24" t="s">
        <v>607</v>
      </c>
      <c r="K2873" s="24" t="s">
        <v>602</v>
      </c>
    </row>
    <row r="2874" spans="1:11">
      <c r="A2874" s="12">
        <v>2021</v>
      </c>
      <c r="B2874" s="15" t="s">
        <v>395</v>
      </c>
      <c r="C2874" s="15" t="s">
        <v>428</v>
      </c>
      <c r="D2874" s="15" t="s">
        <v>429</v>
      </c>
      <c r="E2874" s="19">
        <v>28860</v>
      </c>
      <c r="F2874" s="19">
        <v>35204</v>
      </c>
      <c r="G2874" s="20">
        <f t="shared" si="44"/>
        <v>0.54951298701298701</v>
      </c>
      <c r="H2874" s="24" t="s">
        <v>583</v>
      </c>
      <c r="I2874" s="24" t="s">
        <v>606</v>
      </c>
      <c r="J2874" s="24" t="s">
        <v>607</v>
      </c>
      <c r="K2874" s="24" t="s">
        <v>602</v>
      </c>
    </row>
    <row r="2875" spans="1:11">
      <c r="A2875" s="12">
        <v>2021</v>
      </c>
      <c r="B2875" s="15" t="s">
        <v>395</v>
      </c>
      <c r="C2875" s="15" t="s">
        <v>430</v>
      </c>
      <c r="D2875" s="15" t="s">
        <v>431</v>
      </c>
      <c r="E2875" s="19">
        <v>30038</v>
      </c>
      <c r="F2875" s="19">
        <v>25425</v>
      </c>
      <c r="G2875" s="20">
        <f t="shared" si="44"/>
        <v>0.45841371725294339</v>
      </c>
      <c r="H2875" s="24" t="s">
        <v>583</v>
      </c>
      <c r="I2875" s="24" t="s">
        <v>606</v>
      </c>
      <c r="J2875" s="24" t="s">
        <v>607</v>
      </c>
      <c r="K2875" s="24" t="s">
        <v>602</v>
      </c>
    </row>
    <row r="2876" spans="1:11">
      <c r="A2876" s="12">
        <v>2021</v>
      </c>
      <c r="B2876" s="15" t="s">
        <v>395</v>
      </c>
      <c r="C2876" s="15" t="s">
        <v>432</v>
      </c>
      <c r="D2876" s="15" t="s">
        <v>433</v>
      </c>
      <c r="E2876" s="19">
        <v>23504</v>
      </c>
      <c r="F2876" s="19">
        <v>24099</v>
      </c>
      <c r="G2876" s="20">
        <f t="shared" si="44"/>
        <v>0.50624960611726155</v>
      </c>
      <c r="H2876" s="24" t="s">
        <v>583</v>
      </c>
      <c r="I2876" s="24" t="s">
        <v>606</v>
      </c>
      <c r="J2876" s="24" t="s">
        <v>607</v>
      </c>
      <c r="K2876" s="24" t="s">
        <v>602</v>
      </c>
    </row>
    <row r="2877" spans="1:11">
      <c r="A2877" s="12">
        <v>2021</v>
      </c>
      <c r="B2877" s="15" t="s">
        <v>395</v>
      </c>
      <c r="C2877" s="15" t="s">
        <v>434</v>
      </c>
      <c r="D2877" s="15" t="s">
        <v>435</v>
      </c>
      <c r="E2877" s="19">
        <v>22174</v>
      </c>
      <c r="F2877" s="19">
        <v>26493</v>
      </c>
      <c r="G2877" s="20">
        <f t="shared" si="44"/>
        <v>0.54437298374668663</v>
      </c>
      <c r="H2877" s="24" t="s">
        <v>583</v>
      </c>
      <c r="I2877" s="24" t="s">
        <v>606</v>
      </c>
      <c r="J2877" s="24" t="s">
        <v>607</v>
      </c>
      <c r="K2877" s="24" t="s">
        <v>602</v>
      </c>
    </row>
    <row r="2878" spans="1:11">
      <c r="A2878" s="12">
        <v>2021</v>
      </c>
      <c r="B2878" s="15" t="s">
        <v>395</v>
      </c>
      <c r="C2878" s="15" t="s">
        <v>436</v>
      </c>
      <c r="D2878" s="15" t="s">
        <v>437</v>
      </c>
      <c r="E2878" s="19">
        <v>56287</v>
      </c>
      <c r="F2878" s="19">
        <v>40606</v>
      </c>
      <c r="G2878" s="20">
        <f t="shared" si="44"/>
        <v>0.41908084175327426</v>
      </c>
      <c r="H2878" s="24" t="s">
        <v>583</v>
      </c>
      <c r="I2878" s="24" t="s">
        <v>606</v>
      </c>
      <c r="J2878" s="24" t="s">
        <v>607</v>
      </c>
      <c r="K2878" s="24" t="s">
        <v>602</v>
      </c>
    </row>
    <row r="2879" spans="1:11">
      <c r="A2879" s="12">
        <v>2021</v>
      </c>
      <c r="B2879" s="15" t="s">
        <v>395</v>
      </c>
      <c r="C2879" s="15" t="s">
        <v>438</v>
      </c>
      <c r="D2879" s="15" t="s">
        <v>439</v>
      </c>
      <c r="E2879" s="19">
        <v>48685</v>
      </c>
      <c r="F2879" s="19">
        <v>41880</v>
      </c>
      <c r="G2879" s="20">
        <f t="shared" si="44"/>
        <v>0.46243029868050572</v>
      </c>
      <c r="H2879" s="24" t="s">
        <v>583</v>
      </c>
      <c r="I2879" s="24" t="s">
        <v>606</v>
      </c>
      <c r="J2879" s="24" t="s">
        <v>607</v>
      </c>
      <c r="K2879" s="24" t="s">
        <v>602</v>
      </c>
    </row>
    <row r="2880" spans="1:11">
      <c r="A2880" s="12">
        <v>2021</v>
      </c>
      <c r="B2880" s="15" t="s">
        <v>440</v>
      </c>
      <c r="C2880" s="15" t="s">
        <v>22</v>
      </c>
      <c r="D2880" s="15" t="s">
        <v>440</v>
      </c>
      <c r="E2880" s="19">
        <v>2315757</v>
      </c>
      <c r="F2880" s="19">
        <v>1006112</v>
      </c>
      <c r="G2880" s="20">
        <f t="shared" si="44"/>
        <v>0.30287527894688199</v>
      </c>
      <c r="H2880" s="24" t="s">
        <v>603</v>
      </c>
      <c r="I2880" s="24" t="s">
        <v>604</v>
      </c>
      <c r="J2880" s="24" t="s">
        <v>605</v>
      </c>
      <c r="K2880" s="24" t="s">
        <v>602</v>
      </c>
    </row>
    <row r="2881" spans="1:11">
      <c r="A2881" s="12">
        <v>2021</v>
      </c>
      <c r="B2881" s="15" t="s">
        <v>440</v>
      </c>
      <c r="C2881" s="15" t="s">
        <v>441</v>
      </c>
      <c r="D2881" s="15" t="s">
        <v>442</v>
      </c>
      <c r="E2881" s="19">
        <v>224020</v>
      </c>
      <c r="F2881" s="19">
        <v>170745</v>
      </c>
      <c r="G2881" s="20">
        <f t="shared" si="44"/>
        <v>0.43252314668220332</v>
      </c>
      <c r="H2881" s="24" t="s">
        <v>603</v>
      </c>
      <c r="I2881" s="24" t="s">
        <v>610</v>
      </c>
      <c r="J2881" s="24" t="s">
        <v>611</v>
      </c>
      <c r="K2881" s="24" t="s">
        <v>602</v>
      </c>
    </row>
    <row r="2882" spans="1:11">
      <c r="A2882" s="12">
        <v>2021</v>
      </c>
      <c r="B2882" s="15" t="s">
        <v>440</v>
      </c>
      <c r="C2882" s="15" t="s">
        <v>443</v>
      </c>
      <c r="D2882" s="15" t="s">
        <v>444</v>
      </c>
      <c r="E2882" s="19">
        <v>214763</v>
      </c>
      <c r="F2882" s="19">
        <v>121915</v>
      </c>
      <c r="G2882" s="20">
        <f t="shared" si="44"/>
        <v>0.36211157248171844</v>
      </c>
      <c r="H2882" s="24" t="s">
        <v>603</v>
      </c>
      <c r="I2882" s="24" t="s">
        <v>604</v>
      </c>
      <c r="J2882" s="24" t="s">
        <v>605</v>
      </c>
      <c r="K2882" s="24" t="s">
        <v>602</v>
      </c>
    </row>
    <row r="2883" spans="1:11">
      <c r="A2883" s="12">
        <v>2021</v>
      </c>
      <c r="B2883" s="15" t="s">
        <v>440</v>
      </c>
      <c r="C2883" s="15" t="s">
        <v>445</v>
      </c>
      <c r="D2883" s="15" t="s">
        <v>446</v>
      </c>
      <c r="E2883" s="19">
        <v>20465</v>
      </c>
      <c r="F2883" s="19">
        <v>26082</v>
      </c>
      <c r="G2883" s="20">
        <f t="shared" si="44"/>
        <v>0.56033686381506864</v>
      </c>
      <c r="H2883" s="24" t="s">
        <v>603</v>
      </c>
      <c r="I2883" s="24" t="s">
        <v>610</v>
      </c>
      <c r="J2883" s="24" t="s">
        <v>611</v>
      </c>
      <c r="K2883" s="24" t="s">
        <v>602</v>
      </c>
    </row>
    <row r="2884" spans="1:11">
      <c r="A2884" s="12">
        <v>2021</v>
      </c>
      <c r="B2884" s="15" t="s">
        <v>440</v>
      </c>
      <c r="C2884" s="15" t="s">
        <v>447</v>
      </c>
      <c r="D2884" s="15" t="s">
        <v>448</v>
      </c>
      <c r="E2884" s="19">
        <v>366001</v>
      </c>
      <c r="F2884" s="19">
        <v>147739</v>
      </c>
      <c r="G2884" s="20">
        <f t="shared" si="44"/>
        <v>0.28757542725892477</v>
      </c>
      <c r="H2884" s="24" t="s">
        <v>603</v>
      </c>
      <c r="I2884" s="24" t="s">
        <v>610</v>
      </c>
      <c r="J2884" s="24" t="s">
        <v>611</v>
      </c>
      <c r="K2884" s="24" t="s">
        <v>602</v>
      </c>
    </row>
    <row r="2885" spans="1:11">
      <c r="A2885" s="12">
        <v>2021</v>
      </c>
      <c r="B2885" s="15" t="s">
        <v>440</v>
      </c>
      <c r="C2885" s="15" t="s">
        <v>105</v>
      </c>
      <c r="D2885" s="15" t="s">
        <v>449</v>
      </c>
      <c r="E2885" s="19">
        <v>15006</v>
      </c>
      <c r="F2885" s="19">
        <v>19647</v>
      </c>
      <c r="G2885" s="20">
        <f t="shared" si="44"/>
        <v>0.56696389922950396</v>
      </c>
      <c r="H2885" s="24" t="s">
        <v>603</v>
      </c>
      <c r="I2885" s="24" t="s">
        <v>610</v>
      </c>
      <c r="J2885" s="24" t="s">
        <v>611</v>
      </c>
      <c r="K2885" s="24" t="s">
        <v>602</v>
      </c>
    </row>
    <row r="2886" spans="1:11">
      <c r="A2886" s="12">
        <v>2021</v>
      </c>
      <c r="B2886" s="15" t="s">
        <v>440</v>
      </c>
      <c r="C2886" s="15" t="s">
        <v>450</v>
      </c>
      <c r="D2886" s="15" t="s">
        <v>451</v>
      </c>
      <c r="E2886" s="19">
        <v>117486</v>
      </c>
      <c r="F2886" s="19">
        <v>74498</v>
      </c>
      <c r="G2886" s="20">
        <f t="shared" ref="G2886:G2949" si="45">IFERROR(F2886/(E2886+F2886),"")</f>
        <v>0.38804275356279688</v>
      </c>
      <c r="H2886" s="24" t="s">
        <v>603</v>
      </c>
      <c r="I2886" s="24" t="s">
        <v>604</v>
      </c>
      <c r="J2886" s="24" t="s">
        <v>605</v>
      </c>
      <c r="K2886" s="24" t="s">
        <v>602</v>
      </c>
    </row>
    <row r="2887" spans="1:11">
      <c r="A2887" s="12">
        <v>2021</v>
      </c>
      <c r="B2887" s="15" t="s">
        <v>440</v>
      </c>
      <c r="C2887" s="15" t="s">
        <v>452</v>
      </c>
      <c r="D2887" s="15" t="s">
        <v>453</v>
      </c>
      <c r="E2887" s="19">
        <v>60046</v>
      </c>
      <c r="F2887" s="19">
        <v>39775</v>
      </c>
      <c r="G2887" s="20">
        <f t="shared" si="45"/>
        <v>0.39846324921609683</v>
      </c>
      <c r="H2887" s="24" t="s">
        <v>603</v>
      </c>
      <c r="I2887" s="24" t="s">
        <v>610</v>
      </c>
      <c r="J2887" s="24" t="s">
        <v>611</v>
      </c>
      <c r="K2887" s="24" t="s">
        <v>602</v>
      </c>
    </row>
    <row r="2888" spans="1:11">
      <c r="A2888" s="12">
        <v>2021</v>
      </c>
      <c r="B2888" s="15" t="s">
        <v>440</v>
      </c>
      <c r="C2888" s="15" t="s">
        <v>454</v>
      </c>
      <c r="D2888" s="15" t="s">
        <v>455</v>
      </c>
      <c r="E2888" s="19">
        <v>20272</v>
      </c>
      <c r="F2888" s="19">
        <v>25218</v>
      </c>
      <c r="G2888" s="20">
        <f t="shared" si="45"/>
        <v>0.55436359639481203</v>
      </c>
      <c r="H2888" s="24" t="s">
        <v>603</v>
      </c>
      <c r="I2888" s="24" t="s">
        <v>610</v>
      </c>
      <c r="J2888" s="24" t="s">
        <v>611</v>
      </c>
      <c r="K2888" s="24" t="s">
        <v>602</v>
      </c>
    </row>
    <row r="2889" spans="1:11">
      <c r="A2889" s="12">
        <v>2021</v>
      </c>
      <c r="B2889" s="15" t="s">
        <v>440</v>
      </c>
      <c r="C2889" s="15" t="s">
        <v>456</v>
      </c>
      <c r="D2889" s="15" t="s">
        <v>457</v>
      </c>
      <c r="E2889" s="19">
        <v>79331</v>
      </c>
      <c r="F2889" s="19">
        <v>54077</v>
      </c>
      <c r="G2889" s="20">
        <f t="shared" si="45"/>
        <v>0.40535050371791798</v>
      </c>
      <c r="H2889" s="24" t="s">
        <v>603</v>
      </c>
      <c r="I2889" s="24" t="s">
        <v>610</v>
      </c>
      <c r="J2889" s="24" t="s">
        <v>611</v>
      </c>
      <c r="K2889" s="24" t="s">
        <v>602</v>
      </c>
    </row>
    <row r="2890" spans="1:11">
      <c r="A2890" s="12">
        <v>2021</v>
      </c>
      <c r="B2890" s="15" t="s">
        <v>440</v>
      </c>
      <c r="C2890" s="15" t="s">
        <v>458</v>
      </c>
      <c r="D2890" s="15" t="s">
        <v>459</v>
      </c>
      <c r="E2890" s="19">
        <v>29091</v>
      </c>
      <c r="F2890" s="19">
        <v>35604</v>
      </c>
      <c r="G2890" s="20">
        <f t="shared" si="45"/>
        <v>0.55033619290517044</v>
      </c>
      <c r="H2890" s="24" t="s">
        <v>603</v>
      </c>
      <c r="I2890" s="24" t="s">
        <v>610</v>
      </c>
      <c r="J2890" s="24" t="s">
        <v>611</v>
      </c>
      <c r="K2890" s="24" t="s">
        <v>602</v>
      </c>
    </row>
    <row r="2891" spans="1:11">
      <c r="A2891" s="12">
        <v>2021</v>
      </c>
      <c r="B2891" s="15" t="s">
        <v>440</v>
      </c>
      <c r="C2891" s="15" t="s">
        <v>460</v>
      </c>
      <c r="D2891" s="15" t="s">
        <v>461</v>
      </c>
      <c r="E2891" s="19">
        <v>138080</v>
      </c>
      <c r="F2891" s="19">
        <v>55040</v>
      </c>
      <c r="G2891" s="20">
        <f t="shared" si="45"/>
        <v>0.28500414250207123</v>
      </c>
      <c r="H2891" s="24" t="s">
        <v>603</v>
      </c>
      <c r="I2891" s="24" t="s">
        <v>604</v>
      </c>
      <c r="J2891" s="24" t="s">
        <v>605</v>
      </c>
      <c r="K2891" s="24" t="s">
        <v>602</v>
      </c>
    </row>
    <row r="2892" spans="1:11">
      <c r="A2892" s="12">
        <v>2021</v>
      </c>
      <c r="B2892" s="15" t="s">
        <v>440</v>
      </c>
      <c r="C2892" s="15" t="s">
        <v>462</v>
      </c>
      <c r="D2892" s="15" t="s">
        <v>463</v>
      </c>
      <c r="E2892" s="19">
        <v>29208</v>
      </c>
      <c r="F2892" s="19">
        <v>24679</v>
      </c>
      <c r="G2892" s="20">
        <f t="shared" si="45"/>
        <v>0.45797687754003746</v>
      </c>
      <c r="H2892" s="24" t="s">
        <v>603</v>
      </c>
      <c r="I2892" s="24" t="s">
        <v>610</v>
      </c>
      <c r="J2892" s="24" t="s">
        <v>611</v>
      </c>
      <c r="K2892" s="24" t="s">
        <v>602</v>
      </c>
    </row>
    <row r="2893" spans="1:11">
      <c r="A2893" s="12">
        <v>2021</v>
      </c>
      <c r="B2893" s="15" t="s">
        <v>440</v>
      </c>
      <c r="C2893" s="15" t="s">
        <v>464</v>
      </c>
      <c r="D2893" s="15" t="s">
        <v>465</v>
      </c>
      <c r="E2893" s="19">
        <v>10755</v>
      </c>
      <c r="F2893" s="19">
        <v>13558</v>
      </c>
      <c r="G2893" s="20">
        <f t="shared" si="45"/>
        <v>0.55764405873401057</v>
      </c>
      <c r="H2893" s="24" t="s">
        <v>603</v>
      </c>
      <c r="I2893" s="24" t="s">
        <v>610</v>
      </c>
      <c r="J2893" s="24" t="s">
        <v>611</v>
      </c>
      <c r="K2893" s="24" t="s">
        <v>602</v>
      </c>
    </row>
    <row r="2894" spans="1:11">
      <c r="A2894" s="12">
        <v>2021</v>
      </c>
      <c r="B2894" s="15" t="s">
        <v>440</v>
      </c>
      <c r="C2894" s="15" t="s">
        <v>466</v>
      </c>
      <c r="D2894" s="15" t="s">
        <v>467</v>
      </c>
      <c r="E2894" s="19">
        <v>89645</v>
      </c>
      <c r="F2894" s="19">
        <v>51667</v>
      </c>
      <c r="G2894" s="20">
        <f t="shared" si="45"/>
        <v>0.36562358469202899</v>
      </c>
      <c r="H2894" s="24" t="s">
        <v>603</v>
      </c>
      <c r="I2894" s="24" t="s">
        <v>610</v>
      </c>
      <c r="J2894" s="24" t="s">
        <v>611</v>
      </c>
      <c r="K2894" s="24" t="s">
        <v>602</v>
      </c>
    </row>
    <row r="2895" spans="1:11">
      <c r="A2895" s="12">
        <v>2021</v>
      </c>
      <c r="B2895" s="15" t="s">
        <v>440</v>
      </c>
      <c r="C2895" s="15" t="s">
        <v>468</v>
      </c>
      <c r="D2895" s="15" t="s">
        <v>469</v>
      </c>
      <c r="E2895" s="19">
        <v>82702</v>
      </c>
      <c r="F2895" s="19">
        <v>64063</v>
      </c>
      <c r="G2895" s="20">
        <f t="shared" si="45"/>
        <v>0.43650052805505402</v>
      </c>
      <c r="H2895" s="24" t="s">
        <v>603</v>
      </c>
      <c r="I2895" s="24" t="s">
        <v>610</v>
      </c>
      <c r="J2895" s="24" t="s">
        <v>611</v>
      </c>
      <c r="K2895" s="24" t="s">
        <v>602</v>
      </c>
    </row>
    <row r="2896" spans="1:11">
      <c r="A2896" s="12">
        <v>2021</v>
      </c>
      <c r="B2896" s="15" t="s">
        <v>440</v>
      </c>
      <c r="C2896" s="15" t="s">
        <v>470</v>
      </c>
      <c r="D2896" s="15" t="s">
        <v>471</v>
      </c>
      <c r="E2896" s="19">
        <v>43257</v>
      </c>
      <c r="F2896" s="19">
        <v>41162</v>
      </c>
      <c r="G2896" s="20">
        <f t="shared" si="45"/>
        <v>0.48759165590684561</v>
      </c>
      <c r="H2896" s="24" t="s">
        <v>603</v>
      </c>
      <c r="I2896" s="24" t="s">
        <v>610</v>
      </c>
      <c r="J2896" s="24" t="s">
        <v>611</v>
      </c>
      <c r="K2896" s="24" t="s">
        <v>602</v>
      </c>
    </row>
    <row r="2897" spans="1:11">
      <c r="A2897" s="12">
        <v>2021</v>
      </c>
      <c r="B2897" s="15" t="s">
        <v>440</v>
      </c>
      <c r="C2897" s="15" t="s">
        <v>472</v>
      </c>
      <c r="D2897" s="15" t="s">
        <v>473</v>
      </c>
      <c r="E2897" s="19">
        <v>6052</v>
      </c>
      <c r="F2897" s="19">
        <v>7125</v>
      </c>
      <c r="G2897" s="20">
        <f t="shared" si="45"/>
        <v>0.54071488199134854</v>
      </c>
      <c r="H2897" s="24" t="s">
        <v>603</v>
      </c>
      <c r="I2897" s="24" t="s">
        <v>610</v>
      </c>
      <c r="J2897" s="24" t="s">
        <v>611</v>
      </c>
      <c r="K2897" s="24" t="s">
        <v>602</v>
      </c>
    </row>
    <row r="2898" spans="1:11">
      <c r="A2898" s="12">
        <v>2021</v>
      </c>
      <c r="B2898" s="15" t="s">
        <v>440</v>
      </c>
      <c r="C2898" s="15" t="s">
        <v>474</v>
      </c>
      <c r="D2898" s="15" t="s">
        <v>475</v>
      </c>
      <c r="E2898" s="19">
        <v>39513</v>
      </c>
      <c r="F2898" s="19">
        <v>31048</v>
      </c>
      <c r="G2898" s="20">
        <f t="shared" si="45"/>
        <v>0.44001643967630844</v>
      </c>
      <c r="H2898" s="24" t="s">
        <v>603</v>
      </c>
      <c r="I2898" s="24" t="s">
        <v>610</v>
      </c>
      <c r="J2898" s="24" t="s">
        <v>611</v>
      </c>
      <c r="K2898" s="24" t="s">
        <v>602</v>
      </c>
    </row>
    <row r="2899" spans="1:11">
      <c r="A2899" s="12">
        <v>2021</v>
      </c>
      <c r="B2899" s="15" t="s">
        <v>440</v>
      </c>
      <c r="C2899" s="15" t="s">
        <v>476</v>
      </c>
      <c r="D2899" s="15" t="s">
        <v>477</v>
      </c>
      <c r="E2899" s="19">
        <v>38956</v>
      </c>
      <c r="F2899" s="19">
        <v>39481</v>
      </c>
      <c r="G2899" s="20">
        <f t="shared" si="45"/>
        <v>0.50334663487894749</v>
      </c>
      <c r="H2899" s="24" t="s">
        <v>603</v>
      </c>
      <c r="I2899" s="24" t="s">
        <v>610</v>
      </c>
      <c r="J2899" s="24" t="s">
        <v>611</v>
      </c>
      <c r="K2899" s="24" t="s">
        <v>602</v>
      </c>
    </row>
    <row r="2900" spans="1:11">
      <c r="A2900" s="12">
        <v>2021</v>
      </c>
      <c r="B2900" s="15" t="s">
        <v>440</v>
      </c>
      <c r="C2900" s="15" t="s">
        <v>478</v>
      </c>
      <c r="D2900" s="15" t="s">
        <v>479</v>
      </c>
      <c r="E2900" s="19">
        <v>30909</v>
      </c>
      <c r="F2900" s="19">
        <v>32760</v>
      </c>
      <c r="G2900" s="20">
        <f t="shared" si="45"/>
        <v>0.5145361164774066</v>
      </c>
      <c r="H2900" s="24" t="s">
        <v>603</v>
      </c>
      <c r="I2900" s="24" t="s">
        <v>610</v>
      </c>
      <c r="J2900" s="24" t="s">
        <v>611</v>
      </c>
      <c r="K2900" s="24" t="s">
        <v>602</v>
      </c>
    </row>
    <row r="2901" spans="1:11">
      <c r="A2901" s="12">
        <v>2021</v>
      </c>
      <c r="B2901" s="15" t="s">
        <v>440</v>
      </c>
      <c r="C2901" s="15" t="s">
        <v>480</v>
      </c>
      <c r="D2901" s="15" t="s">
        <v>481</v>
      </c>
      <c r="E2901" s="19">
        <v>17922</v>
      </c>
      <c r="F2901" s="19">
        <v>20126</v>
      </c>
      <c r="G2901" s="20">
        <f t="shared" si="45"/>
        <v>0.52896341463414631</v>
      </c>
      <c r="H2901" s="24" t="s">
        <v>603</v>
      </c>
      <c r="I2901" s="24" t="s">
        <v>610</v>
      </c>
      <c r="J2901" s="24" t="s">
        <v>611</v>
      </c>
      <c r="K2901" s="24" t="s">
        <v>602</v>
      </c>
    </row>
    <row r="2902" spans="1:11">
      <c r="A2902" s="12">
        <v>2021</v>
      </c>
      <c r="B2902" s="15" t="s">
        <v>440</v>
      </c>
      <c r="C2902" s="15" t="s">
        <v>482</v>
      </c>
      <c r="D2902" s="15" t="s">
        <v>483</v>
      </c>
      <c r="E2902" s="19">
        <v>83635</v>
      </c>
      <c r="F2902" s="19">
        <v>85654</v>
      </c>
      <c r="G2902" s="20">
        <f t="shared" si="45"/>
        <v>0.50596317539828339</v>
      </c>
      <c r="H2902" s="24" t="s">
        <v>603</v>
      </c>
      <c r="I2902" s="24" t="s">
        <v>610</v>
      </c>
      <c r="J2902" s="24" t="s">
        <v>611</v>
      </c>
      <c r="K2902" s="24" t="s">
        <v>602</v>
      </c>
    </row>
    <row r="2903" spans="1:11">
      <c r="A2903" s="12">
        <v>2021</v>
      </c>
      <c r="B2903" s="15" t="s">
        <v>440</v>
      </c>
      <c r="C2903" s="15" t="s">
        <v>484</v>
      </c>
      <c r="D2903" s="15" t="s">
        <v>485</v>
      </c>
      <c r="E2903" s="19">
        <v>194334</v>
      </c>
      <c r="F2903" s="19">
        <v>143055</v>
      </c>
      <c r="G2903" s="20">
        <f t="shared" si="45"/>
        <v>0.42400611756755557</v>
      </c>
      <c r="H2903" s="24" t="s">
        <v>603</v>
      </c>
      <c r="I2903" s="24" t="s">
        <v>604</v>
      </c>
      <c r="J2903" s="24" t="s">
        <v>605</v>
      </c>
      <c r="K2903" s="24" t="s">
        <v>602</v>
      </c>
    </row>
    <row r="2904" spans="1:11">
      <c r="A2904" s="12">
        <v>2021</v>
      </c>
      <c r="B2904" s="15" t="s">
        <v>440</v>
      </c>
      <c r="C2904" s="15" t="s">
        <v>486</v>
      </c>
      <c r="D2904" s="15" t="s">
        <v>487</v>
      </c>
      <c r="E2904" s="19">
        <v>232147</v>
      </c>
      <c r="F2904" s="19">
        <v>170428</v>
      </c>
      <c r="G2904" s="20">
        <f t="shared" si="45"/>
        <v>0.42334471837545801</v>
      </c>
      <c r="H2904" s="24" t="s">
        <v>603</v>
      </c>
      <c r="I2904" s="24" t="s">
        <v>604</v>
      </c>
      <c r="J2904" s="24" t="s">
        <v>605</v>
      </c>
      <c r="K2904" s="24" t="s">
        <v>602</v>
      </c>
    </row>
    <row r="2905" spans="1:11">
      <c r="A2905" s="12">
        <v>2021</v>
      </c>
      <c r="B2905" s="15" t="s">
        <v>488</v>
      </c>
      <c r="C2905" s="15" t="s">
        <v>22</v>
      </c>
      <c r="D2905" s="15" t="s">
        <v>488</v>
      </c>
      <c r="E2905" s="19">
        <v>3023984</v>
      </c>
      <c r="F2905" s="19">
        <v>891891</v>
      </c>
      <c r="G2905" s="20">
        <f t="shared" si="45"/>
        <v>0.22776288824336835</v>
      </c>
      <c r="H2905" s="24" t="s">
        <v>603</v>
      </c>
      <c r="I2905" s="24" t="s">
        <v>610</v>
      </c>
      <c r="J2905" s="24" t="s">
        <v>611</v>
      </c>
      <c r="K2905" s="24" t="s">
        <v>602</v>
      </c>
    </row>
    <row r="2906" spans="1:11">
      <c r="A2906" s="12">
        <v>2021</v>
      </c>
      <c r="B2906" s="15" t="s">
        <v>488</v>
      </c>
      <c r="C2906" s="15" t="s">
        <v>489</v>
      </c>
      <c r="D2906" s="15" t="s">
        <v>490</v>
      </c>
      <c r="E2906" s="19">
        <v>215513</v>
      </c>
      <c r="F2906" s="19">
        <v>103972</v>
      </c>
      <c r="G2906" s="20">
        <f t="shared" si="45"/>
        <v>0.32543624896317513</v>
      </c>
      <c r="H2906" s="24" t="s">
        <v>603</v>
      </c>
      <c r="I2906" s="24" t="s">
        <v>610</v>
      </c>
      <c r="J2906" s="24" t="s">
        <v>611</v>
      </c>
      <c r="K2906" s="24" t="s">
        <v>602</v>
      </c>
    </row>
    <row r="2907" spans="1:11">
      <c r="A2907" s="12">
        <v>2021</v>
      </c>
      <c r="B2907" s="15" t="s">
        <v>488</v>
      </c>
      <c r="C2907" s="15" t="s">
        <v>491</v>
      </c>
      <c r="D2907" s="15" t="s">
        <v>492</v>
      </c>
      <c r="E2907" s="19">
        <v>53236</v>
      </c>
      <c r="F2907" s="19">
        <v>33989</v>
      </c>
      <c r="G2907" s="20">
        <f t="shared" si="45"/>
        <v>0.38967039266265407</v>
      </c>
      <c r="H2907" s="24" t="s">
        <v>603</v>
      </c>
      <c r="I2907" s="24" t="s">
        <v>610</v>
      </c>
      <c r="J2907" s="24" t="s">
        <v>611</v>
      </c>
      <c r="K2907" s="24" t="s">
        <v>602</v>
      </c>
    </row>
    <row r="2908" spans="1:11">
      <c r="A2908" s="12">
        <v>2021</v>
      </c>
      <c r="B2908" s="15" t="s">
        <v>488</v>
      </c>
      <c r="C2908" s="15" t="s">
        <v>260</v>
      </c>
      <c r="D2908" s="15" t="s">
        <v>493</v>
      </c>
      <c r="E2908" s="19">
        <v>37597</v>
      </c>
      <c r="F2908" s="19">
        <v>37005</v>
      </c>
      <c r="G2908" s="20">
        <f t="shared" si="45"/>
        <v>0.49603227795501459</v>
      </c>
      <c r="H2908" s="24" t="s">
        <v>603</v>
      </c>
      <c r="I2908" s="24" t="s">
        <v>610</v>
      </c>
      <c r="J2908" s="24" t="s">
        <v>611</v>
      </c>
      <c r="K2908" s="24" t="s">
        <v>602</v>
      </c>
    </row>
    <row r="2909" spans="1:11">
      <c r="A2909" s="12">
        <v>2021</v>
      </c>
      <c r="B2909" s="15" t="s">
        <v>488</v>
      </c>
      <c r="C2909" s="15" t="s">
        <v>494</v>
      </c>
      <c r="D2909" s="15" t="s">
        <v>495</v>
      </c>
      <c r="E2909" s="19">
        <v>478510</v>
      </c>
      <c r="F2909" s="19">
        <v>250192</v>
      </c>
      <c r="G2909" s="20">
        <f t="shared" si="45"/>
        <v>0.34333925253395764</v>
      </c>
      <c r="H2909" s="24" t="s">
        <v>603</v>
      </c>
      <c r="I2909" s="24" t="s">
        <v>610</v>
      </c>
      <c r="J2909" s="24" t="s">
        <v>611</v>
      </c>
      <c r="K2909" s="24" t="s">
        <v>602</v>
      </c>
    </row>
    <row r="2910" spans="1:11">
      <c r="A2910" s="12">
        <v>2021</v>
      </c>
      <c r="B2910" s="15" t="s">
        <v>488</v>
      </c>
      <c r="C2910" s="15" t="s">
        <v>496</v>
      </c>
      <c r="D2910" s="15" t="s">
        <v>497</v>
      </c>
      <c r="E2910" s="19">
        <v>33006</v>
      </c>
      <c r="F2910" s="19">
        <v>32423</v>
      </c>
      <c r="G2910" s="20">
        <f t="shared" si="45"/>
        <v>0.49554478900793225</v>
      </c>
      <c r="H2910" s="24" t="s">
        <v>603</v>
      </c>
      <c r="I2910" s="24" t="s">
        <v>610</v>
      </c>
      <c r="J2910" s="24" t="s">
        <v>611</v>
      </c>
      <c r="K2910" s="24" t="s">
        <v>602</v>
      </c>
    </row>
    <row r="2911" spans="1:11">
      <c r="A2911" s="12">
        <v>2021</v>
      </c>
      <c r="B2911" s="15" t="s">
        <v>488</v>
      </c>
      <c r="C2911" s="15" t="s">
        <v>498</v>
      </c>
      <c r="D2911" s="15" t="s">
        <v>499</v>
      </c>
      <c r="E2911" s="19">
        <v>86304</v>
      </c>
      <c r="F2911" s="19">
        <v>59984</v>
      </c>
      <c r="G2911" s="20">
        <f t="shared" si="45"/>
        <v>0.41004046811768569</v>
      </c>
      <c r="H2911" s="24" t="s">
        <v>603</v>
      </c>
      <c r="I2911" s="24" t="s">
        <v>610</v>
      </c>
      <c r="J2911" s="24" t="s">
        <v>611</v>
      </c>
      <c r="K2911" s="24" t="s">
        <v>602</v>
      </c>
    </row>
    <row r="2912" spans="1:11">
      <c r="A2912" s="12">
        <v>2021</v>
      </c>
      <c r="B2912" s="15" t="s">
        <v>488</v>
      </c>
      <c r="C2912" s="15" t="s">
        <v>500</v>
      </c>
      <c r="D2912" s="15" t="s">
        <v>501</v>
      </c>
      <c r="E2912" s="19">
        <v>92542</v>
      </c>
      <c r="F2912" s="19">
        <v>67282</v>
      </c>
      <c r="G2912" s="20">
        <f t="shared" si="45"/>
        <v>0.42097557313044348</v>
      </c>
      <c r="H2912" s="24" t="s">
        <v>603</v>
      </c>
      <c r="I2912" s="24" t="s">
        <v>610</v>
      </c>
      <c r="J2912" s="24" t="s">
        <v>611</v>
      </c>
      <c r="K2912" s="24" t="s">
        <v>602</v>
      </c>
    </row>
    <row r="2913" spans="1:11">
      <c r="A2913" s="12">
        <v>2021</v>
      </c>
      <c r="B2913" s="15" t="s">
        <v>488</v>
      </c>
      <c r="C2913" s="15" t="s">
        <v>502</v>
      </c>
      <c r="D2913" s="15" t="s">
        <v>503</v>
      </c>
      <c r="E2913" s="19">
        <v>23940</v>
      </c>
      <c r="F2913" s="19">
        <v>29410</v>
      </c>
      <c r="G2913" s="20">
        <f t="shared" si="45"/>
        <v>0.55126522961574509</v>
      </c>
      <c r="H2913" s="24" t="s">
        <v>603</v>
      </c>
      <c r="I2913" s="24" t="s">
        <v>610</v>
      </c>
      <c r="J2913" s="24" t="s">
        <v>611</v>
      </c>
      <c r="K2913" s="24" t="s">
        <v>602</v>
      </c>
    </row>
    <row r="2914" spans="1:11">
      <c r="A2914" s="12">
        <v>2021</v>
      </c>
      <c r="B2914" s="15" t="s">
        <v>488</v>
      </c>
      <c r="C2914" s="15" t="s">
        <v>504</v>
      </c>
      <c r="D2914" s="15" t="s">
        <v>505</v>
      </c>
      <c r="E2914" s="19">
        <v>309936</v>
      </c>
      <c r="F2914" s="19">
        <v>165594</v>
      </c>
      <c r="G2914" s="20">
        <f t="shared" si="45"/>
        <v>0.34823039555863983</v>
      </c>
      <c r="H2914" s="24" t="s">
        <v>603</v>
      </c>
      <c r="I2914" s="24" t="s">
        <v>610</v>
      </c>
      <c r="J2914" s="24" t="s">
        <v>611</v>
      </c>
      <c r="K2914" s="24" t="s">
        <v>602</v>
      </c>
    </row>
    <row r="2915" spans="1:11">
      <c r="A2915" s="12">
        <v>2021</v>
      </c>
      <c r="B2915" s="15" t="s">
        <v>488</v>
      </c>
      <c r="C2915" s="15" t="s">
        <v>506</v>
      </c>
      <c r="D2915" s="15" t="s">
        <v>507</v>
      </c>
      <c r="E2915" s="19">
        <v>19060</v>
      </c>
      <c r="F2915" s="19">
        <v>21552</v>
      </c>
      <c r="G2915" s="20">
        <f t="shared" si="45"/>
        <v>0.5306805870186152</v>
      </c>
      <c r="H2915" s="24" t="s">
        <v>603</v>
      </c>
      <c r="I2915" s="24" t="s">
        <v>610</v>
      </c>
      <c r="J2915" s="24" t="s">
        <v>611</v>
      </c>
      <c r="K2915" s="24" t="s">
        <v>602</v>
      </c>
    </row>
    <row r="2916" spans="1:11">
      <c r="A2916" s="12">
        <v>2021</v>
      </c>
      <c r="B2916" s="15" t="s">
        <v>488</v>
      </c>
      <c r="C2916" s="15" t="s">
        <v>508</v>
      </c>
      <c r="D2916" s="15" t="s">
        <v>509</v>
      </c>
      <c r="E2916" s="19">
        <v>314126</v>
      </c>
      <c r="F2916" s="19">
        <v>90083</v>
      </c>
      <c r="G2916" s="20">
        <f t="shared" si="45"/>
        <v>0.22286243007948858</v>
      </c>
      <c r="H2916" s="24" t="s">
        <v>603</v>
      </c>
      <c r="I2916" s="24" t="s">
        <v>610</v>
      </c>
      <c r="J2916" s="24" t="s">
        <v>611</v>
      </c>
      <c r="K2916" s="24" t="s">
        <v>602</v>
      </c>
    </row>
    <row r="2917" spans="1:11">
      <c r="A2917" s="12">
        <v>2021</v>
      </c>
      <c r="B2917" s="15" t="s">
        <v>488</v>
      </c>
      <c r="C2917" s="15" t="s">
        <v>510</v>
      </c>
      <c r="D2917" s="15" t="s">
        <v>511</v>
      </c>
      <c r="E2917" s="19">
        <v>47211</v>
      </c>
      <c r="F2917" s="19">
        <v>45570</v>
      </c>
      <c r="G2917" s="20">
        <f t="shared" si="45"/>
        <v>0.49115659456138649</v>
      </c>
      <c r="H2917" s="24" t="s">
        <v>603</v>
      </c>
      <c r="I2917" s="24" t="s">
        <v>610</v>
      </c>
      <c r="J2917" s="24" t="s">
        <v>611</v>
      </c>
      <c r="K2917" s="24" t="s">
        <v>602</v>
      </c>
    </row>
    <row r="2918" spans="1:11">
      <c r="A2918" s="12">
        <v>2021</v>
      </c>
      <c r="B2918" s="15" t="s">
        <v>488</v>
      </c>
      <c r="C2918" s="15" t="s">
        <v>512</v>
      </c>
      <c r="D2918" s="15" t="s">
        <v>513</v>
      </c>
      <c r="E2918" s="19">
        <v>145952</v>
      </c>
      <c r="F2918" s="19">
        <v>122923</v>
      </c>
      <c r="G2918" s="20">
        <f t="shared" si="45"/>
        <v>0.45717526731752672</v>
      </c>
      <c r="H2918" s="24" t="s">
        <v>603</v>
      </c>
      <c r="I2918" s="24" t="s">
        <v>610</v>
      </c>
      <c r="J2918" s="24" t="s">
        <v>611</v>
      </c>
      <c r="K2918" s="24" t="s">
        <v>602</v>
      </c>
    </row>
    <row r="2919" spans="1:11">
      <c r="A2919" s="12">
        <v>2021</v>
      </c>
      <c r="B2919" s="15" t="s">
        <v>488</v>
      </c>
      <c r="C2919" s="15" t="s">
        <v>514</v>
      </c>
      <c r="D2919" s="15" t="s">
        <v>515</v>
      </c>
      <c r="E2919" s="19">
        <v>154601</v>
      </c>
      <c r="F2919" s="19">
        <v>121700</v>
      </c>
      <c r="G2919" s="20">
        <f t="shared" si="45"/>
        <v>0.44046167042464557</v>
      </c>
      <c r="H2919" s="24" t="s">
        <v>603</v>
      </c>
      <c r="I2919" s="24" t="s">
        <v>610</v>
      </c>
      <c r="J2919" s="24" t="s">
        <v>611</v>
      </c>
      <c r="K2919" s="24" t="s">
        <v>602</v>
      </c>
    </row>
    <row r="2920" spans="1:11">
      <c r="A2920" s="12">
        <v>2021</v>
      </c>
      <c r="B2920" s="15" t="s">
        <v>488</v>
      </c>
      <c r="C2920" s="15" t="s">
        <v>516</v>
      </c>
      <c r="D2920" s="15" t="s">
        <v>517</v>
      </c>
      <c r="E2920" s="19">
        <v>207192</v>
      </c>
      <c r="F2920" s="19">
        <v>178798</v>
      </c>
      <c r="G2920" s="20">
        <f t="shared" si="45"/>
        <v>0.46321925438482864</v>
      </c>
      <c r="H2920" s="24" t="s">
        <v>603</v>
      </c>
      <c r="I2920" s="24" t="s">
        <v>610</v>
      </c>
      <c r="J2920" s="24" t="s">
        <v>611</v>
      </c>
      <c r="K2920" s="24" t="s">
        <v>602</v>
      </c>
    </row>
    <row r="2921" spans="1:11">
      <c r="A2921" s="12">
        <v>2021</v>
      </c>
      <c r="B2921" s="15" t="s">
        <v>488</v>
      </c>
      <c r="C2921" s="15" t="s">
        <v>518</v>
      </c>
      <c r="D2921" s="15" t="s">
        <v>519</v>
      </c>
      <c r="E2921" s="19">
        <v>179286</v>
      </c>
      <c r="F2921" s="19">
        <v>151353</v>
      </c>
      <c r="G2921" s="20">
        <f t="shared" si="45"/>
        <v>0.45775906653480081</v>
      </c>
      <c r="H2921" s="24" t="s">
        <v>603</v>
      </c>
      <c r="I2921" s="24" t="s">
        <v>610</v>
      </c>
      <c r="J2921" s="24" t="s">
        <v>611</v>
      </c>
      <c r="K2921" s="24" t="s">
        <v>602</v>
      </c>
    </row>
    <row r="2922" spans="1:11">
      <c r="A2922" s="12">
        <v>2021</v>
      </c>
      <c r="B2922" s="15" t="s">
        <v>488</v>
      </c>
      <c r="C2922" s="15" t="s">
        <v>520</v>
      </c>
      <c r="D2922" s="15" t="s">
        <v>521</v>
      </c>
      <c r="E2922" s="19">
        <v>164379</v>
      </c>
      <c r="F2922" s="19">
        <v>125184</v>
      </c>
      <c r="G2922" s="20">
        <f t="shared" si="45"/>
        <v>0.43232042767895068</v>
      </c>
      <c r="H2922" s="24" t="s">
        <v>603</v>
      </c>
      <c r="I2922" s="24" t="s">
        <v>610</v>
      </c>
      <c r="J2922" s="24" t="s">
        <v>611</v>
      </c>
      <c r="K2922" s="24" t="s">
        <v>602</v>
      </c>
    </row>
    <row r="2923" spans="1:11">
      <c r="A2923" s="12">
        <v>2021</v>
      </c>
      <c r="B2923" s="15" t="s">
        <v>488</v>
      </c>
      <c r="C2923" s="15" t="s">
        <v>522</v>
      </c>
      <c r="D2923" s="15" t="s">
        <v>523</v>
      </c>
      <c r="E2923" s="19">
        <v>111165</v>
      </c>
      <c r="F2923" s="19">
        <v>54376</v>
      </c>
      <c r="G2923" s="20">
        <f t="shared" si="45"/>
        <v>0.32847451688705515</v>
      </c>
      <c r="H2923" s="24" t="s">
        <v>603</v>
      </c>
      <c r="I2923" s="24" t="s">
        <v>610</v>
      </c>
      <c r="J2923" s="24" t="s">
        <v>611</v>
      </c>
      <c r="K2923" s="24" t="s">
        <v>602</v>
      </c>
    </row>
    <row r="2924" spans="1:11">
      <c r="A2924" s="12">
        <v>2021</v>
      </c>
      <c r="B2924" s="15" t="s">
        <v>488</v>
      </c>
      <c r="C2924" s="15" t="s">
        <v>524</v>
      </c>
      <c r="D2924" s="15" t="s">
        <v>525</v>
      </c>
      <c r="E2924" s="19">
        <v>31577</v>
      </c>
      <c r="F2924" s="19">
        <v>34310</v>
      </c>
      <c r="G2924" s="20">
        <f t="shared" si="45"/>
        <v>0.52074005494255315</v>
      </c>
      <c r="H2924" s="24" t="s">
        <v>603</v>
      </c>
      <c r="I2924" s="24" t="s">
        <v>610</v>
      </c>
      <c r="J2924" s="24" t="s">
        <v>611</v>
      </c>
      <c r="K2924" s="24" t="s">
        <v>602</v>
      </c>
    </row>
    <row r="2925" spans="1:11">
      <c r="A2925" s="12">
        <v>2021</v>
      </c>
      <c r="B2925" s="15" t="s">
        <v>488</v>
      </c>
      <c r="C2925" s="15" t="s">
        <v>526</v>
      </c>
      <c r="D2925" s="15" t="s">
        <v>527</v>
      </c>
      <c r="E2925" s="19">
        <v>44621</v>
      </c>
      <c r="F2925" s="19">
        <v>51422</v>
      </c>
      <c r="G2925" s="20">
        <f t="shared" si="45"/>
        <v>0.53540601605530858</v>
      </c>
      <c r="H2925" s="24" t="s">
        <v>603</v>
      </c>
      <c r="I2925" s="24" t="s">
        <v>610</v>
      </c>
      <c r="J2925" s="24" t="s">
        <v>611</v>
      </c>
      <c r="K2925" s="24" t="s">
        <v>602</v>
      </c>
    </row>
    <row r="2926" spans="1:11">
      <c r="A2926" s="12">
        <v>2021</v>
      </c>
      <c r="B2926" s="15" t="s">
        <v>488</v>
      </c>
      <c r="C2926" s="15" t="s">
        <v>528</v>
      </c>
      <c r="D2926" s="15" t="s">
        <v>529</v>
      </c>
      <c r="E2926" s="19">
        <v>31117</v>
      </c>
      <c r="F2926" s="19">
        <v>28062</v>
      </c>
      <c r="G2926" s="20">
        <f t="shared" si="45"/>
        <v>0.47418847902127442</v>
      </c>
      <c r="H2926" s="24" t="s">
        <v>603</v>
      </c>
      <c r="I2926" s="24" t="s">
        <v>610</v>
      </c>
      <c r="J2926" s="24" t="s">
        <v>611</v>
      </c>
      <c r="K2926" s="24" t="s">
        <v>602</v>
      </c>
    </row>
    <row r="2927" spans="1:11">
      <c r="A2927" s="12">
        <v>2021</v>
      </c>
      <c r="B2927" s="15" t="s">
        <v>488</v>
      </c>
      <c r="C2927" s="15" t="s">
        <v>530</v>
      </c>
      <c r="D2927" s="15" t="s">
        <v>531</v>
      </c>
      <c r="E2927" s="19">
        <v>32680</v>
      </c>
      <c r="F2927" s="19">
        <v>32201</v>
      </c>
      <c r="G2927" s="20">
        <f t="shared" si="45"/>
        <v>0.49630862656247593</v>
      </c>
      <c r="H2927" s="24" t="s">
        <v>603</v>
      </c>
      <c r="I2927" s="24" t="s">
        <v>610</v>
      </c>
      <c r="J2927" s="24" t="s">
        <v>611</v>
      </c>
      <c r="K2927" s="24" t="s">
        <v>602</v>
      </c>
    </row>
    <row r="2928" spans="1:11">
      <c r="A2928" s="12">
        <v>2021</v>
      </c>
      <c r="B2928" s="15" t="s">
        <v>532</v>
      </c>
      <c r="C2928" s="15" t="s">
        <v>22</v>
      </c>
      <c r="D2928" s="15" t="s">
        <v>532</v>
      </c>
      <c r="E2928" s="19">
        <v>617038</v>
      </c>
      <c r="F2928" s="19">
        <v>118873</v>
      </c>
      <c r="G2928" s="20">
        <f t="shared" si="45"/>
        <v>0.16153176131352839</v>
      </c>
      <c r="H2928" s="24" t="s">
        <v>583</v>
      </c>
      <c r="I2928" s="24" t="s">
        <v>606</v>
      </c>
      <c r="J2928" s="24" t="s">
        <v>607</v>
      </c>
      <c r="K2928" s="24" t="s">
        <v>602</v>
      </c>
    </row>
    <row r="2929" spans="1:11">
      <c r="A2929" s="12">
        <v>2021</v>
      </c>
      <c r="B2929" s="15" t="s">
        <v>532</v>
      </c>
      <c r="C2929" s="15" t="s">
        <v>533</v>
      </c>
      <c r="D2929" s="15" t="s">
        <v>534</v>
      </c>
      <c r="E2929" s="19">
        <v>152015</v>
      </c>
      <c r="F2929" s="19">
        <v>108093</v>
      </c>
      <c r="G2929" s="20">
        <f t="shared" si="45"/>
        <v>0.41556968643794118</v>
      </c>
      <c r="H2929" s="24" t="s">
        <v>583</v>
      </c>
      <c r="I2929" s="24" t="s">
        <v>606</v>
      </c>
      <c r="J2929" s="24" t="s">
        <v>607</v>
      </c>
      <c r="K2929" s="24" t="s">
        <v>602</v>
      </c>
    </row>
    <row r="2930" spans="1:11">
      <c r="A2930" s="12">
        <v>2021</v>
      </c>
      <c r="B2930" s="15" t="s">
        <v>532</v>
      </c>
      <c r="C2930" s="15" t="s">
        <v>535</v>
      </c>
      <c r="D2930" s="15" t="s">
        <v>536</v>
      </c>
      <c r="E2930" s="19">
        <v>448925</v>
      </c>
      <c r="F2930" s="19">
        <v>99350</v>
      </c>
      <c r="G2930" s="20">
        <f t="shared" si="45"/>
        <v>0.18120468742875381</v>
      </c>
      <c r="H2930" s="24" t="s">
        <v>583</v>
      </c>
      <c r="I2930" s="24" t="s">
        <v>606</v>
      </c>
      <c r="J2930" s="24" t="s">
        <v>607</v>
      </c>
      <c r="K2930" s="24" t="s">
        <v>602</v>
      </c>
    </row>
    <row r="2931" spans="1:11">
      <c r="A2931" s="12">
        <v>2022</v>
      </c>
      <c r="B2931" s="15" t="s">
        <v>21</v>
      </c>
      <c r="C2931" s="15" t="s">
        <v>22</v>
      </c>
      <c r="D2931" s="15" t="s">
        <v>21</v>
      </c>
      <c r="E2931" s="19">
        <v>8948829</v>
      </c>
      <c r="F2931" s="19">
        <v>2440140</v>
      </c>
      <c r="G2931" s="20">
        <f t="shared" si="45"/>
        <v>0.21425468802312131</v>
      </c>
      <c r="H2931" s="24" t="s">
        <v>589</v>
      </c>
      <c r="I2931" s="24" t="s">
        <v>596</v>
      </c>
      <c r="J2931" s="24" t="s">
        <v>597</v>
      </c>
      <c r="K2931" s="24" t="s">
        <v>612</v>
      </c>
    </row>
    <row r="2932" spans="1:11">
      <c r="A2932" s="12">
        <v>2022</v>
      </c>
      <c r="B2932" s="15" t="s">
        <v>21</v>
      </c>
      <c r="C2932" s="15" t="s">
        <v>23</v>
      </c>
      <c r="D2932" s="15" t="s">
        <v>24</v>
      </c>
      <c r="E2932" s="19">
        <v>456228</v>
      </c>
      <c r="F2932" s="19">
        <v>383516</v>
      </c>
      <c r="G2932" s="20">
        <f t="shared" si="45"/>
        <v>0.45670585321240759</v>
      </c>
      <c r="H2932" s="24" t="s">
        <v>589</v>
      </c>
      <c r="I2932" s="24" t="s">
        <v>596</v>
      </c>
      <c r="J2932" s="24" t="s">
        <v>597</v>
      </c>
      <c r="K2932" s="24" t="s">
        <v>612</v>
      </c>
    </row>
    <row r="2933" spans="1:11">
      <c r="A2933" s="12">
        <v>2022</v>
      </c>
      <c r="B2933" s="15" t="s">
        <v>21</v>
      </c>
      <c r="C2933" s="15" t="s">
        <v>25</v>
      </c>
      <c r="D2933" s="15" t="s">
        <v>26</v>
      </c>
      <c r="E2933" s="19">
        <v>407018</v>
      </c>
      <c r="F2933" s="19">
        <v>288647</v>
      </c>
      <c r="G2933" s="20">
        <f t="shared" si="45"/>
        <v>0.41492241236802196</v>
      </c>
      <c r="H2933" s="24" t="s">
        <v>589</v>
      </c>
      <c r="I2933" s="24" t="s">
        <v>596</v>
      </c>
      <c r="J2933" s="24" t="s">
        <v>597</v>
      </c>
      <c r="K2933" s="24" t="s">
        <v>612</v>
      </c>
    </row>
    <row r="2934" spans="1:11">
      <c r="A2934" s="12">
        <v>2022</v>
      </c>
      <c r="B2934" s="15" t="s">
        <v>21</v>
      </c>
      <c r="C2934" s="15" t="s">
        <v>27</v>
      </c>
      <c r="D2934" s="15" t="s">
        <v>28</v>
      </c>
      <c r="E2934" s="19">
        <v>247687</v>
      </c>
      <c r="F2934" s="19">
        <v>215390</v>
      </c>
      <c r="G2934" s="20">
        <f t="shared" si="45"/>
        <v>0.46512782971298511</v>
      </c>
      <c r="H2934" s="24" t="s">
        <v>589</v>
      </c>
      <c r="I2934" s="24" t="s">
        <v>596</v>
      </c>
      <c r="J2934" s="24" t="s">
        <v>597</v>
      </c>
      <c r="K2934" s="24" t="s">
        <v>612</v>
      </c>
    </row>
    <row r="2935" spans="1:11">
      <c r="A2935" s="12">
        <v>2022</v>
      </c>
      <c r="B2935" s="15" t="s">
        <v>21</v>
      </c>
      <c r="C2935" s="15" t="s">
        <v>29</v>
      </c>
      <c r="D2935" s="15" t="s">
        <v>30</v>
      </c>
      <c r="E2935" s="19">
        <v>495489</v>
      </c>
      <c r="F2935" s="19">
        <v>383933</v>
      </c>
      <c r="G2935" s="20">
        <f t="shared" si="45"/>
        <v>0.43657424990505128</v>
      </c>
      <c r="H2935" s="24" t="s">
        <v>589</v>
      </c>
      <c r="I2935" s="24" t="s">
        <v>596</v>
      </c>
      <c r="J2935" s="24" t="s">
        <v>597</v>
      </c>
      <c r="K2935" s="24" t="s">
        <v>612</v>
      </c>
    </row>
    <row r="2936" spans="1:11">
      <c r="A2936" s="12">
        <v>2022</v>
      </c>
      <c r="B2936" s="15" t="s">
        <v>21</v>
      </c>
      <c r="C2936" s="15" t="s">
        <v>31</v>
      </c>
      <c r="D2936" s="15" t="s">
        <v>32</v>
      </c>
      <c r="E2936" s="19">
        <v>404281</v>
      </c>
      <c r="F2936" s="19">
        <v>367205</v>
      </c>
      <c r="G2936" s="20">
        <f t="shared" si="45"/>
        <v>0.47597104808123541</v>
      </c>
      <c r="H2936" s="24" t="s">
        <v>589</v>
      </c>
      <c r="I2936" s="24" t="s">
        <v>596</v>
      </c>
      <c r="J2936" s="24" t="s">
        <v>597</v>
      </c>
      <c r="K2936" s="24" t="s">
        <v>612</v>
      </c>
    </row>
    <row r="2937" spans="1:11">
      <c r="A2937" s="12">
        <v>2022</v>
      </c>
      <c r="B2937" s="15" t="s">
        <v>21</v>
      </c>
      <c r="C2937" s="15" t="s">
        <v>33</v>
      </c>
      <c r="D2937" s="15" t="s">
        <v>34</v>
      </c>
      <c r="E2937" s="19">
        <v>292952</v>
      </c>
      <c r="F2937" s="19">
        <v>237953</v>
      </c>
      <c r="G2937" s="20">
        <f t="shared" si="45"/>
        <v>0.44820259745152147</v>
      </c>
      <c r="H2937" s="24" t="s">
        <v>589</v>
      </c>
      <c r="I2937" s="24" t="s">
        <v>596</v>
      </c>
      <c r="J2937" s="24" t="s">
        <v>597</v>
      </c>
      <c r="K2937" s="24" t="s">
        <v>612</v>
      </c>
    </row>
    <row r="2938" spans="1:11">
      <c r="A2938" s="12">
        <v>2022</v>
      </c>
      <c r="B2938" s="15" t="s">
        <v>21</v>
      </c>
      <c r="C2938" s="15" t="s">
        <v>35</v>
      </c>
      <c r="D2938" s="15" t="s">
        <v>36</v>
      </c>
      <c r="E2938" s="19">
        <v>352009</v>
      </c>
      <c r="F2938" s="19">
        <v>304245</v>
      </c>
      <c r="G2938" s="20">
        <f t="shared" si="45"/>
        <v>0.4636086027666117</v>
      </c>
      <c r="H2938" s="24" t="s">
        <v>589</v>
      </c>
      <c r="I2938" s="24" t="s">
        <v>596</v>
      </c>
      <c r="J2938" s="24" t="s">
        <v>597</v>
      </c>
      <c r="K2938" s="24" t="s">
        <v>612</v>
      </c>
    </row>
    <row r="2939" spans="1:11">
      <c r="A2939" s="12">
        <v>2022</v>
      </c>
      <c r="B2939" s="15" t="s">
        <v>21</v>
      </c>
      <c r="C2939" s="15" t="s">
        <v>37</v>
      </c>
      <c r="D2939" s="15" t="s">
        <v>38</v>
      </c>
      <c r="E2939" s="19">
        <v>201099</v>
      </c>
      <c r="F2939" s="19">
        <v>182459</v>
      </c>
      <c r="G2939" s="20">
        <f t="shared" si="45"/>
        <v>0.47570119773280706</v>
      </c>
      <c r="H2939" s="24" t="s">
        <v>589</v>
      </c>
      <c r="I2939" s="24" t="s">
        <v>596</v>
      </c>
      <c r="J2939" s="24" t="s">
        <v>597</v>
      </c>
      <c r="K2939" s="24" t="s">
        <v>612</v>
      </c>
    </row>
    <row r="2940" spans="1:11">
      <c r="A2940" s="12">
        <v>2022</v>
      </c>
      <c r="B2940" s="15" t="s">
        <v>21</v>
      </c>
      <c r="C2940" s="15" t="s">
        <v>39</v>
      </c>
      <c r="D2940" s="15" t="s">
        <v>40</v>
      </c>
      <c r="E2940" s="19">
        <v>438346</v>
      </c>
      <c r="F2940" s="19">
        <v>324900</v>
      </c>
      <c r="G2940" s="20">
        <f t="shared" si="45"/>
        <v>0.42568189024246444</v>
      </c>
      <c r="H2940" s="24" t="s">
        <v>589</v>
      </c>
      <c r="I2940" s="24" t="s">
        <v>596</v>
      </c>
      <c r="J2940" s="24" t="s">
        <v>597</v>
      </c>
      <c r="K2940" s="24" t="s">
        <v>612</v>
      </c>
    </row>
    <row r="2941" spans="1:11">
      <c r="A2941" s="12">
        <v>2022</v>
      </c>
      <c r="B2941" s="15" t="s">
        <v>21</v>
      </c>
      <c r="C2941" s="15" t="s">
        <v>41</v>
      </c>
      <c r="D2941" s="15" t="s">
        <v>42</v>
      </c>
      <c r="E2941" s="19">
        <v>259424</v>
      </c>
      <c r="F2941" s="19">
        <v>234739</v>
      </c>
      <c r="G2941" s="20">
        <f t="shared" si="45"/>
        <v>0.47502342344530046</v>
      </c>
      <c r="H2941" s="24" t="s">
        <v>589</v>
      </c>
      <c r="I2941" s="24" t="s">
        <v>596</v>
      </c>
      <c r="J2941" s="24" t="s">
        <v>597</v>
      </c>
      <c r="K2941" s="24" t="s">
        <v>612</v>
      </c>
    </row>
    <row r="2942" spans="1:11">
      <c r="A2942" s="12">
        <v>2022</v>
      </c>
      <c r="B2942" s="15" t="s">
        <v>21</v>
      </c>
      <c r="C2942" s="15" t="s">
        <v>43</v>
      </c>
      <c r="D2942" s="15" t="s">
        <v>44</v>
      </c>
      <c r="E2942" s="19">
        <v>285914</v>
      </c>
      <c r="F2942" s="19">
        <v>242581</v>
      </c>
      <c r="G2942" s="20">
        <f t="shared" si="45"/>
        <v>0.4590033964370524</v>
      </c>
      <c r="H2942" s="24" t="s">
        <v>589</v>
      </c>
      <c r="I2942" s="24" t="s">
        <v>596</v>
      </c>
      <c r="J2942" s="24" t="s">
        <v>597</v>
      </c>
      <c r="K2942" s="24" t="s">
        <v>612</v>
      </c>
    </row>
    <row r="2943" spans="1:11">
      <c r="A2943" s="12">
        <v>2022</v>
      </c>
      <c r="B2943" s="15" t="s">
        <v>21</v>
      </c>
      <c r="C2943" s="15" t="s">
        <v>45</v>
      </c>
      <c r="D2943" s="15" t="s">
        <v>46</v>
      </c>
      <c r="E2943" s="19">
        <v>308325</v>
      </c>
      <c r="F2943" s="19">
        <v>304952</v>
      </c>
      <c r="G2943" s="20">
        <f t="shared" si="45"/>
        <v>0.49725001915936845</v>
      </c>
      <c r="H2943" s="24" t="s">
        <v>589</v>
      </c>
      <c r="I2943" s="24" t="s">
        <v>596</v>
      </c>
      <c r="J2943" s="24" t="s">
        <v>597</v>
      </c>
      <c r="K2943" s="24" t="s">
        <v>612</v>
      </c>
    </row>
    <row r="2944" spans="1:11">
      <c r="A2944" s="12">
        <v>2022</v>
      </c>
      <c r="B2944" s="15" t="s">
        <v>21</v>
      </c>
      <c r="C2944" s="15" t="s">
        <v>47</v>
      </c>
      <c r="D2944" s="15" t="s">
        <v>48</v>
      </c>
      <c r="E2944" s="19">
        <v>307336</v>
      </c>
      <c r="F2944" s="19">
        <v>283017</v>
      </c>
      <c r="G2944" s="20">
        <f t="shared" si="45"/>
        <v>0.4794030012551812</v>
      </c>
      <c r="H2944" s="24" t="s">
        <v>589</v>
      </c>
      <c r="I2944" s="24" t="s">
        <v>596</v>
      </c>
      <c r="J2944" s="24" t="s">
        <v>597</v>
      </c>
      <c r="K2944" s="24" t="s">
        <v>612</v>
      </c>
    </row>
    <row r="2945" spans="1:11">
      <c r="A2945" s="12">
        <v>2022</v>
      </c>
      <c r="B2945" s="15" t="s">
        <v>21</v>
      </c>
      <c r="C2945" s="15" t="s">
        <v>49</v>
      </c>
      <c r="D2945" s="15" t="s">
        <v>50</v>
      </c>
      <c r="E2945" s="19">
        <v>247911</v>
      </c>
      <c r="F2945" s="19">
        <v>243975</v>
      </c>
      <c r="G2945" s="20">
        <f t="shared" si="45"/>
        <v>0.49599907295592882</v>
      </c>
      <c r="H2945" s="24" t="s">
        <v>589</v>
      </c>
      <c r="I2945" s="24" t="s">
        <v>596</v>
      </c>
      <c r="J2945" s="24" t="s">
        <v>597</v>
      </c>
      <c r="K2945" s="24" t="s">
        <v>612</v>
      </c>
    </row>
    <row r="2946" spans="1:11">
      <c r="A2946" s="12">
        <v>2022</v>
      </c>
      <c r="B2946" s="15" t="s">
        <v>21</v>
      </c>
      <c r="C2946" s="15" t="s">
        <v>51</v>
      </c>
      <c r="D2946" s="15" t="s">
        <v>52</v>
      </c>
      <c r="E2946" s="19">
        <v>335165</v>
      </c>
      <c r="F2946" s="19">
        <v>319048</v>
      </c>
      <c r="G2946" s="20">
        <f t="shared" si="45"/>
        <v>0.48768214633460355</v>
      </c>
      <c r="H2946" s="24" t="s">
        <v>589</v>
      </c>
      <c r="I2946" s="24" t="s">
        <v>596</v>
      </c>
      <c r="J2946" s="24" t="s">
        <v>597</v>
      </c>
      <c r="K2946" s="24" t="s">
        <v>612</v>
      </c>
    </row>
    <row r="2947" spans="1:11">
      <c r="A2947" s="12">
        <v>2022</v>
      </c>
      <c r="B2947" s="15" t="s">
        <v>21</v>
      </c>
      <c r="C2947" s="15" t="s">
        <v>53</v>
      </c>
      <c r="D2947" s="15" t="s">
        <v>54</v>
      </c>
      <c r="E2947" s="19">
        <v>230619</v>
      </c>
      <c r="F2947" s="19">
        <v>221465</v>
      </c>
      <c r="G2947" s="20">
        <f t="shared" si="45"/>
        <v>0.48987577529839588</v>
      </c>
      <c r="H2947" s="24" t="s">
        <v>589</v>
      </c>
      <c r="I2947" s="24" t="s">
        <v>596</v>
      </c>
      <c r="J2947" s="24" t="s">
        <v>597</v>
      </c>
      <c r="K2947" s="24" t="s">
        <v>612</v>
      </c>
    </row>
    <row r="2948" spans="1:11">
      <c r="A2948" s="12">
        <v>2022</v>
      </c>
      <c r="B2948" s="15" t="s">
        <v>21</v>
      </c>
      <c r="C2948" s="15" t="s">
        <v>55</v>
      </c>
      <c r="D2948" s="15" t="s">
        <v>56</v>
      </c>
      <c r="E2948" s="19">
        <v>356964</v>
      </c>
      <c r="F2948" s="19">
        <v>329206</v>
      </c>
      <c r="G2948" s="20">
        <f t="shared" si="45"/>
        <v>0.47977323403821209</v>
      </c>
      <c r="H2948" s="24" t="s">
        <v>589</v>
      </c>
      <c r="I2948" s="24" t="s">
        <v>596</v>
      </c>
      <c r="J2948" s="24" t="s">
        <v>597</v>
      </c>
      <c r="K2948" s="24" t="s">
        <v>612</v>
      </c>
    </row>
    <row r="2949" spans="1:11">
      <c r="A2949" s="12">
        <v>2022</v>
      </c>
      <c r="B2949" s="15" t="s">
        <v>21</v>
      </c>
      <c r="C2949" s="15" t="s">
        <v>57</v>
      </c>
      <c r="D2949" s="15" t="s">
        <v>58</v>
      </c>
      <c r="E2949" s="19">
        <v>573304</v>
      </c>
      <c r="F2949" s="19">
        <v>453208</v>
      </c>
      <c r="G2949" s="20">
        <f t="shared" si="45"/>
        <v>0.44150287575790637</v>
      </c>
      <c r="H2949" s="24" t="s">
        <v>589</v>
      </c>
      <c r="I2949" s="24" t="s">
        <v>596</v>
      </c>
      <c r="J2949" s="24" t="s">
        <v>597</v>
      </c>
      <c r="K2949" s="24" t="s">
        <v>612</v>
      </c>
    </row>
    <row r="2950" spans="1:11">
      <c r="A2950" s="12">
        <v>2022</v>
      </c>
      <c r="B2950" s="15" t="s">
        <v>21</v>
      </c>
      <c r="C2950" s="15" t="s">
        <v>59</v>
      </c>
      <c r="D2950" s="15" t="s">
        <v>60</v>
      </c>
      <c r="E2950" s="19">
        <v>373503</v>
      </c>
      <c r="F2950" s="19">
        <v>330087</v>
      </c>
      <c r="G2950" s="20">
        <f t="shared" ref="G2950:G3013" si="46">IFERROR(F2950/(E2950+F2950),"")</f>
        <v>0.46914680424679145</v>
      </c>
      <c r="H2950" s="24" t="s">
        <v>589</v>
      </c>
      <c r="I2950" s="24" t="s">
        <v>596</v>
      </c>
      <c r="J2950" s="24" t="s">
        <v>597</v>
      </c>
      <c r="K2950" s="24" t="s">
        <v>612</v>
      </c>
    </row>
    <row r="2951" spans="1:11">
      <c r="A2951" s="12">
        <v>2022</v>
      </c>
      <c r="B2951" s="15" t="s">
        <v>21</v>
      </c>
      <c r="C2951" s="15" t="s">
        <v>61</v>
      </c>
      <c r="D2951" s="15" t="s">
        <v>62</v>
      </c>
      <c r="E2951" s="19">
        <v>336564</v>
      </c>
      <c r="F2951" s="19">
        <v>294940</v>
      </c>
      <c r="G2951" s="20">
        <f t="shared" si="46"/>
        <v>0.46704375585902863</v>
      </c>
      <c r="H2951" s="24" t="s">
        <v>589</v>
      </c>
      <c r="I2951" s="24" t="s">
        <v>596</v>
      </c>
      <c r="J2951" s="24" t="s">
        <v>597</v>
      </c>
      <c r="K2951" s="24" t="s">
        <v>612</v>
      </c>
    </row>
    <row r="2952" spans="1:11">
      <c r="A2952" s="12">
        <v>2022</v>
      </c>
      <c r="B2952" s="15" t="s">
        <v>21</v>
      </c>
      <c r="C2952" s="15" t="s">
        <v>63</v>
      </c>
      <c r="D2952" s="15" t="s">
        <v>64</v>
      </c>
      <c r="E2952" s="19">
        <v>167429</v>
      </c>
      <c r="F2952" s="19">
        <v>179548</v>
      </c>
      <c r="G2952" s="20">
        <f t="shared" si="46"/>
        <v>0.51746369355893906</v>
      </c>
      <c r="H2952" s="24" t="s">
        <v>589</v>
      </c>
      <c r="I2952" s="24" t="s">
        <v>596</v>
      </c>
      <c r="J2952" s="24" t="s">
        <v>597</v>
      </c>
      <c r="K2952" s="24" t="s">
        <v>612</v>
      </c>
    </row>
    <row r="2953" spans="1:11">
      <c r="A2953" s="12">
        <v>2022</v>
      </c>
      <c r="B2953" s="15" t="s">
        <v>21</v>
      </c>
      <c r="C2953" s="15" t="s">
        <v>65</v>
      </c>
      <c r="D2953" s="15" t="s">
        <v>66</v>
      </c>
      <c r="E2953" s="19">
        <v>404486</v>
      </c>
      <c r="F2953" s="19">
        <v>302719</v>
      </c>
      <c r="G2953" s="20">
        <f t="shared" si="46"/>
        <v>0.42804985824478053</v>
      </c>
      <c r="H2953" s="24" t="s">
        <v>589</v>
      </c>
      <c r="I2953" s="24" t="s">
        <v>596</v>
      </c>
      <c r="J2953" s="24" t="s">
        <v>597</v>
      </c>
      <c r="K2953" s="24" t="s">
        <v>612</v>
      </c>
    </row>
    <row r="2954" spans="1:11">
      <c r="A2954" s="12">
        <v>2022</v>
      </c>
      <c r="B2954" s="15" t="s">
        <v>21</v>
      </c>
      <c r="C2954" s="15" t="s">
        <v>67</v>
      </c>
      <c r="D2954" s="15" t="s">
        <v>68</v>
      </c>
      <c r="E2954" s="19">
        <v>113706</v>
      </c>
      <c r="F2954" s="19">
        <v>116143</v>
      </c>
      <c r="G2954" s="20">
        <f t="shared" si="46"/>
        <v>0.50530130650992611</v>
      </c>
      <c r="H2954" s="24" t="s">
        <v>589</v>
      </c>
      <c r="I2954" s="24" t="s">
        <v>596</v>
      </c>
      <c r="J2954" s="24" t="s">
        <v>597</v>
      </c>
      <c r="K2954" s="24" t="s">
        <v>612</v>
      </c>
    </row>
    <row r="2955" spans="1:11">
      <c r="A2955" s="12">
        <v>2022</v>
      </c>
      <c r="B2955" s="15" t="s">
        <v>21</v>
      </c>
      <c r="C2955" s="15" t="s">
        <v>69</v>
      </c>
      <c r="D2955" s="15" t="s">
        <v>70</v>
      </c>
      <c r="E2955" s="19">
        <v>98405</v>
      </c>
      <c r="F2955" s="19">
        <v>103452</v>
      </c>
      <c r="G2955" s="20">
        <f t="shared" si="46"/>
        <v>0.51250142427560108</v>
      </c>
      <c r="H2955" s="24" t="s">
        <v>589</v>
      </c>
      <c r="I2955" s="24" t="s">
        <v>596</v>
      </c>
      <c r="J2955" s="24" t="s">
        <v>597</v>
      </c>
      <c r="K2955" s="24" t="s">
        <v>612</v>
      </c>
    </row>
    <row r="2956" spans="1:11">
      <c r="A2956" s="12">
        <v>2022</v>
      </c>
      <c r="B2956" s="15" t="s">
        <v>21</v>
      </c>
      <c r="C2956" s="15" t="s">
        <v>71</v>
      </c>
      <c r="D2956" s="15" t="s">
        <v>72</v>
      </c>
      <c r="E2956" s="19">
        <v>329674</v>
      </c>
      <c r="F2956" s="19">
        <v>273555</v>
      </c>
      <c r="G2956" s="20">
        <f t="shared" si="46"/>
        <v>0.45348449759544052</v>
      </c>
      <c r="H2956" s="24" t="s">
        <v>589</v>
      </c>
      <c r="I2956" s="24" t="s">
        <v>596</v>
      </c>
      <c r="J2956" s="24" t="s">
        <v>597</v>
      </c>
      <c r="K2956" s="24" t="s">
        <v>612</v>
      </c>
    </row>
    <row r="2957" spans="1:11">
      <c r="A2957" s="12">
        <v>2022</v>
      </c>
      <c r="B2957" s="15" t="s">
        <v>73</v>
      </c>
      <c r="C2957" s="15" t="s">
        <v>22</v>
      </c>
      <c r="D2957" s="15" t="s">
        <v>73</v>
      </c>
      <c r="E2957" s="19">
        <v>3138120</v>
      </c>
      <c r="F2957" s="19">
        <v>682699</v>
      </c>
      <c r="G2957" s="20">
        <f t="shared" si="46"/>
        <v>0.17867870736614322</v>
      </c>
      <c r="H2957" s="24" t="s">
        <v>603</v>
      </c>
      <c r="I2957" s="24" t="s">
        <v>604</v>
      </c>
      <c r="J2957" s="24" t="s">
        <v>605</v>
      </c>
      <c r="K2957" s="24" t="s">
        <v>612</v>
      </c>
    </row>
    <row r="2958" spans="1:11">
      <c r="A2958" s="12">
        <v>2022</v>
      </c>
      <c r="B2958" s="15" t="s">
        <v>73</v>
      </c>
      <c r="C2958" s="15" t="s">
        <v>29</v>
      </c>
      <c r="D2958" s="15" t="s">
        <v>74</v>
      </c>
      <c r="E2958" s="19">
        <v>117449</v>
      </c>
      <c r="F2958" s="19">
        <v>111707</v>
      </c>
      <c r="G2958" s="20">
        <f t="shared" si="46"/>
        <v>0.48747141685140255</v>
      </c>
      <c r="H2958" s="24" t="s">
        <v>603</v>
      </c>
      <c r="I2958" s="24" t="s">
        <v>604</v>
      </c>
      <c r="J2958" s="24" t="s">
        <v>605</v>
      </c>
      <c r="K2958" s="24" t="s">
        <v>612</v>
      </c>
    </row>
    <row r="2959" spans="1:11">
      <c r="A2959" s="12">
        <v>2022</v>
      </c>
      <c r="B2959" s="15" t="s">
        <v>73</v>
      </c>
      <c r="C2959" s="15" t="s">
        <v>75</v>
      </c>
      <c r="D2959" s="15" t="s">
        <v>76</v>
      </c>
      <c r="E2959" s="19">
        <v>189427</v>
      </c>
      <c r="F2959" s="19">
        <v>167356</v>
      </c>
      <c r="G2959" s="20">
        <f t="shared" si="46"/>
        <v>0.46906943436206322</v>
      </c>
      <c r="H2959" s="24" t="s">
        <v>603</v>
      </c>
      <c r="I2959" s="24" t="s">
        <v>604</v>
      </c>
      <c r="J2959" s="24" t="s">
        <v>605</v>
      </c>
      <c r="K2959" s="24" t="s">
        <v>612</v>
      </c>
    </row>
    <row r="2960" spans="1:11">
      <c r="A2960" s="12">
        <v>2022</v>
      </c>
      <c r="B2960" s="15" t="s">
        <v>73</v>
      </c>
      <c r="C2960" s="15" t="s">
        <v>77</v>
      </c>
      <c r="D2960" s="15" t="s">
        <v>78</v>
      </c>
      <c r="E2960" s="19">
        <v>153780</v>
      </c>
      <c r="F2960" s="19">
        <v>118777</v>
      </c>
      <c r="G2960" s="20">
        <f t="shared" si="46"/>
        <v>0.4357877434811801</v>
      </c>
      <c r="H2960" s="24" t="s">
        <v>603</v>
      </c>
      <c r="I2960" s="24" t="s">
        <v>604</v>
      </c>
      <c r="J2960" s="24" t="s">
        <v>605</v>
      </c>
      <c r="K2960" s="24" t="s">
        <v>612</v>
      </c>
    </row>
    <row r="2961" spans="1:11">
      <c r="A2961" s="12">
        <v>2022</v>
      </c>
      <c r="B2961" s="15" t="s">
        <v>73</v>
      </c>
      <c r="C2961" s="15" t="s">
        <v>79</v>
      </c>
      <c r="D2961" s="15" t="s">
        <v>80</v>
      </c>
      <c r="E2961" s="19">
        <v>218615</v>
      </c>
      <c r="F2961" s="19">
        <v>192465</v>
      </c>
      <c r="G2961" s="20">
        <f t="shared" si="46"/>
        <v>0.46819353897051669</v>
      </c>
      <c r="H2961" s="24" t="s">
        <v>603</v>
      </c>
      <c r="I2961" s="24" t="s">
        <v>604</v>
      </c>
      <c r="J2961" s="24" t="s">
        <v>605</v>
      </c>
      <c r="K2961" s="24" t="s">
        <v>612</v>
      </c>
    </row>
    <row r="2962" spans="1:11">
      <c r="A2962" s="12">
        <v>2022</v>
      </c>
      <c r="B2962" s="15" t="s">
        <v>73</v>
      </c>
      <c r="C2962" s="15" t="s">
        <v>81</v>
      </c>
      <c r="D2962" s="15" t="s">
        <v>82</v>
      </c>
      <c r="E2962" s="19">
        <v>70462</v>
      </c>
      <c r="F2962" s="19">
        <v>68228</v>
      </c>
      <c r="G2962" s="20">
        <f t="shared" si="46"/>
        <v>0.49194606676761121</v>
      </c>
      <c r="H2962" s="24" t="s">
        <v>603</v>
      </c>
      <c r="I2962" s="24" t="s">
        <v>604</v>
      </c>
      <c r="J2962" s="24" t="s">
        <v>605</v>
      </c>
      <c r="K2962" s="24" t="s">
        <v>612</v>
      </c>
    </row>
    <row r="2963" spans="1:11">
      <c r="A2963" s="12">
        <v>2022</v>
      </c>
      <c r="B2963" s="15" t="s">
        <v>73</v>
      </c>
      <c r="C2963" s="15" t="s">
        <v>83</v>
      </c>
      <c r="D2963" s="15" t="s">
        <v>84</v>
      </c>
      <c r="E2963" s="19">
        <v>235217</v>
      </c>
      <c r="F2963" s="19">
        <v>206444</v>
      </c>
      <c r="G2963" s="20">
        <f t="shared" si="46"/>
        <v>0.46742637452706942</v>
      </c>
      <c r="H2963" s="24" t="s">
        <v>603</v>
      </c>
      <c r="I2963" s="24" t="s">
        <v>604</v>
      </c>
      <c r="J2963" s="24" t="s">
        <v>605</v>
      </c>
      <c r="K2963" s="24" t="s">
        <v>612</v>
      </c>
    </row>
    <row r="2964" spans="1:11">
      <c r="A2964" s="12">
        <v>2022</v>
      </c>
      <c r="B2964" s="15" t="s">
        <v>73</v>
      </c>
      <c r="C2964" s="15" t="s">
        <v>85</v>
      </c>
      <c r="D2964" s="15" t="s">
        <v>86</v>
      </c>
      <c r="E2964" s="19">
        <v>306074</v>
      </c>
      <c r="F2964" s="19">
        <v>246869</v>
      </c>
      <c r="G2964" s="20">
        <f t="shared" si="46"/>
        <v>0.44646374038553704</v>
      </c>
      <c r="H2964" s="24" t="s">
        <v>603</v>
      </c>
      <c r="I2964" s="24" t="s">
        <v>604</v>
      </c>
      <c r="J2964" s="24" t="s">
        <v>605</v>
      </c>
      <c r="K2964" s="24" t="s">
        <v>612</v>
      </c>
    </row>
    <row r="2965" spans="1:11">
      <c r="A2965" s="12">
        <v>2022</v>
      </c>
      <c r="B2965" s="15" t="s">
        <v>73</v>
      </c>
      <c r="C2965" s="15" t="s">
        <v>87</v>
      </c>
      <c r="D2965" s="15" t="s">
        <v>88</v>
      </c>
      <c r="E2965" s="19">
        <v>246986</v>
      </c>
      <c r="F2965" s="19">
        <v>176303</v>
      </c>
      <c r="G2965" s="20">
        <f t="shared" si="46"/>
        <v>0.41650739801884762</v>
      </c>
      <c r="H2965" s="24" t="s">
        <v>603</v>
      </c>
      <c r="I2965" s="24" t="s">
        <v>604</v>
      </c>
      <c r="J2965" s="24" t="s">
        <v>605</v>
      </c>
      <c r="K2965" s="24" t="s">
        <v>612</v>
      </c>
    </row>
    <row r="2966" spans="1:11">
      <c r="A2966" s="12">
        <v>2022</v>
      </c>
      <c r="B2966" s="15" t="s">
        <v>73</v>
      </c>
      <c r="C2966" s="15" t="s">
        <v>89</v>
      </c>
      <c r="D2966" s="15" t="s">
        <v>90</v>
      </c>
      <c r="E2966" s="19">
        <v>169453</v>
      </c>
      <c r="F2966" s="19">
        <v>157846</v>
      </c>
      <c r="G2966" s="20">
        <f t="shared" si="46"/>
        <v>0.48226850677820587</v>
      </c>
      <c r="H2966" s="24" t="s">
        <v>603</v>
      </c>
      <c r="I2966" s="24" t="s">
        <v>604</v>
      </c>
      <c r="J2966" s="24" t="s">
        <v>605</v>
      </c>
      <c r="K2966" s="24" t="s">
        <v>612</v>
      </c>
    </row>
    <row r="2967" spans="1:11">
      <c r="A2967" s="12">
        <v>2022</v>
      </c>
      <c r="B2967" s="15" t="s">
        <v>73</v>
      </c>
      <c r="C2967" s="15" t="s">
        <v>91</v>
      </c>
      <c r="D2967" s="15" t="s">
        <v>92</v>
      </c>
      <c r="E2967" s="19">
        <v>266849</v>
      </c>
      <c r="F2967" s="19">
        <v>200644</v>
      </c>
      <c r="G2967" s="20">
        <f t="shared" si="46"/>
        <v>0.4291914531340576</v>
      </c>
      <c r="H2967" s="24" t="s">
        <v>603</v>
      </c>
      <c r="I2967" s="24" t="s">
        <v>604</v>
      </c>
      <c r="J2967" s="24" t="s">
        <v>605</v>
      </c>
      <c r="K2967" s="24" t="s">
        <v>612</v>
      </c>
    </row>
    <row r="2968" spans="1:11">
      <c r="A2968" s="12">
        <v>2022</v>
      </c>
      <c r="B2968" s="15" t="s">
        <v>73</v>
      </c>
      <c r="C2968" s="15" t="s">
        <v>93</v>
      </c>
      <c r="D2968" s="15" t="s">
        <v>94</v>
      </c>
      <c r="E2968" s="19">
        <v>87235</v>
      </c>
      <c r="F2968" s="19">
        <v>82177</v>
      </c>
      <c r="G2968" s="20">
        <f t="shared" si="46"/>
        <v>0.48507189573347814</v>
      </c>
      <c r="H2968" s="24" t="s">
        <v>603</v>
      </c>
      <c r="I2968" s="24" t="s">
        <v>604</v>
      </c>
      <c r="J2968" s="24" t="s">
        <v>605</v>
      </c>
      <c r="K2968" s="24" t="s">
        <v>612</v>
      </c>
    </row>
    <row r="2969" spans="1:11">
      <c r="A2969" s="12">
        <v>2022</v>
      </c>
      <c r="B2969" s="15" t="s">
        <v>73</v>
      </c>
      <c r="C2969" s="15" t="s">
        <v>95</v>
      </c>
      <c r="D2969" s="15" t="s">
        <v>96</v>
      </c>
      <c r="E2969" s="19">
        <v>142629</v>
      </c>
      <c r="F2969" s="19">
        <v>134599</v>
      </c>
      <c r="G2969" s="20">
        <f t="shared" si="46"/>
        <v>0.48551733591123553</v>
      </c>
      <c r="H2969" s="24" t="s">
        <v>603</v>
      </c>
      <c r="I2969" s="24" t="s">
        <v>604</v>
      </c>
      <c r="J2969" s="24" t="s">
        <v>605</v>
      </c>
      <c r="K2969" s="24" t="s">
        <v>612</v>
      </c>
    </row>
    <row r="2970" spans="1:11">
      <c r="A2970" s="12">
        <v>2022</v>
      </c>
      <c r="B2970" s="15" t="s">
        <v>73</v>
      </c>
      <c r="C2970" s="15" t="s">
        <v>97</v>
      </c>
      <c r="D2970" s="15" t="s">
        <v>98</v>
      </c>
      <c r="E2970" s="19">
        <v>168762</v>
      </c>
      <c r="F2970" s="19">
        <v>164611</v>
      </c>
      <c r="G2970" s="20">
        <f t="shared" si="46"/>
        <v>0.493774240865337</v>
      </c>
      <c r="H2970" s="24" t="s">
        <v>603</v>
      </c>
      <c r="I2970" s="24" t="s">
        <v>604</v>
      </c>
      <c r="J2970" s="24" t="s">
        <v>605</v>
      </c>
      <c r="K2970" s="24" t="s">
        <v>612</v>
      </c>
    </row>
    <row r="2971" spans="1:11">
      <c r="A2971" s="12">
        <v>2022</v>
      </c>
      <c r="B2971" s="15" t="s">
        <v>73</v>
      </c>
      <c r="C2971" s="15" t="s">
        <v>99</v>
      </c>
      <c r="D2971" s="15" t="s">
        <v>100</v>
      </c>
      <c r="E2971" s="19">
        <v>93426</v>
      </c>
      <c r="F2971" s="19">
        <v>77154</v>
      </c>
      <c r="G2971" s="20">
        <f t="shared" si="46"/>
        <v>0.45230390432641576</v>
      </c>
      <c r="H2971" s="24" t="s">
        <v>603</v>
      </c>
      <c r="I2971" s="24" t="s">
        <v>604</v>
      </c>
      <c r="J2971" s="24" t="s">
        <v>605</v>
      </c>
      <c r="K2971" s="24" t="s">
        <v>612</v>
      </c>
    </row>
    <row r="2972" spans="1:11">
      <c r="A2972" s="12">
        <v>2022</v>
      </c>
      <c r="B2972" s="15" t="s">
        <v>73</v>
      </c>
      <c r="C2972" s="15" t="s">
        <v>69</v>
      </c>
      <c r="D2972" s="15" t="s">
        <v>101</v>
      </c>
      <c r="E2972" s="19">
        <v>30051</v>
      </c>
      <c r="F2972" s="19">
        <v>32583</v>
      </c>
      <c r="G2972" s="20">
        <f t="shared" si="46"/>
        <v>0.52021266404828048</v>
      </c>
      <c r="H2972" s="24" t="s">
        <v>603</v>
      </c>
      <c r="I2972" s="24" t="s">
        <v>604</v>
      </c>
      <c r="J2972" s="24" t="s">
        <v>605</v>
      </c>
      <c r="K2972" s="24" t="s">
        <v>612</v>
      </c>
    </row>
    <row r="2973" spans="1:11">
      <c r="A2973" s="12">
        <v>2022</v>
      </c>
      <c r="B2973" s="15" t="s">
        <v>73</v>
      </c>
      <c r="C2973" s="15" t="s">
        <v>102</v>
      </c>
      <c r="D2973" s="15" t="s">
        <v>103</v>
      </c>
      <c r="E2973" s="19">
        <v>338654</v>
      </c>
      <c r="F2973" s="19">
        <v>254978</v>
      </c>
      <c r="G2973" s="20">
        <f t="shared" si="46"/>
        <v>0.42952199342353514</v>
      </c>
      <c r="H2973" s="24" t="s">
        <v>603</v>
      </c>
      <c r="I2973" s="24" t="s">
        <v>604</v>
      </c>
      <c r="J2973" s="24" t="s">
        <v>605</v>
      </c>
      <c r="K2973" s="24" t="s">
        <v>612</v>
      </c>
    </row>
    <row r="2974" spans="1:11">
      <c r="A2974" s="12">
        <v>2022</v>
      </c>
      <c r="B2974" s="15" t="s">
        <v>104</v>
      </c>
      <c r="C2974" s="15" t="s">
        <v>22</v>
      </c>
      <c r="D2974" s="15" t="s">
        <v>104</v>
      </c>
      <c r="E2974" s="19">
        <v>2254031</v>
      </c>
      <c r="F2974" s="19">
        <v>457541</v>
      </c>
      <c r="G2974" s="20">
        <f t="shared" si="46"/>
        <v>0.1687364377564011</v>
      </c>
      <c r="H2974" s="24" t="s">
        <v>603</v>
      </c>
      <c r="I2974" s="24" t="s">
        <v>604</v>
      </c>
      <c r="J2974" s="24" t="s">
        <v>605</v>
      </c>
      <c r="K2974" s="24" t="s">
        <v>612</v>
      </c>
    </row>
    <row r="2975" spans="1:11">
      <c r="A2975" s="12">
        <v>2022</v>
      </c>
      <c r="B2975" s="15" t="s">
        <v>104</v>
      </c>
      <c r="C2975" s="15" t="s">
        <v>79</v>
      </c>
      <c r="D2975" s="15" t="s">
        <v>107</v>
      </c>
      <c r="E2975" s="19">
        <v>111476</v>
      </c>
      <c r="F2975" s="19">
        <v>117115</v>
      </c>
      <c r="G2975" s="20">
        <f t="shared" si="46"/>
        <v>0.51233425637929753</v>
      </c>
      <c r="H2975" s="24" t="s">
        <v>603</v>
      </c>
      <c r="I2975" s="24" t="s">
        <v>604</v>
      </c>
      <c r="J2975" s="24" t="s">
        <v>605</v>
      </c>
      <c r="K2975" s="24" t="s">
        <v>612</v>
      </c>
    </row>
    <row r="2976" spans="1:11">
      <c r="A2976" s="12">
        <v>2022</v>
      </c>
      <c r="B2976" s="15" t="s">
        <v>104</v>
      </c>
      <c r="C2976" s="15" t="s">
        <v>108</v>
      </c>
      <c r="D2976" s="15" t="s">
        <v>109</v>
      </c>
      <c r="E2976" s="19">
        <v>486578</v>
      </c>
      <c r="F2976" s="19">
        <v>365683</v>
      </c>
      <c r="G2976" s="20">
        <f t="shared" si="46"/>
        <v>0.42907395739098703</v>
      </c>
      <c r="H2976" s="24" t="s">
        <v>603</v>
      </c>
      <c r="I2976" s="24" t="s">
        <v>604</v>
      </c>
      <c r="J2976" s="24" t="s">
        <v>605</v>
      </c>
      <c r="K2976" s="24" t="s">
        <v>612</v>
      </c>
    </row>
    <row r="2977" spans="1:11">
      <c r="A2977" s="12">
        <v>2022</v>
      </c>
      <c r="B2977" s="15" t="s">
        <v>104</v>
      </c>
      <c r="C2977" s="15" t="s">
        <v>110</v>
      </c>
      <c r="D2977" s="15" t="s">
        <v>111</v>
      </c>
      <c r="E2977" s="19">
        <v>226192</v>
      </c>
      <c r="F2977" s="19">
        <v>206121</v>
      </c>
      <c r="G2977" s="20">
        <f t="shared" si="46"/>
        <v>0.47678649497007952</v>
      </c>
      <c r="H2977" s="24" t="s">
        <v>603</v>
      </c>
      <c r="I2977" s="24" t="s">
        <v>604</v>
      </c>
      <c r="J2977" s="24" t="s">
        <v>605</v>
      </c>
      <c r="K2977" s="24" t="s">
        <v>612</v>
      </c>
    </row>
    <row r="2978" spans="1:11">
      <c r="A2978" s="12">
        <v>2022</v>
      </c>
      <c r="B2978" s="15" t="s">
        <v>104</v>
      </c>
      <c r="C2978" s="15" t="s">
        <v>81</v>
      </c>
      <c r="D2978" s="15" t="s">
        <v>112</v>
      </c>
      <c r="E2978" s="19">
        <v>294725</v>
      </c>
      <c r="F2978" s="19">
        <v>246248</v>
      </c>
      <c r="G2978" s="20">
        <f t="shared" si="46"/>
        <v>0.45519462154303447</v>
      </c>
      <c r="H2978" s="24" t="s">
        <v>603</v>
      </c>
      <c r="I2978" s="24" t="s">
        <v>604</v>
      </c>
      <c r="J2978" s="24" t="s">
        <v>605</v>
      </c>
      <c r="K2978" s="24" t="s">
        <v>612</v>
      </c>
    </row>
    <row r="2979" spans="1:11">
      <c r="A2979" s="12">
        <v>2022</v>
      </c>
      <c r="B2979" s="15" t="s">
        <v>104</v>
      </c>
      <c r="C2979" s="15" t="s">
        <v>87</v>
      </c>
      <c r="D2979" s="15" t="s">
        <v>113</v>
      </c>
      <c r="E2979" s="19">
        <v>383984</v>
      </c>
      <c r="F2979" s="19">
        <v>294073</v>
      </c>
      <c r="G2979" s="20">
        <f t="shared" si="46"/>
        <v>0.43369952673595286</v>
      </c>
      <c r="H2979" s="24" t="s">
        <v>603</v>
      </c>
      <c r="I2979" s="24" t="s">
        <v>604</v>
      </c>
      <c r="J2979" s="24" t="s">
        <v>605</v>
      </c>
      <c r="K2979" s="24" t="s">
        <v>612</v>
      </c>
    </row>
    <row r="2980" spans="1:11">
      <c r="A2980" s="12">
        <v>2022</v>
      </c>
      <c r="B2980" s="15" t="s">
        <v>104</v>
      </c>
      <c r="C2980" s="15" t="s">
        <v>93</v>
      </c>
      <c r="D2980" s="15" t="s">
        <v>114</v>
      </c>
      <c r="E2980" s="19">
        <v>129558</v>
      </c>
      <c r="F2980" s="19">
        <v>131320</v>
      </c>
      <c r="G2980" s="20">
        <f t="shared" si="46"/>
        <v>0.50337705747514161</v>
      </c>
      <c r="H2980" s="24" t="s">
        <v>603</v>
      </c>
      <c r="I2980" s="24" t="s">
        <v>604</v>
      </c>
      <c r="J2980" s="24" t="s">
        <v>605</v>
      </c>
      <c r="K2980" s="24" t="s">
        <v>612</v>
      </c>
    </row>
    <row r="2981" spans="1:11">
      <c r="A2981" s="12">
        <v>2022</v>
      </c>
      <c r="B2981" s="15" t="s">
        <v>104</v>
      </c>
      <c r="C2981" s="15" t="s">
        <v>115</v>
      </c>
      <c r="D2981" s="15" t="s">
        <v>116</v>
      </c>
      <c r="E2981" s="19">
        <v>362300</v>
      </c>
      <c r="F2981" s="19">
        <v>301667</v>
      </c>
      <c r="G2981" s="20">
        <f t="shared" si="46"/>
        <v>0.45434035125239658</v>
      </c>
      <c r="H2981" s="24" t="s">
        <v>603</v>
      </c>
      <c r="I2981" s="24" t="s">
        <v>604</v>
      </c>
      <c r="J2981" s="24" t="s">
        <v>605</v>
      </c>
      <c r="K2981" s="24" t="s">
        <v>612</v>
      </c>
    </row>
    <row r="2982" spans="1:11">
      <c r="A2982" s="12">
        <v>2022</v>
      </c>
      <c r="B2982" s="15" t="s">
        <v>104</v>
      </c>
      <c r="C2982" s="15" t="s">
        <v>69</v>
      </c>
      <c r="D2982" s="15" t="s">
        <v>117</v>
      </c>
      <c r="E2982" s="19">
        <v>65021</v>
      </c>
      <c r="F2982" s="19">
        <v>65718</v>
      </c>
      <c r="G2982" s="20">
        <f t="shared" si="46"/>
        <v>0.50266561622775152</v>
      </c>
      <c r="H2982" s="24" t="s">
        <v>603</v>
      </c>
      <c r="I2982" s="24" t="s">
        <v>604</v>
      </c>
      <c r="J2982" s="24" t="s">
        <v>605</v>
      </c>
      <c r="K2982" s="24" t="s">
        <v>612</v>
      </c>
    </row>
    <row r="2983" spans="1:11">
      <c r="A2983" s="12">
        <v>2022</v>
      </c>
      <c r="B2983" s="15" t="s">
        <v>118</v>
      </c>
      <c r="C2983" s="15" t="s">
        <v>22</v>
      </c>
      <c r="D2983" s="15" t="s">
        <v>118</v>
      </c>
      <c r="E2983" s="19">
        <v>2776264</v>
      </c>
      <c r="F2983" s="19">
        <v>1110397</v>
      </c>
      <c r="G2983" s="20">
        <f t="shared" si="46"/>
        <v>0.28569432734164363</v>
      </c>
      <c r="H2983" s="24" t="s">
        <v>589</v>
      </c>
      <c r="I2983" s="24" t="s">
        <v>596</v>
      </c>
      <c r="J2983" s="24" t="s">
        <v>597</v>
      </c>
      <c r="K2983" s="24" t="s">
        <v>612</v>
      </c>
    </row>
    <row r="2984" spans="1:11">
      <c r="A2984" s="12">
        <v>2022</v>
      </c>
      <c r="B2984" s="15" t="s">
        <v>118</v>
      </c>
      <c r="C2984" s="15" t="s">
        <v>119</v>
      </c>
      <c r="D2984" s="15" t="s">
        <v>120</v>
      </c>
      <c r="E2984" s="19">
        <v>55289</v>
      </c>
      <c r="F2984" s="19">
        <v>51091</v>
      </c>
      <c r="G2984" s="20">
        <f t="shared" si="46"/>
        <v>0.4802688475277308</v>
      </c>
      <c r="H2984" s="24" t="s">
        <v>589</v>
      </c>
      <c r="I2984" s="24" t="s">
        <v>596</v>
      </c>
      <c r="J2984" s="24" t="s">
        <v>597</v>
      </c>
      <c r="K2984" s="24" t="s">
        <v>612</v>
      </c>
    </row>
    <row r="2985" spans="1:11">
      <c r="A2985" s="12">
        <v>2022</v>
      </c>
      <c r="B2985" s="15" t="s">
        <v>118</v>
      </c>
      <c r="C2985" s="15" t="s">
        <v>121</v>
      </c>
      <c r="D2985" s="15" t="s">
        <v>122</v>
      </c>
      <c r="E2985" s="19">
        <v>253063</v>
      </c>
      <c r="F2985" s="19">
        <v>184327</v>
      </c>
      <c r="G2985" s="20">
        <f t="shared" si="46"/>
        <v>0.42142481538215321</v>
      </c>
      <c r="H2985" s="24" t="s">
        <v>589</v>
      </c>
      <c r="I2985" s="24" t="s">
        <v>596</v>
      </c>
      <c r="J2985" s="24" t="s">
        <v>597</v>
      </c>
      <c r="K2985" s="24" t="s">
        <v>612</v>
      </c>
    </row>
    <row r="2986" spans="1:11">
      <c r="A2986" s="12">
        <v>2022</v>
      </c>
      <c r="B2986" s="15" t="s">
        <v>118</v>
      </c>
      <c r="C2986" s="15" t="s">
        <v>124</v>
      </c>
      <c r="D2986" s="15" t="s">
        <v>125</v>
      </c>
      <c r="E2986" s="19">
        <v>452832</v>
      </c>
      <c r="F2986" s="19">
        <v>327715</v>
      </c>
      <c r="G2986" s="20">
        <f t="shared" si="46"/>
        <v>0.41985300052399149</v>
      </c>
      <c r="H2986" s="24" t="s">
        <v>589</v>
      </c>
      <c r="I2986" s="24" t="s">
        <v>596</v>
      </c>
      <c r="J2986" s="24" t="s">
        <v>597</v>
      </c>
      <c r="K2986" s="24" t="s">
        <v>612</v>
      </c>
    </row>
    <row r="2987" spans="1:11">
      <c r="A2987" s="12">
        <v>2022</v>
      </c>
      <c r="B2987" s="15" t="s">
        <v>118</v>
      </c>
      <c r="C2987" s="15" t="s">
        <v>81</v>
      </c>
      <c r="D2987" s="15" t="s">
        <v>126</v>
      </c>
      <c r="E2987" s="19">
        <v>48311</v>
      </c>
      <c r="F2987" s="19">
        <v>47468</v>
      </c>
      <c r="G2987" s="20">
        <f t="shared" si="46"/>
        <v>0.49559924409317285</v>
      </c>
      <c r="H2987" s="24" t="s">
        <v>589</v>
      </c>
      <c r="I2987" s="24" t="s">
        <v>596</v>
      </c>
      <c r="J2987" s="24" t="s">
        <v>597</v>
      </c>
      <c r="K2987" s="24" t="s">
        <v>612</v>
      </c>
    </row>
    <row r="2988" spans="1:11">
      <c r="A2988" s="12">
        <v>2022</v>
      </c>
      <c r="B2988" s="15" t="s">
        <v>118</v>
      </c>
      <c r="C2988" s="15" t="s">
        <v>127</v>
      </c>
      <c r="D2988" s="15" t="s">
        <v>128</v>
      </c>
      <c r="E2988" s="19">
        <v>344319</v>
      </c>
      <c r="F2988" s="19">
        <v>298028</v>
      </c>
      <c r="G2988" s="20">
        <f t="shared" si="46"/>
        <v>0.46396729493560335</v>
      </c>
      <c r="H2988" s="24" t="s">
        <v>589</v>
      </c>
      <c r="I2988" s="24" t="s">
        <v>596</v>
      </c>
      <c r="J2988" s="24" t="s">
        <v>597</v>
      </c>
      <c r="K2988" s="24" t="s">
        <v>612</v>
      </c>
    </row>
    <row r="2989" spans="1:11">
      <c r="A2989" s="12">
        <v>2022</v>
      </c>
      <c r="B2989" s="15" t="s">
        <v>118</v>
      </c>
      <c r="C2989" s="15" t="s">
        <v>129</v>
      </c>
      <c r="D2989" s="15" t="s">
        <v>130</v>
      </c>
      <c r="E2989" s="19">
        <v>432115</v>
      </c>
      <c r="F2989" s="19">
        <v>327508</v>
      </c>
      <c r="G2989" s="20">
        <f t="shared" si="46"/>
        <v>0.43114544978232622</v>
      </c>
      <c r="H2989" s="24" t="s">
        <v>589</v>
      </c>
      <c r="I2989" s="24" t="s">
        <v>596</v>
      </c>
      <c r="J2989" s="24" t="s">
        <v>597</v>
      </c>
      <c r="K2989" s="24" t="s">
        <v>612</v>
      </c>
    </row>
    <row r="2990" spans="1:11">
      <c r="A2990" s="12">
        <v>2022</v>
      </c>
      <c r="B2990" s="15" t="s">
        <v>118</v>
      </c>
      <c r="C2990" s="15" t="s">
        <v>93</v>
      </c>
      <c r="D2990" s="15" t="s">
        <v>131</v>
      </c>
      <c r="E2990" s="19">
        <v>525260</v>
      </c>
      <c r="F2990" s="19">
        <v>367242</v>
      </c>
      <c r="G2990" s="20">
        <f t="shared" si="46"/>
        <v>0.41147470817992565</v>
      </c>
      <c r="H2990" s="24" t="s">
        <v>589</v>
      </c>
      <c r="I2990" s="24" t="s">
        <v>596</v>
      </c>
      <c r="J2990" s="24" t="s">
        <v>597</v>
      </c>
      <c r="K2990" s="24" t="s">
        <v>612</v>
      </c>
    </row>
    <row r="2991" spans="1:11">
      <c r="A2991" s="12">
        <v>2022</v>
      </c>
      <c r="B2991" s="15" t="s">
        <v>118</v>
      </c>
      <c r="C2991" s="15" t="s">
        <v>132</v>
      </c>
      <c r="D2991" s="15" t="s">
        <v>133</v>
      </c>
      <c r="E2991" s="19">
        <v>348003</v>
      </c>
      <c r="F2991" s="19">
        <v>256602</v>
      </c>
      <c r="G2991" s="20">
        <f t="shared" si="46"/>
        <v>0.42441263304140719</v>
      </c>
      <c r="H2991" s="24" t="s">
        <v>589</v>
      </c>
      <c r="I2991" s="24" t="s">
        <v>596</v>
      </c>
      <c r="J2991" s="24" t="s">
        <v>597</v>
      </c>
      <c r="K2991" s="24" t="s">
        <v>612</v>
      </c>
    </row>
    <row r="2992" spans="1:11">
      <c r="A2992" s="12">
        <v>2022</v>
      </c>
      <c r="B2992" s="15" t="s">
        <v>118</v>
      </c>
      <c r="C2992" s="15" t="s">
        <v>134</v>
      </c>
      <c r="D2992" s="15" t="s">
        <v>135</v>
      </c>
      <c r="E2992" s="19">
        <v>12420</v>
      </c>
      <c r="F2992" s="19">
        <v>18643</v>
      </c>
      <c r="G2992" s="20">
        <f t="shared" si="46"/>
        <v>0.60016740173196403</v>
      </c>
      <c r="H2992" s="24" t="s">
        <v>589</v>
      </c>
      <c r="I2992" s="24" t="s">
        <v>596</v>
      </c>
      <c r="J2992" s="24" t="s">
        <v>597</v>
      </c>
      <c r="K2992" s="24" t="s">
        <v>612</v>
      </c>
    </row>
    <row r="2993" spans="1:11">
      <c r="A2993" s="12">
        <v>2022</v>
      </c>
      <c r="B2993" s="15" t="s">
        <v>118</v>
      </c>
      <c r="C2993" s="15" t="s">
        <v>69</v>
      </c>
      <c r="D2993" s="15" t="s">
        <v>136</v>
      </c>
      <c r="E2993" s="19">
        <v>124043</v>
      </c>
      <c r="F2993" s="19">
        <v>113072</v>
      </c>
      <c r="G2993" s="20">
        <f t="shared" si="46"/>
        <v>0.4768656559053624</v>
      </c>
      <c r="H2993" s="24" t="s">
        <v>589</v>
      </c>
      <c r="I2993" s="24" t="s">
        <v>596</v>
      </c>
      <c r="J2993" s="24" t="s">
        <v>597</v>
      </c>
      <c r="K2993" s="24" t="s">
        <v>612</v>
      </c>
    </row>
    <row r="2994" spans="1:11">
      <c r="A2994" s="12">
        <v>2022</v>
      </c>
      <c r="B2994" s="15" t="s">
        <v>137</v>
      </c>
      <c r="C2994" s="15" t="s">
        <v>22</v>
      </c>
      <c r="D2994" s="15" t="s">
        <v>137</v>
      </c>
      <c r="E2994" s="19">
        <v>1364808</v>
      </c>
      <c r="F2994" s="19">
        <v>334517</v>
      </c>
      <c r="G2994" s="20">
        <f t="shared" si="46"/>
        <v>0.1968528680505495</v>
      </c>
      <c r="H2994" s="24" t="s">
        <v>583</v>
      </c>
      <c r="I2994" s="24" t="s">
        <v>606</v>
      </c>
      <c r="J2994" s="24" t="s">
        <v>607</v>
      </c>
      <c r="K2994" s="24" t="s">
        <v>612</v>
      </c>
    </row>
    <row r="2995" spans="1:11">
      <c r="A2995" s="12">
        <v>2022</v>
      </c>
      <c r="B2995" s="15" t="s">
        <v>137</v>
      </c>
      <c r="C2995" s="15" t="s">
        <v>138</v>
      </c>
      <c r="D2995" s="15" t="s">
        <v>139</v>
      </c>
      <c r="E2995" s="19">
        <v>369072</v>
      </c>
      <c r="F2995" s="19">
        <v>239976</v>
      </c>
      <c r="G2995" s="20">
        <f t="shared" si="46"/>
        <v>0.39401820546163852</v>
      </c>
      <c r="H2995" s="24" t="s">
        <v>583</v>
      </c>
      <c r="I2995" s="24" t="s">
        <v>606</v>
      </c>
      <c r="J2995" s="24" t="s">
        <v>607</v>
      </c>
      <c r="K2995" s="24" t="s">
        <v>612</v>
      </c>
    </row>
    <row r="2996" spans="1:11">
      <c r="A2996" s="12">
        <v>2022</v>
      </c>
      <c r="B2996" s="15" t="s">
        <v>137</v>
      </c>
      <c r="C2996" s="15" t="s">
        <v>79</v>
      </c>
      <c r="D2996" s="15" t="s">
        <v>140</v>
      </c>
      <c r="E2996" s="19">
        <v>181939</v>
      </c>
      <c r="F2996" s="19">
        <v>159097</v>
      </c>
      <c r="G2996" s="20">
        <f t="shared" si="46"/>
        <v>0.46651086688795318</v>
      </c>
      <c r="H2996" s="24" t="s">
        <v>583</v>
      </c>
      <c r="I2996" s="24" t="s">
        <v>606</v>
      </c>
      <c r="J2996" s="24" t="s">
        <v>607</v>
      </c>
      <c r="K2996" s="24" t="s">
        <v>612</v>
      </c>
    </row>
    <row r="2997" spans="1:11">
      <c r="A2997" s="12">
        <v>2022</v>
      </c>
      <c r="B2997" s="15" t="s">
        <v>137</v>
      </c>
      <c r="C2997" s="15" t="s">
        <v>81</v>
      </c>
      <c r="D2997" s="15" t="s">
        <v>141</v>
      </c>
      <c r="E2997" s="19">
        <v>85489</v>
      </c>
      <c r="F2997" s="19">
        <v>88191</v>
      </c>
      <c r="G2997" s="20">
        <f t="shared" si="46"/>
        <v>0.50777867342238603</v>
      </c>
      <c r="H2997" s="24" t="s">
        <v>583</v>
      </c>
      <c r="I2997" s="24" t="s">
        <v>606</v>
      </c>
      <c r="J2997" s="24" t="s">
        <v>607</v>
      </c>
      <c r="K2997" s="24" t="s">
        <v>612</v>
      </c>
    </row>
    <row r="2998" spans="1:11">
      <c r="A2998" s="12">
        <v>2022</v>
      </c>
      <c r="B2998" s="15" t="s">
        <v>137</v>
      </c>
      <c r="C2998" s="15" t="s">
        <v>87</v>
      </c>
      <c r="D2998" s="15" t="s">
        <v>142</v>
      </c>
      <c r="E2998" s="19">
        <v>371081</v>
      </c>
      <c r="F2998" s="19">
        <v>295186</v>
      </c>
      <c r="G2998" s="20">
        <f t="shared" si="46"/>
        <v>0.44304460524084188</v>
      </c>
      <c r="H2998" s="24" t="s">
        <v>583</v>
      </c>
      <c r="I2998" s="24" t="s">
        <v>606</v>
      </c>
      <c r="J2998" s="24" t="s">
        <v>607</v>
      </c>
      <c r="K2998" s="24" t="s">
        <v>612</v>
      </c>
    </row>
    <row r="2999" spans="1:11">
      <c r="A2999" s="12">
        <v>2022</v>
      </c>
      <c r="B2999" s="15" t="s">
        <v>137</v>
      </c>
      <c r="C2999" s="15" t="s">
        <v>93</v>
      </c>
      <c r="D2999" s="15" t="s">
        <v>143</v>
      </c>
      <c r="E2999" s="19">
        <v>252305</v>
      </c>
      <c r="F2999" s="19">
        <v>201901</v>
      </c>
      <c r="G2999" s="20">
        <f t="shared" si="46"/>
        <v>0.44451416317706061</v>
      </c>
      <c r="H2999" s="24" t="s">
        <v>583</v>
      </c>
      <c r="I2999" s="24" t="s">
        <v>606</v>
      </c>
      <c r="J2999" s="24" t="s">
        <v>607</v>
      </c>
      <c r="K2999" s="24" t="s">
        <v>612</v>
      </c>
    </row>
    <row r="3000" spans="1:11">
      <c r="A3000" s="12">
        <v>2022</v>
      </c>
      <c r="B3000" s="15" t="s">
        <v>144</v>
      </c>
      <c r="C3000" s="15" t="s">
        <v>22</v>
      </c>
      <c r="D3000" s="15" t="s">
        <v>144</v>
      </c>
      <c r="E3000" s="19">
        <v>1373716</v>
      </c>
      <c r="F3000" s="19">
        <v>358398</v>
      </c>
      <c r="G3000" s="20">
        <f t="shared" si="46"/>
        <v>0.20691363270546859</v>
      </c>
      <c r="H3000" s="24" t="s">
        <v>586</v>
      </c>
      <c r="I3000" s="24" t="s">
        <v>608</v>
      </c>
      <c r="J3000" s="24" t="s">
        <v>609</v>
      </c>
      <c r="K3000" s="24" t="s">
        <v>612</v>
      </c>
    </row>
    <row r="3001" spans="1:11">
      <c r="A3001" s="12">
        <v>2022</v>
      </c>
      <c r="B3001" s="15" t="s">
        <v>144</v>
      </c>
      <c r="C3001" s="15" t="s">
        <v>145</v>
      </c>
      <c r="D3001" s="15" t="s">
        <v>146</v>
      </c>
      <c r="E3001" s="19">
        <v>148077</v>
      </c>
      <c r="F3001" s="19">
        <v>136683</v>
      </c>
      <c r="G3001" s="20">
        <f t="shared" si="46"/>
        <v>0.47999367888748418</v>
      </c>
      <c r="H3001" s="24" t="s">
        <v>586</v>
      </c>
      <c r="I3001" s="24" t="s">
        <v>608</v>
      </c>
      <c r="J3001" s="24" t="s">
        <v>609</v>
      </c>
      <c r="K3001" s="24" t="s">
        <v>612</v>
      </c>
    </row>
    <row r="3002" spans="1:11">
      <c r="A3002" s="12">
        <v>2022</v>
      </c>
      <c r="B3002" s="15" t="s">
        <v>144</v>
      </c>
      <c r="C3002" s="15" t="s">
        <v>81</v>
      </c>
      <c r="D3002" s="15" t="s">
        <v>147</v>
      </c>
      <c r="E3002" s="19">
        <v>186879</v>
      </c>
      <c r="F3002" s="19">
        <v>178357</v>
      </c>
      <c r="G3002" s="20">
        <f t="shared" si="46"/>
        <v>0.48833357062283017</v>
      </c>
      <c r="H3002" s="24" t="s">
        <v>586</v>
      </c>
      <c r="I3002" s="24" t="s">
        <v>608</v>
      </c>
      <c r="J3002" s="24" t="s">
        <v>609</v>
      </c>
      <c r="K3002" s="24" t="s">
        <v>612</v>
      </c>
    </row>
    <row r="3003" spans="1:11">
      <c r="A3003" s="12">
        <v>2022</v>
      </c>
      <c r="B3003" s="15" t="s">
        <v>144</v>
      </c>
      <c r="C3003" s="15" t="s">
        <v>93</v>
      </c>
      <c r="D3003" s="15" t="s">
        <v>148</v>
      </c>
      <c r="E3003" s="19">
        <v>425162</v>
      </c>
      <c r="F3003" s="19">
        <v>307972</v>
      </c>
      <c r="G3003" s="20">
        <f t="shared" si="46"/>
        <v>0.42007600247703691</v>
      </c>
      <c r="H3003" s="24" t="s">
        <v>586</v>
      </c>
      <c r="I3003" s="24" t="s">
        <v>608</v>
      </c>
      <c r="J3003" s="24" t="s">
        <v>609</v>
      </c>
      <c r="K3003" s="24" t="s">
        <v>612</v>
      </c>
    </row>
    <row r="3004" spans="1:11">
      <c r="A3004" s="12">
        <v>2022</v>
      </c>
      <c r="B3004" s="15" t="s">
        <v>144</v>
      </c>
      <c r="C3004" s="15" t="s">
        <v>149</v>
      </c>
      <c r="D3004" s="15" t="s">
        <v>150</v>
      </c>
      <c r="E3004" s="19">
        <v>315863</v>
      </c>
      <c r="F3004" s="19">
        <v>264561</v>
      </c>
      <c r="G3004" s="20">
        <f t="shared" si="46"/>
        <v>0.45580644494369632</v>
      </c>
      <c r="H3004" s="24" t="s">
        <v>586</v>
      </c>
      <c r="I3004" s="24" t="s">
        <v>608</v>
      </c>
      <c r="J3004" s="24" t="s">
        <v>609</v>
      </c>
      <c r="K3004" s="24" t="s">
        <v>612</v>
      </c>
    </row>
    <row r="3005" spans="1:11">
      <c r="A3005" s="12">
        <v>2022</v>
      </c>
      <c r="B3005" s="15" t="s">
        <v>144</v>
      </c>
      <c r="C3005" s="15" t="s">
        <v>69</v>
      </c>
      <c r="D3005" s="15" t="s">
        <v>151</v>
      </c>
      <c r="E3005" s="19">
        <v>196809</v>
      </c>
      <c r="F3005" s="19">
        <v>173614</v>
      </c>
      <c r="G3005" s="20">
        <f t="shared" si="46"/>
        <v>0.46869119898062483</v>
      </c>
      <c r="H3005" s="24" t="s">
        <v>586</v>
      </c>
      <c r="I3005" s="24" t="s">
        <v>608</v>
      </c>
      <c r="J3005" s="24" t="s">
        <v>609</v>
      </c>
      <c r="K3005" s="24" t="s">
        <v>612</v>
      </c>
    </row>
    <row r="3006" spans="1:11">
      <c r="A3006" s="12">
        <v>2022</v>
      </c>
      <c r="B3006" s="15" t="s">
        <v>152</v>
      </c>
      <c r="C3006" s="15" t="s">
        <v>22</v>
      </c>
      <c r="D3006" s="15" t="s">
        <v>152</v>
      </c>
      <c r="E3006" s="19">
        <v>1056448</v>
      </c>
      <c r="F3006" s="19">
        <v>264111</v>
      </c>
      <c r="G3006" s="20">
        <f t="shared" si="46"/>
        <v>0.19999939419594279</v>
      </c>
      <c r="H3006" s="24" t="s">
        <v>603</v>
      </c>
      <c r="I3006" s="24" t="s">
        <v>604</v>
      </c>
      <c r="J3006" s="24" t="s">
        <v>605</v>
      </c>
      <c r="K3006" s="24" t="s">
        <v>612</v>
      </c>
    </row>
    <row r="3007" spans="1:11">
      <c r="A3007" s="12">
        <v>2022</v>
      </c>
      <c r="B3007" s="15" t="s">
        <v>152</v>
      </c>
      <c r="C3007" s="15" t="s">
        <v>79</v>
      </c>
      <c r="D3007" s="15" t="s">
        <v>153</v>
      </c>
      <c r="E3007" s="19">
        <v>286733</v>
      </c>
      <c r="F3007" s="19">
        <v>170120</v>
      </c>
      <c r="G3007" s="20">
        <f t="shared" si="46"/>
        <v>0.37237360814091186</v>
      </c>
      <c r="H3007" s="24" t="s">
        <v>603</v>
      </c>
      <c r="I3007" s="24" t="s">
        <v>604</v>
      </c>
      <c r="J3007" s="24" t="s">
        <v>605</v>
      </c>
      <c r="K3007" s="24" t="s">
        <v>612</v>
      </c>
    </row>
    <row r="3008" spans="1:11">
      <c r="A3008" s="12">
        <v>2022</v>
      </c>
      <c r="B3008" s="15" t="s">
        <v>152</v>
      </c>
      <c r="C3008" s="15" t="s">
        <v>81</v>
      </c>
      <c r="D3008" s="15" t="s">
        <v>154</v>
      </c>
      <c r="E3008" s="19">
        <v>141169</v>
      </c>
      <c r="F3008" s="19">
        <v>83387</v>
      </c>
      <c r="G3008" s="20">
        <f t="shared" si="46"/>
        <v>0.37134166978392918</v>
      </c>
      <c r="H3008" s="24" t="s">
        <v>603</v>
      </c>
      <c r="I3008" s="24" t="s">
        <v>604</v>
      </c>
      <c r="J3008" s="24" t="s">
        <v>605</v>
      </c>
      <c r="K3008" s="24" t="s">
        <v>612</v>
      </c>
    </row>
    <row r="3009" spans="1:11">
      <c r="A3009" s="12">
        <v>2022</v>
      </c>
      <c r="B3009" s="15" t="s">
        <v>152</v>
      </c>
      <c r="C3009" s="15" t="s">
        <v>87</v>
      </c>
      <c r="D3009" s="15" t="s">
        <v>155</v>
      </c>
      <c r="E3009" s="19">
        <v>192332</v>
      </c>
      <c r="F3009" s="19">
        <v>158828</v>
      </c>
      <c r="G3009" s="20">
        <f t="shared" si="46"/>
        <v>0.45229525002847704</v>
      </c>
      <c r="H3009" s="24" t="s">
        <v>603</v>
      </c>
      <c r="I3009" s="24" t="s">
        <v>604</v>
      </c>
      <c r="J3009" s="24" t="s">
        <v>605</v>
      </c>
      <c r="K3009" s="24" t="s">
        <v>612</v>
      </c>
    </row>
    <row r="3010" spans="1:11">
      <c r="A3010" s="12">
        <v>2022</v>
      </c>
      <c r="B3010" s="15" t="s">
        <v>152</v>
      </c>
      <c r="C3010" s="15" t="s">
        <v>156</v>
      </c>
      <c r="D3010" s="15" t="s">
        <v>157</v>
      </c>
      <c r="E3010" s="19">
        <v>177770</v>
      </c>
      <c r="F3010" s="19">
        <v>177769</v>
      </c>
      <c r="G3010" s="20">
        <f t="shared" si="46"/>
        <v>0.49999859368451843</v>
      </c>
      <c r="H3010" s="24" t="s">
        <v>603</v>
      </c>
      <c r="I3010" s="24" t="s">
        <v>604</v>
      </c>
      <c r="J3010" s="24" t="s">
        <v>605</v>
      </c>
      <c r="K3010" s="24" t="s">
        <v>612</v>
      </c>
    </row>
    <row r="3011" spans="1:11">
      <c r="A3011" s="12">
        <v>2022</v>
      </c>
      <c r="B3011" s="15" t="s">
        <v>152</v>
      </c>
      <c r="C3011" s="15" t="s">
        <v>69</v>
      </c>
      <c r="D3011" s="15" t="s">
        <v>158</v>
      </c>
      <c r="E3011" s="19">
        <v>180362</v>
      </c>
      <c r="F3011" s="19">
        <v>158328</v>
      </c>
      <c r="G3011" s="20">
        <f t="shared" si="46"/>
        <v>0.46747172930998848</v>
      </c>
      <c r="H3011" s="24" t="s">
        <v>603</v>
      </c>
      <c r="I3011" s="24" t="s">
        <v>604</v>
      </c>
      <c r="J3011" s="24" t="s">
        <v>605</v>
      </c>
      <c r="K3011" s="24" t="s">
        <v>612</v>
      </c>
    </row>
    <row r="3012" spans="1:11">
      <c r="A3012" s="12">
        <v>2022</v>
      </c>
      <c r="B3012" s="15" t="s">
        <v>159</v>
      </c>
      <c r="C3012" s="15" t="s">
        <v>22</v>
      </c>
      <c r="D3012" s="15" t="s">
        <v>159</v>
      </c>
      <c r="E3012" s="19">
        <v>344161</v>
      </c>
      <c r="F3012" s="19">
        <v>227356</v>
      </c>
      <c r="G3012" s="20">
        <f t="shared" si="46"/>
        <v>0.39781143867986429</v>
      </c>
      <c r="H3012" s="24" t="s">
        <v>586</v>
      </c>
      <c r="I3012" s="24" t="s">
        <v>608</v>
      </c>
      <c r="J3012" s="24" t="s">
        <v>609</v>
      </c>
      <c r="K3012" s="24" t="s">
        <v>612</v>
      </c>
    </row>
    <row r="3013" spans="1:11">
      <c r="A3013" s="12">
        <v>2022</v>
      </c>
      <c r="B3013" s="15" t="s">
        <v>160</v>
      </c>
      <c r="C3013" s="15" t="s">
        <v>22</v>
      </c>
      <c r="D3013" s="15" t="s">
        <v>160</v>
      </c>
      <c r="E3013" s="19">
        <v>12929608</v>
      </c>
      <c r="F3013" s="19">
        <v>5086896</v>
      </c>
      <c r="G3013" s="20">
        <f t="shared" si="46"/>
        <v>0.28234645300775335</v>
      </c>
      <c r="H3013" s="24" t="s">
        <v>589</v>
      </c>
      <c r="I3013" s="24" t="s">
        <v>596</v>
      </c>
      <c r="J3013" s="24" t="s">
        <v>597</v>
      </c>
      <c r="K3013" s="24" t="s">
        <v>612</v>
      </c>
    </row>
    <row r="3014" spans="1:11">
      <c r="A3014" s="12">
        <v>2022</v>
      </c>
      <c r="B3014" s="15" t="s">
        <v>160</v>
      </c>
      <c r="C3014" s="15" t="s">
        <v>161</v>
      </c>
      <c r="D3014" s="15" t="s">
        <v>162</v>
      </c>
      <c r="E3014" s="19">
        <v>50013</v>
      </c>
      <c r="F3014" s="19">
        <v>48977</v>
      </c>
      <c r="G3014" s="20">
        <f t="shared" ref="G3014:G3077" si="47">IFERROR(F3014/(E3014+F3014),"")</f>
        <v>0.49476714819678758</v>
      </c>
      <c r="H3014" s="24" t="s">
        <v>589</v>
      </c>
      <c r="I3014" s="24" t="s">
        <v>591</v>
      </c>
      <c r="J3014" s="24" t="s">
        <v>592</v>
      </c>
      <c r="K3014" s="24" t="s">
        <v>612</v>
      </c>
    </row>
    <row r="3015" spans="1:11">
      <c r="A3015" s="12">
        <v>2022</v>
      </c>
      <c r="B3015" s="15" t="s">
        <v>160</v>
      </c>
      <c r="C3015" s="15" t="s">
        <v>163</v>
      </c>
      <c r="D3015" s="15" t="s">
        <v>164</v>
      </c>
      <c r="E3015" s="19">
        <v>416556</v>
      </c>
      <c r="F3015" s="19">
        <v>344834</v>
      </c>
      <c r="G3015" s="20">
        <f t="shared" si="47"/>
        <v>0.4529006159786706</v>
      </c>
      <c r="H3015" s="24" t="s">
        <v>589</v>
      </c>
      <c r="I3015" s="24" t="s">
        <v>591</v>
      </c>
      <c r="J3015" s="24" t="s">
        <v>592</v>
      </c>
      <c r="K3015" s="24" t="s">
        <v>612</v>
      </c>
    </row>
    <row r="3016" spans="1:11">
      <c r="A3016" s="12">
        <v>2022</v>
      </c>
      <c r="B3016" s="15" t="s">
        <v>160</v>
      </c>
      <c r="C3016" s="15" t="s">
        <v>167</v>
      </c>
      <c r="D3016" s="15" t="s">
        <v>168</v>
      </c>
      <c r="E3016" s="19">
        <v>246619</v>
      </c>
      <c r="F3016" s="19">
        <v>213837</v>
      </c>
      <c r="G3016" s="20">
        <f t="shared" si="47"/>
        <v>0.46440267908334348</v>
      </c>
      <c r="H3016" s="24" t="s">
        <v>589</v>
      </c>
      <c r="I3016" s="24" t="s">
        <v>591</v>
      </c>
      <c r="J3016" s="24" t="s">
        <v>592</v>
      </c>
      <c r="K3016" s="24" t="s">
        <v>612</v>
      </c>
    </row>
    <row r="3017" spans="1:11">
      <c r="A3017" s="12">
        <v>2022</v>
      </c>
      <c r="B3017" s="15" t="s">
        <v>160</v>
      </c>
      <c r="C3017" s="15" t="s">
        <v>169</v>
      </c>
      <c r="D3017" s="15" t="s">
        <v>170</v>
      </c>
      <c r="E3017" s="19">
        <v>248885</v>
      </c>
      <c r="F3017" s="19">
        <v>216927</v>
      </c>
      <c r="G3017" s="20">
        <f t="shared" si="47"/>
        <v>0.46569646123328723</v>
      </c>
      <c r="H3017" s="24" t="s">
        <v>589</v>
      </c>
      <c r="I3017" s="24" t="s">
        <v>591</v>
      </c>
      <c r="J3017" s="24" t="s">
        <v>592</v>
      </c>
      <c r="K3017" s="24" t="s">
        <v>612</v>
      </c>
    </row>
    <row r="3018" spans="1:11">
      <c r="A3018" s="12">
        <v>2022</v>
      </c>
      <c r="B3018" s="15" t="s">
        <v>160</v>
      </c>
      <c r="C3018" s="15" t="s">
        <v>171</v>
      </c>
      <c r="D3018" s="15" t="s">
        <v>172</v>
      </c>
      <c r="E3018" s="19">
        <v>61503</v>
      </c>
      <c r="F3018" s="19">
        <v>65556</v>
      </c>
      <c r="G3018" s="20">
        <f t="shared" si="47"/>
        <v>0.515949283403773</v>
      </c>
      <c r="H3018" s="24" t="s">
        <v>589</v>
      </c>
      <c r="I3018" s="24" t="s">
        <v>591</v>
      </c>
      <c r="J3018" s="24" t="s">
        <v>592</v>
      </c>
      <c r="K3018" s="24" t="s">
        <v>612</v>
      </c>
    </row>
    <row r="3019" spans="1:11">
      <c r="A3019" s="12">
        <v>2022</v>
      </c>
      <c r="B3019" s="15" t="s">
        <v>160</v>
      </c>
      <c r="C3019" s="15" t="s">
        <v>173</v>
      </c>
      <c r="D3019" s="15" t="s">
        <v>174</v>
      </c>
      <c r="E3019" s="19">
        <v>258771</v>
      </c>
      <c r="F3019" s="19">
        <v>184022</v>
      </c>
      <c r="G3019" s="20">
        <f t="shared" si="47"/>
        <v>0.415593742448503</v>
      </c>
      <c r="H3019" s="24" t="s">
        <v>589</v>
      </c>
      <c r="I3019" s="24" t="s">
        <v>591</v>
      </c>
      <c r="J3019" s="24" t="s">
        <v>592</v>
      </c>
      <c r="K3019" s="24" t="s">
        <v>612</v>
      </c>
    </row>
    <row r="3020" spans="1:11">
      <c r="A3020" s="12">
        <v>2022</v>
      </c>
      <c r="B3020" s="15" t="s">
        <v>160</v>
      </c>
      <c r="C3020" s="15" t="s">
        <v>175</v>
      </c>
      <c r="D3020" s="15" t="s">
        <v>176</v>
      </c>
      <c r="E3020" s="19">
        <v>328630</v>
      </c>
      <c r="F3020" s="19">
        <v>278448</v>
      </c>
      <c r="G3020" s="20">
        <f t="shared" si="47"/>
        <v>0.45866923196030823</v>
      </c>
      <c r="H3020" s="24" t="s">
        <v>589</v>
      </c>
      <c r="I3020" s="24" t="s">
        <v>591</v>
      </c>
      <c r="J3020" s="24" t="s">
        <v>592</v>
      </c>
      <c r="K3020" s="24" t="s">
        <v>612</v>
      </c>
    </row>
    <row r="3021" spans="1:11">
      <c r="A3021" s="12">
        <v>2022</v>
      </c>
      <c r="B3021" s="15" t="s">
        <v>160</v>
      </c>
      <c r="C3021" s="15" t="s">
        <v>177</v>
      </c>
      <c r="D3021" s="15" t="s">
        <v>178</v>
      </c>
      <c r="E3021" s="19">
        <v>164915</v>
      </c>
      <c r="F3021" s="19">
        <v>123749</v>
      </c>
      <c r="G3021" s="20">
        <f t="shared" si="47"/>
        <v>0.42869564614915612</v>
      </c>
      <c r="H3021" s="24" t="s">
        <v>589</v>
      </c>
      <c r="I3021" s="24" t="s">
        <v>591</v>
      </c>
      <c r="J3021" s="24" t="s">
        <v>592</v>
      </c>
      <c r="K3021" s="24" t="s">
        <v>612</v>
      </c>
    </row>
    <row r="3022" spans="1:11">
      <c r="A3022" s="12">
        <v>2022</v>
      </c>
      <c r="B3022" s="15" t="s">
        <v>160</v>
      </c>
      <c r="C3022" s="15" t="s">
        <v>179</v>
      </c>
      <c r="D3022" s="15" t="s">
        <v>180</v>
      </c>
      <c r="E3022" s="19">
        <v>238161</v>
      </c>
      <c r="F3022" s="19">
        <v>175735</v>
      </c>
      <c r="G3022" s="20">
        <f t="shared" si="47"/>
        <v>0.42458733594912734</v>
      </c>
      <c r="H3022" s="24" t="s">
        <v>589</v>
      </c>
      <c r="I3022" s="24" t="s">
        <v>591</v>
      </c>
      <c r="J3022" s="24" t="s">
        <v>592</v>
      </c>
      <c r="K3022" s="24" t="s">
        <v>612</v>
      </c>
    </row>
    <row r="3023" spans="1:11">
      <c r="A3023" s="12">
        <v>2022</v>
      </c>
      <c r="B3023" s="15" t="s">
        <v>160</v>
      </c>
      <c r="C3023" s="15" t="s">
        <v>181</v>
      </c>
      <c r="D3023" s="15" t="s">
        <v>182</v>
      </c>
      <c r="E3023" s="19">
        <v>447109</v>
      </c>
      <c r="F3023" s="19">
        <v>288867</v>
      </c>
      <c r="G3023" s="20">
        <f t="shared" si="47"/>
        <v>0.39249513571094707</v>
      </c>
      <c r="H3023" s="24" t="s">
        <v>589</v>
      </c>
      <c r="I3023" s="24" t="s">
        <v>591</v>
      </c>
      <c r="J3023" s="24" t="s">
        <v>592</v>
      </c>
      <c r="K3023" s="24" t="s">
        <v>612</v>
      </c>
    </row>
    <row r="3024" spans="1:11">
      <c r="A3024" s="12">
        <v>2022</v>
      </c>
      <c r="B3024" s="15" t="s">
        <v>160</v>
      </c>
      <c r="C3024" s="15" t="s">
        <v>183</v>
      </c>
      <c r="D3024" s="15" t="s">
        <v>184</v>
      </c>
      <c r="E3024" s="19">
        <v>647489</v>
      </c>
      <c r="F3024" s="19">
        <v>475644</v>
      </c>
      <c r="G3024" s="20">
        <f t="shared" si="47"/>
        <v>0.42349748426944983</v>
      </c>
      <c r="H3024" s="24" t="s">
        <v>589</v>
      </c>
      <c r="I3024" s="24" t="s">
        <v>591</v>
      </c>
      <c r="J3024" s="24" t="s">
        <v>592</v>
      </c>
      <c r="K3024" s="24" t="s">
        <v>612</v>
      </c>
    </row>
    <row r="3025" spans="1:11">
      <c r="A3025" s="12">
        <v>2022</v>
      </c>
      <c r="B3025" s="15" t="s">
        <v>160</v>
      </c>
      <c r="C3025" s="15" t="s">
        <v>185</v>
      </c>
      <c r="D3025" s="15" t="s">
        <v>186</v>
      </c>
      <c r="E3025" s="19">
        <v>79522</v>
      </c>
      <c r="F3025" s="19">
        <v>60442</v>
      </c>
      <c r="G3025" s="20">
        <f t="shared" si="47"/>
        <v>0.43183961590123177</v>
      </c>
      <c r="H3025" s="24" t="s">
        <v>589</v>
      </c>
      <c r="I3025" s="24" t="s">
        <v>591</v>
      </c>
      <c r="J3025" s="24" t="s">
        <v>592</v>
      </c>
      <c r="K3025" s="24" t="s">
        <v>612</v>
      </c>
    </row>
    <row r="3026" spans="1:11">
      <c r="A3026" s="12">
        <v>2022</v>
      </c>
      <c r="B3026" s="15" t="s">
        <v>160</v>
      </c>
      <c r="C3026" s="15" t="s">
        <v>187</v>
      </c>
      <c r="D3026" s="15" t="s">
        <v>188</v>
      </c>
      <c r="E3026" s="19">
        <v>729126</v>
      </c>
      <c r="F3026" s="19">
        <v>409220</v>
      </c>
      <c r="G3026" s="20">
        <f t="shared" si="47"/>
        <v>0.35948648302010111</v>
      </c>
      <c r="H3026" s="24" t="s">
        <v>589</v>
      </c>
      <c r="I3026" s="24" t="s">
        <v>596</v>
      </c>
      <c r="J3026" s="24" t="s">
        <v>597</v>
      </c>
      <c r="K3026" s="24" t="s">
        <v>612</v>
      </c>
    </row>
    <row r="3027" spans="1:11">
      <c r="A3027" s="12">
        <v>2022</v>
      </c>
      <c r="B3027" s="15" t="s">
        <v>160</v>
      </c>
      <c r="C3027" s="15" t="s">
        <v>195</v>
      </c>
      <c r="D3027" s="15" t="s">
        <v>196</v>
      </c>
      <c r="E3027" s="19">
        <v>431068</v>
      </c>
      <c r="F3027" s="19">
        <v>289626</v>
      </c>
      <c r="G3027" s="20">
        <f t="shared" si="47"/>
        <v>0.40187097436637464</v>
      </c>
      <c r="H3027" s="24" t="s">
        <v>589</v>
      </c>
      <c r="I3027" s="24" t="s">
        <v>596</v>
      </c>
      <c r="J3027" s="24" t="s">
        <v>597</v>
      </c>
      <c r="K3027" s="24" t="s">
        <v>612</v>
      </c>
    </row>
    <row r="3028" spans="1:11">
      <c r="A3028" s="12">
        <v>2022</v>
      </c>
      <c r="B3028" s="15" t="s">
        <v>160</v>
      </c>
      <c r="C3028" s="15" t="s">
        <v>197</v>
      </c>
      <c r="D3028" s="15" t="s">
        <v>198</v>
      </c>
      <c r="E3028" s="19">
        <v>187300</v>
      </c>
      <c r="F3028" s="19">
        <v>184060</v>
      </c>
      <c r="G3028" s="20">
        <f t="shared" si="47"/>
        <v>0.49563765618267985</v>
      </c>
      <c r="H3028" s="24" t="s">
        <v>589</v>
      </c>
      <c r="I3028" s="24" t="s">
        <v>596</v>
      </c>
      <c r="J3028" s="24" t="s">
        <v>597</v>
      </c>
      <c r="K3028" s="24" t="s">
        <v>612</v>
      </c>
    </row>
    <row r="3029" spans="1:11">
      <c r="A3029" s="12">
        <v>2022</v>
      </c>
      <c r="B3029" s="15" t="s">
        <v>160</v>
      </c>
      <c r="C3029" s="15" t="s">
        <v>199</v>
      </c>
      <c r="D3029" s="15" t="s">
        <v>200</v>
      </c>
      <c r="E3029" s="19">
        <v>162613</v>
      </c>
      <c r="F3029" s="19">
        <v>177235</v>
      </c>
      <c r="G3029" s="20">
        <f t="shared" si="47"/>
        <v>0.52151255855558953</v>
      </c>
      <c r="H3029" s="24" t="s">
        <v>589</v>
      </c>
      <c r="I3029" s="24" t="s">
        <v>596</v>
      </c>
      <c r="J3029" s="24" t="s">
        <v>597</v>
      </c>
      <c r="K3029" s="24" t="s">
        <v>612</v>
      </c>
    </row>
    <row r="3030" spans="1:11">
      <c r="A3030" s="12">
        <v>2022</v>
      </c>
      <c r="B3030" s="15" t="s">
        <v>160</v>
      </c>
      <c r="C3030" s="15" t="s">
        <v>201</v>
      </c>
      <c r="D3030" s="15" t="s">
        <v>202</v>
      </c>
      <c r="E3030" s="19">
        <v>309188</v>
      </c>
      <c r="F3030" s="19">
        <v>294733</v>
      </c>
      <c r="G3030" s="20">
        <f t="shared" si="47"/>
        <v>0.48803237509541814</v>
      </c>
      <c r="H3030" s="24" t="s">
        <v>589</v>
      </c>
      <c r="I3030" s="24" t="s">
        <v>596</v>
      </c>
      <c r="J3030" s="24" t="s">
        <v>597</v>
      </c>
      <c r="K3030" s="24" t="s">
        <v>612</v>
      </c>
    </row>
    <row r="3031" spans="1:11">
      <c r="A3031" s="12">
        <v>2022</v>
      </c>
      <c r="B3031" s="15" t="s">
        <v>160</v>
      </c>
      <c r="C3031" s="15" t="s">
        <v>203</v>
      </c>
      <c r="D3031" s="15" t="s">
        <v>204</v>
      </c>
      <c r="E3031" s="19">
        <v>315079</v>
      </c>
      <c r="F3031" s="19">
        <v>275698</v>
      </c>
      <c r="G3031" s="20">
        <f t="shared" si="47"/>
        <v>0.46667016488455032</v>
      </c>
      <c r="H3031" s="24" t="s">
        <v>589</v>
      </c>
      <c r="I3031" s="24" t="s">
        <v>596</v>
      </c>
      <c r="J3031" s="24" t="s">
        <v>597</v>
      </c>
      <c r="K3031" s="24" t="s">
        <v>612</v>
      </c>
    </row>
    <row r="3032" spans="1:11">
      <c r="A3032" s="12">
        <v>2022</v>
      </c>
      <c r="B3032" s="15" t="s">
        <v>160</v>
      </c>
      <c r="C3032" s="15" t="s">
        <v>205</v>
      </c>
      <c r="D3032" s="15" t="s">
        <v>206</v>
      </c>
      <c r="E3032" s="19">
        <v>236002</v>
      </c>
      <c r="F3032" s="19">
        <v>204671</v>
      </c>
      <c r="G3032" s="20">
        <f t="shared" si="47"/>
        <v>0.46445096477433379</v>
      </c>
      <c r="H3032" s="24" t="s">
        <v>589</v>
      </c>
      <c r="I3032" s="24" t="s">
        <v>596</v>
      </c>
      <c r="J3032" s="24" t="s">
        <v>597</v>
      </c>
      <c r="K3032" s="24" t="s">
        <v>612</v>
      </c>
    </row>
    <row r="3033" spans="1:11">
      <c r="A3033" s="12">
        <v>2022</v>
      </c>
      <c r="B3033" s="15" t="s">
        <v>160</v>
      </c>
      <c r="C3033" s="15" t="s">
        <v>207</v>
      </c>
      <c r="D3033" s="15" t="s">
        <v>208</v>
      </c>
      <c r="E3033" s="19">
        <v>164078</v>
      </c>
      <c r="F3033" s="19">
        <v>160519</v>
      </c>
      <c r="G3033" s="20">
        <f t="shared" si="47"/>
        <v>0.49451781747828844</v>
      </c>
      <c r="H3033" s="24" t="s">
        <v>589</v>
      </c>
      <c r="I3033" s="24" t="s">
        <v>596</v>
      </c>
      <c r="J3033" s="24" t="s">
        <v>597</v>
      </c>
      <c r="K3033" s="24" t="s">
        <v>612</v>
      </c>
    </row>
    <row r="3034" spans="1:11">
      <c r="A3034" s="12">
        <v>2022</v>
      </c>
      <c r="B3034" s="15" t="s">
        <v>160</v>
      </c>
      <c r="C3034" s="15" t="s">
        <v>209</v>
      </c>
      <c r="D3034" s="15" t="s">
        <v>210</v>
      </c>
      <c r="E3034" s="19">
        <v>481572</v>
      </c>
      <c r="F3034" s="19">
        <v>330574</v>
      </c>
      <c r="G3034" s="20">
        <f t="shared" si="47"/>
        <v>0.40703765086573102</v>
      </c>
      <c r="H3034" s="24" t="s">
        <v>589</v>
      </c>
      <c r="I3034" s="24" t="s">
        <v>591</v>
      </c>
      <c r="J3034" s="24" t="s">
        <v>592</v>
      </c>
      <c r="K3034" s="24" t="s">
        <v>612</v>
      </c>
    </row>
    <row r="3035" spans="1:11">
      <c r="A3035" s="12">
        <v>2022</v>
      </c>
      <c r="B3035" s="15" t="s">
        <v>160</v>
      </c>
      <c r="C3035" s="15" t="s">
        <v>211</v>
      </c>
      <c r="D3035" s="15" t="s">
        <v>212</v>
      </c>
      <c r="E3035" s="19">
        <v>294532</v>
      </c>
      <c r="F3035" s="19">
        <v>196330</v>
      </c>
      <c r="G3035" s="20">
        <f t="shared" si="47"/>
        <v>0.39996984895958537</v>
      </c>
      <c r="H3035" s="24" t="s">
        <v>589</v>
      </c>
      <c r="I3035" s="24" t="s">
        <v>591</v>
      </c>
      <c r="J3035" s="24" t="s">
        <v>592</v>
      </c>
      <c r="K3035" s="24" t="s">
        <v>612</v>
      </c>
    </row>
    <row r="3036" spans="1:11">
      <c r="A3036" s="12">
        <v>2022</v>
      </c>
      <c r="B3036" s="15" t="s">
        <v>160</v>
      </c>
      <c r="C3036" s="15" t="s">
        <v>213</v>
      </c>
      <c r="D3036" s="15" t="s">
        <v>214</v>
      </c>
      <c r="E3036" s="19">
        <v>285473</v>
      </c>
      <c r="F3036" s="19">
        <v>271564</v>
      </c>
      <c r="G3036" s="20">
        <f t="shared" si="47"/>
        <v>0.48751519198904203</v>
      </c>
      <c r="H3036" s="24" t="s">
        <v>589</v>
      </c>
      <c r="I3036" s="24" t="s">
        <v>591</v>
      </c>
      <c r="J3036" s="24" t="s">
        <v>592</v>
      </c>
      <c r="K3036" s="24" t="s">
        <v>612</v>
      </c>
    </row>
    <row r="3037" spans="1:11">
      <c r="A3037" s="12">
        <v>2022</v>
      </c>
      <c r="B3037" s="15" t="s">
        <v>160</v>
      </c>
      <c r="C3037" s="15" t="s">
        <v>215</v>
      </c>
      <c r="D3037" s="15" t="s">
        <v>216</v>
      </c>
      <c r="E3037" s="19">
        <v>169779</v>
      </c>
      <c r="F3037" s="19">
        <v>130620</v>
      </c>
      <c r="G3037" s="20">
        <f t="shared" si="47"/>
        <v>0.43482168715608244</v>
      </c>
      <c r="H3037" s="24" t="s">
        <v>589</v>
      </c>
      <c r="I3037" s="24" t="s">
        <v>591</v>
      </c>
      <c r="J3037" s="24" t="s">
        <v>592</v>
      </c>
      <c r="K3037" s="24" t="s">
        <v>612</v>
      </c>
    </row>
    <row r="3038" spans="1:11">
      <c r="A3038" s="12">
        <v>2022</v>
      </c>
      <c r="B3038" s="15" t="s">
        <v>160</v>
      </c>
      <c r="C3038" s="15" t="s">
        <v>217</v>
      </c>
      <c r="D3038" s="15" t="s">
        <v>218</v>
      </c>
      <c r="E3038" s="19">
        <v>280134</v>
      </c>
      <c r="F3038" s="19">
        <v>209944</v>
      </c>
      <c r="G3038" s="20">
        <f t="shared" si="47"/>
        <v>0.42838895033035557</v>
      </c>
      <c r="H3038" s="24" t="s">
        <v>589</v>
      </c>
      <c r="I3038" s="24" t="s">
        <v>596</v>
      </c>
      <c r="J3038" s="24" t="s">
        <v>597</v>
      </c>
      <c r="K3038" s="24" t="s">
        <v>612</v>
      </c>
    </row>
    <row r="3039" spans="1:11">
      <c r="A3039" s="12">
        <v>2022</v>
      </c>
      <c r="B3039" s="15" t="s">
        <v>160</v>
      </c>
      <c r="C3039" s="15" t="s">
        <v>219</v>
      </c>
      <c r="D3039" s="15" t="s">
        <v>220</v>
      </c>
      <c r="E3039" s="19">
        <v>197920</v>
      </c>
      <c r="F3039" s="19">
        <v>178960</v>
      </c>
      <c r="G3039" s="20">
        <f t="shared" si="47"/>
        <v>0.47484610486096368</v>
      </c>
      <c r="H3039" s="24" t="s">
        <v>589</v>
      </c>
      <c r="I3039" s="24" t="s">
        <v>596</v>
      </c>
      <c r="J3039" s="24" t="s">
        <v>597</v>
      </c>
      <c r="K3039" s="24" t="s">
        <v>612</v>
      </c>
    </row>
    <row r="3040" spans="1:11">
      <c r="A3040" s="12">
        <v>2022</v>
      </c>
      <c r="B3040" s="15" t="s">
        <v>160</v>
      </c>
      <c r="C3040" s="15" t="s">
        <v>221</v>
      </c>
      <c r="D3040" s="15" t="s">
        <v>222</v>
      </c>
      <c r="E3040" s="19">
        <v>202604</v>
      </c>
      <c r="F3040" s="19">
        <v>177249</v>
      </c>
      <c r="G3040" s="20">
        <f t="shared" si="47"/>
        <v>0.46662524713507592</v>
      </c>
      <c r="H3040" s="24" t="s">
        <v>589</v>
      </c>
      <c r="I3040" s="24" t="s">
        <v>591</v>
      </c>
      <c r="J3040" s="24" t="s">
        <v>592</v>
      </c>
      <c r="K3040" s="24" t="s">
        <v>612</v>
      </c>
    </row>
    <row r="3041" spans="1:11">
      <c r="A3041" s="12">
        <v>2022</v>
      </c>
      <c r="B3041" s="15" t="s">
        <v>160</v>
      </c>
      <c r="C3041" s="15" t="s">
        <v>223</v>
      </c>
      <c r="D3041" s="15" t="s">
        <v>224</v>
      </c>
      <c r="E3041" s="19">
        <v>95263</v>
      </c>
      <c r="F3041" s="19">
        <v>87236</v>
      </c>
      <c r="G3041" s="20">
        <f t="shared" si="47"/>
        <v>0.47800809867451327</v>
      </c>
      <c r="H3041" s="24" t="s">
        <v>589</v>
      </c>
      <c r="I3041" s="24" t="s">
        <v>591</v>
      </c>
      <c r="J3041" s="24" t="s">
        <v>592</v>
      </c>
      <c r="K3041" s="24" t="s">
        <v>612</v>
      </c>
    </row>
    <row r="3042" spans="1:11">
      <c r="A3042" s="12">
        <v>2022</v>
      </c>
      <c r="B3042" s="15" t="s">
        <v>160</v>
      </c>
      <c r="C3042" s="15" t="s">
        <v>227</v>
      </c>
      <c r="D3042" s="15" t="s">
        <v>228</v>
      </c>
      <c r="E3042" s="19">
        <v>93274</v>
      </c>
      <c r="F3042" s="19">
        <v>75081</v>
      </c>
      <c r="G3042" s="20">
        <f t="shared" si="47"/>
        <v>0.44596834070862168</v>
      </c>
      <c r="H3042" s="24" t="s">
        <v>589</v>
      </c>
      <c r="I3042" s="24" t="s">
        <v>591</v>
      </c>
      <c r="J3042" s="24" t="s">
        <v>592</v>
      </c>
      <c r="K3042" s="24" t="s">
        <v>612</v>
      </c>
    </row>
    <row r="3043" spans="1:11">
      <c r="A3043" s="12">
        <v>2022</v>
      </c>
      <c r="B3043" s="15" t="s">
        <v>160</v>
      </c>
      <c r="C3043" s="15" t="s">
        <v>229</v>
      </c>
      <c r="D3043" s="15" t="s">
        <v>230</v>
      </c>
      <c r="E3043" s="19">
        <v>32299</v>
      </c>
      <c r="F3043" s="19">
        <v>33031</v>
      </c>
      <c r="G3043" s="20">
        <f t="shared" si="47"/>
        <v>0.50560232664931881</v>
      </c>
      <c r="H3043" s="24" t="s">
        <v>589</v>
      </c>
      <c r="I3043" s="24" t="s">
        <v>591</v>
      </c>
      <c r="J3043" s="24" t="s">
        <v>592</v>
      </c>
      <c r="K3043" s="24" t="s">
        <v>612</v>
      </c>
    </row>
    <row r="3044" spans="1:11">
      <c r="A3044" s="12">
        <v>2022</v>
      </c>
      <c r="B3044" s="15" t="s">
        <v>160</v>
      </c>
      <c r="C3044" s="15" t="s">
        <v>231</v>
      </c>
      <c r="D3044" s="15" t="s">
        <v>232</v>
      </c>
      <c r="E3044" s="19">
        <v>207701</v>
      </c>
      <c r="F3044" s="19">
        <v>150245</v>
      </c>
      <c r="G3044" s="20">
        <f t="shared" si="47"/>
        <v>0.41974208400149743</v>
      </c>
      <c r="H3044" s="24" t="s">
        <v>589</v>
      </c>
      <c r="I3044" s="24" t="s">
        <v>591</v>
      </c>
      <c r="J3044" s="24" t="s">
        <v>592</v>
      </c>
      <c r="K3044" s="24" t="s">
        <v>612</v>
      </c>
    </row>
    <row r="3045" spans="1:11">
      <c r="A3045" s="12">
        <v>2022</v>
      </c>
      <c r="B3045" s="15" t="s">
        <v>160</v>
      </c>
      <c r="C3045" s="15" t="s">
        <v>235</v>
      </c>
      <c r="D3045" s="15" t="s">
        <v>236</v>
      </c>
      <c r="E3045" s="19">
        <v>370499</v>
      </c>
      <c r="F3045" s="19">
        <v>333810</v>
      </c>
      <c r="G3045" s="20">
        <f t="shared" si="47"/>
        <v>0.47395390375531193</v>
      </c>
      <c r="H3045" s="24" t="s">
        <v>589</v>
      </c>
      <c r="I3045" s="24" t="s">
        <v>591</v>
      </c>
      <c r="J3045" s="24" t="s">
        <v>592</v>
      </c>
      <c r="K3045" s="24" t="s">
        <v>612</v>
      </c>
    </row>
    <row r="3046" spans="1:11">
      <c r="A3046" s="12">
        <v>2022</v>
      </c>
      <c r="B3046" s="15" t="s">
        <v>160</v>
      </c>
      <c r="C3046" s="15" t="s">
        <v>237</v>
      </c>
      <c r="D3046" s="15" t="s">
        <v>238</v>
      </c>
      <c r="E3046" s="19">
        <v>316439</v>
      </c>
      <c r="F3046" s="19">
        <v>302524</v>
      </c>
      <c r="G3046" s="20">
        <f t="shared" si="47"/>
        <v>0.48875942503833025</v>
      </c>
      <c r="H3046" s="24" t="s">
        <v>589</v>
      </c>
      <c r="I3046" s="24" t="s">
        <v>591</v>
      </c>
      <c r="J3046" s="24" t="s">
        <v>592</v>
      </c>
      <c r="K3046" s="24" t="s">
        <v>612</v>
      </c>
    </row>
    <row r="3047" spans="1:11">
      <c r="A3047" s="12">
        <v>2022</v>
      </c>
      <c r="B3047" s="15" t="s">
        <v>160</v>
      </c>
      <c r="C3047" s="15" t="s">
        <v>239</v>
      </c>
      <c r="D3047" s="15" t="s">
        <v>240</v>
      </c>
      <c r="E3047" s="19">
        <v>222715</v>
      </c>
      <c r="F3047" s="19">
        <v>180859</v>
      </c>
      <c r="G3047" s="20">
        <f t="shared" si="47"/>
        <v>0.44814333926367905</v>
      </c>
      <c r="H3047" s="24" t="s">
        <v>589</v>
      </c>
      <c r="I3047" s="24" t="s">
        <v>591</v>
      </c>
      <c r="J3047" s="24" t="s">
        <v>592</v>
      </c>
      <c r="K3047" s="24" t="s">
        <v>612</v>
      </c>
    </row>
    <row r="3048" spans="1:11">
      <c r="A3048" s="12">
        <v>2022</v>
      </c>
      <c r="B3048" s="15" t="s">
        <v>160</v>
      </c>
      <c r="C3048" s="15" t="s">
        <v>241</v>
      </c>
      <c r="D3048" s="15" t="s">
        <v>242</v>
      </c>
      <c r="E3048" s="19">
        <v>125913</v>
      </c>
      <c r="F3048" s="19">
        <v>138810</v>
      </c>
      <c r="G3048" s="20">
        <f t="shared" si="47"/>
        <v>0.52435942475719899</v>
      </c>
      <c r="H3048" s="24" t="s">
        <v>589</v>
      </c>
      <c r="I3048" s="24" t="s">
        <v>591</v>
      </c>
      <c r="J3048" s="24" t="s">
        <v>592</v>
      </c>
      <c r="K3048" s="24" t="s">
        <v>612</v>
      </c>
    </row>
    <row r="3049" spans="1:11">
      <c r="A3049" s="12">
        <v>2022</v>
      </c>
      <c r="B3049" s="15" t="s">
        <v>160</v>
      </c>
      <c r="C3049" s="15" t="s">
        <v>243</v>
      </c>
      <c r="D3049" s="15" t="s">
        <v>244</v>
      </c>
      <c r="E3049" s="19">
        <v>415293</v>
      </c>
      <c r="F3049" s="19">
        <v>244915</v>
      </c>
      <c r="G3049" s="20">
        <f t="shared" si="47"/>
        <v>0.37096642270314811</v>
      </c>
      <c r="H3049" s="24" t="s">
        <v>589</v>
      </c>
      <c r="I3049" s="24" t="s">
        <v>596</v>
      </c>
      <c r="J3049" s="24" t="s">
        <v>597</v>
      </c>
      <c r="K3049" s="24" t="s">
        <v>612</v>
      </c>
    </row>
    <row r="3050" spans="1:11">
      <c r="A3050" s="12">
        <v>2022</v>
      </c>
      <c r="B3050" s="15" t="s">
        <v>160</v>
      </c>
      <c r="C3050" s="15" t="s">
        <v>245</v>
      </c>
      <c r="D3050" s="15" t="s">
        <v>246</v>
      </c>
      <c r="E3050" s="19">
        <v>200386</v>
      </c>
      <c r="F3050" s="19">
        <v>124293</v>
      </c>
      <c r="G3050" s="20">
        <f t="shared" si="47"/>
        <v>0.38281810649903442</v>
      </c>
      <c r="H3050" s="24" t="s">
        <v>589</v>
      </c>
      <c r="I3050" s="24" t="s">
        <v>591</v>
      </c>
      <c r="J3050" s="24" t="s">
        <v>592</v>
      </c>
      <c r="K3050" s="24" t="s">
        <v>612</v>
      </c>
    </row>
    <row r="3051" spans="1:11">
      <c r="A3051" s="12">
        <v>2022</v>
      </c>
      <c r="B3051" s="15" t="s">
        <v>160</v>
      </c>
      <c r="C3051" s="15" t="s">
        <v>247</v>
      </c>
      <c r="D3051" s="15" t="s">
        <v>248</v>
      </c>
      <c r="E3051" s="19">
        <v>437189</v>
      </c>
      <c r="F3051" s="19">
        <v>308882</v>
      </c>
      <c r="G3051" s="20">
        <f t="shared" si="47"/>
        <v>0.41401153509518529</v>
      </c>
      <c r="H3051" s="24" t="s">
        <v>589</v>
      </c>
      <c r="I3051" s="24" t="s">
        <v>591</v>
      </c>
      <c r="J3051" s="24" t="s">
        <v>592</v>
      </c>
      <c r="K3051" s="24" t="s">
        <v>612</v>
      </c>
    </row>
    <row r="3052" spans="1:11">
      <c r="A3052" s="12">
        <v>2022</v>
      </c>
      <c r="B3052" s="15" t="s">
        <v>160</v>
      </c>
      <c r="C3052" s="15" t="s">
        <v>249</v>
      </c>
      <c r="D3052" s="15" t="s">
        <v>250</v>
      </c>
      <c r="E3052" s="19">
        <v>534591</v>
      </c>
      <c r="F3052" s="19">
        <v>303941</v>
      </c>
      <c r="G3052" s="20">
        <f t="shared" si="47"/>
        <v>0.36246797975509581</v>
      </c>
      <c r="H3052" s="24" t="s">
        <v>589</v>
      </c>
      <c r="I3052" s="24" t="s">
        <v>591</v>
      </c>
      <c r="J3052" s="24" t="s">
        <v>592</v>
      </c>
      <c r="K3052" s="24" t="s">
        <v>612</v>
      </c>
    </row>
    <row r="3053" spans="1:11">
      <c r="A3053" s="12">
        <v>2022</v>
      </c>
      <c r="B3053" s="15" t="s">
        <v>160</v>
      </c>
      <c r="C3053" s="15" t="s">
        <v>251</v>
      </c>
      <c r="D3053" s="15" t="s">
        <v>252</v>
      </c>
      <c r="E3053" s="19">
        <v>127925</v>
      </c>
      <c r="F3053" s="19">
        <v>97166</v>
      </c>
      <c r="G3053" s="20">
        <f t="shared" si="47"/>
        <v>0.43167430061619522</v>
      </c>
      <c r="H3053" s="24" t="s">
        <v>589</v>
      </c>
      <c r="I3053" s="24" t="s">
        <v>591</v>
      </c>
      <c r="J3053" s="24" t="s">
        <v>592</v>
      </c>
      <c r="K3053" s="24" t="s">
        <v>612</v>
      </c>
    </row>
    <row r="3054" spans="1:11">
      <c r="A3054" s="12">
        <v>2022</v>
      </c>
      <c r="B3054" s="15" t="s">
        <v>160</v>
      </c>
      <c r="C3054" s="15" t="s">
        <v>253</v>
      </c>
      <c r="D3054" s="15" t="s">
        <v>254</v>
      </c>
      <c r="E3054" s="19">
        <v>263520</v>
      </c>
      <c r="F3054" s="19">
        <v>240405</v>
      </c>
      <c r="G3054" s="20">
        <f t="shared" si="47"/>
        <v>0.47706503944039291</v>
      </c>
      <c r="H3054" s="24" t="s">
        <v>589</v>
      </c>
      <c r="I3054" s="24" t="s">
        <v>591</v>
      </c>
      <c r="J3054" s="24" t="s">
        <v>592</v>
      </c>
      <c r="K3054" s="24" t="s">
        <v>612</v>
      </c>
    </row>
    <row r="3055" spans="1:11">
      <c r="A3055" s="12">
        <v>2022</v>
      </c>
      <c r="B3055" s="15" t="s">
        <v>160</v>
      </c>
      <c r="C3055" s="15" t="s">
        <v>255</v>
      </c>
      <c r="D3055" s="15" t="s">
        <v>256</v>
      </c>
      <c r="E3055" s="19">
        <v>833091</v>
      </c>
      <c r="F3055" s="19">
        <v>605397</v>
      </c>
      <c r="G3055" s="20">
        <f t="shared" si="47"/>
        <v>0.42085648264010544</v>
      </c>
      <c r="H3055" s="24" t="s">
        <v>589</v>
      </c>
      <c r="I3055" s="24" t="s">
        <v>591</v>
      </c>
      <c r="J3055" s="24" t="s">
        <v>592</v>
      </c>
      <c r="K3055" s="24" t="s">
        <v>612</v>
      </c>
    </row>
    <row r="3056" spans="1:11">
      <c r="A3056" s="12">
        <v>2022</v>
      </c>
      <c r="B3056" s="15" t="s">
        <v>257</v>
      </c>
      <c r="C3056" s="15" t="s">
        <v>22</v>
      </c>
      <c r="D3056" s="15" t="s">
        <v>257</v>
      </c>
      <c r="E3056" s="19">
        <v>1412459</v>
      </c>
      <c r="F3056" s="19">
        <v>468236</v>
      </c>
      <c r="G3056" s="20">
        <f t="shared" si="47"/>
        <v>0.24896966281082258</v>
      </c>
      <c r="H3056" s="24" t="s">
        <v>589</v>
      </c>
      <c r="I3056" s="24" t="s">
        <v>591</v>
      </c>
      <c r="J3056" s="24" t="s">
        <v>592</v>
      </c>
      <c r="K3056" s="24" t="s">
        <v>612</v>
      </c>
    </row>
    <row r="3057" spans="1:11">
      <c r="A3057" s="12">
        <v>2022</v>
      </c>
      <c r="B3057" s="15" t="s">
        <v>257</v>
      </c>
      <c r="C3057" s="15" t="s">
        <v>258</v>
      </c>
      <c r="D3057" s="15" t="s">
        <v>259</v>
      </c>
      <c r="E3057" s="19">
        <v>194040</v>
      </c>
      <c r="F3057" s="19">
        <v>59777</v>
      </c>
      <c r="G3057" s="20">
        <f t="shared" si="47"/>
        <v>0.23551219973445436</v>
      </c>
      <c r="H3057" s="24" t="s">
        <v>589</v>
      </c>
      <c r="I3057" s="24" t="s">
        <v>591</v>
      </c>
      <c r="J3057" s="24" t="s">
        <v>592</v>
      </c>
      <c r="K3057" s="24" t="s">
        <v>612</v>
      </c>
    </row>
    <row r="3058" spans="1:11">
      <c r="A3058" s="12">
        <v>2022</v>
      </c>
      <c r="B3058" s="15" t="s">
        <v>257</v>
      </c>
      <c r="C3058" s="15" t="s">
        <v>260</v>
      </c>
      <c r="D3058" s="15" t="s">
        <v>261</v>
      </c>
      <c r="E3058" s="19">
        <v>17130</v>
      </c>
      <c r="F3058" s="19">
        <v>24056</v>
      </c>
      <c r="G3058" s="20">
        <f t="shared" si="47"/>
        <v>0.58408196960132086</v>
      </c>
      <c r="H3058" s="24" t="s">
        <v>589</v>
      </c>
      <c r="I3058" s="24" t="s">
        <v>591</v>
      </c>
      <c r="J3058" s="24" t="s">
        <v>592</v>
      </c>
      <c r="K3058" s="24" t="s">
        <v>612</v>
      </c>
    </row>
    <row r="3059" spans="1:11">
      <c r="A3059" s="12">
        <v>2022</v>
      </c>
      <c r="B3059" s="15" t="s">
        <v>257</v>
      </c>
      <c r="C3059" s="15" t="s">
        <v>262</v>
      </c>
      <c r="D3059" s="15" t="s">
        <v>263</v>
      </c>
      <c r="E3059" s="19">
        <v>81302</v>
      </c>
      <c r="F3059" s="19">
        <v>47685</v>
      </c>
      <c r="G3059" s="20">
        <f t="shared" si="47"/>
        <v>0.36968841821268811</v>
      </c>
      <c r="H3059" s="24" t="s">
        <v>589</v>
      </c>
      <c r="I3059" s="24" t="s">
        <v>591</v>
      </c>
      <c r="J3059" s="24" t="s">
        <v>592</v>
      </c>
      <c r="K3059" s="24" t="s">
        <v>612</v>
      </c>
    </row>
    <row r="3060" spans="1:11">
      <c r="A3060" s="12">
        <v>2022</v>
      </c>
      <c r="B3060" s="15" t="s">
        <v>257</v>
      </c>
      <c r="C3060" s="15" t="s">
        <v>264</v>
      </c>
      <c r="D3060" s="15" t="s">
        <v>265</v>
      </c>
      <c r="E3060" s="19">
        <v>54686</v>
      </c>
      <c r="F3060" s="19">
        <v>41284</v>
      </c>
      <c r="G3060" s="20">
        <f t="shared" si="47"/>
        <v>0.43017609669688445</v>
      </c>
      <c r="H3060" s="24" t="s">
        <v>589</v>
      </c>
      <c r="I3060" s="24" t="s">
        <v>591</v>
      </c>
      <c r="J3060" s="24" t="s">
        <v>592</v>
      </c>
      <c r="K3060" s="24" t="s">
        <v>612</v>
      </c>
    </row>
    <row r="3061" spans="1:11">
      <c r="A3061" s="12">
        <v>2022</v>
      </c>
      <c r="B3061" s="15" t="s">
        <v>257</v>
      </c>
      <c r="C3061" s="15" t="s">
        <v>266</v>
      </c>
      <c r="D3061" s="15" t="s">
        <v>267</v>
      </c>
      <c r="E3061" s="19">
        <v>74126</v>
      </c>
      <c r="F3061" s="19">
        <v>42287</v>
      </c>
      <c r="G3061" s="20">
        <f t="shared" si="47"/>
        <v>0.36324980887014335</v>
      </c>
      <c r="H3061" s="24" t="s">
        <v>589</v>
      </c>
      <c r="I3061" s="24" t="s">
        <v>591</v>
      </c>
      <c r="J3061" s="24" t="s">
        <v>592</v>
      </c>
      <c r="K3061" s="24" t="s">
        <v>612</v>
      </c>
    </row>
    <row r="3062" spans="1:11">
      <c r="A3062" s="12">
        <v>2022</v>
      </c>
      <c r="B3062" s="15" t="s">
        <v>257</v>
      </c>
      <c r="C3062" s="15" t="s">
        <v>268</v>
      </c>
      <c r="D3062" s="15" t="s">
        <v>269</v>
      </c>
      <c r="E3062" s="19">
        <v>17778</v>
      </c>
      <c r="F3062" s="19">
        <v>17030</v>
      </c>
      <c r="G3062" s="20">
        <f t="shared" si="47"/>
        <v>0.48925534359917261</v>
      </c>
      <c r="H3062" s="24" t="s">
        <v>589</v>
      </c>
      <c r="I3062" s="24" t="s">
        <v>591</v>
      </c>
      <c r="J3062" s="24" t="s">
        <v>592</v>
      </c>
      <c r="K3062" s="24" t="s">
        <v>612</v>
      </c>
    </row>
    <row r="3063" spans="1:11">
      <c r="A3063" s="12">
        <v>2022</v>
      </c>
      <c r="B3063" s="15" t="s">
        <v>257</v>
      </c>
      <c r="C3063" s="15" t="s">
        <v>270</v>
      </c>
      <c r="D3063" s="15" t="s">
        <v>271</v>
      </c>
      <c r="E3063" s="19">
        <v>19562</v>
      </c>
      <c r="F3063" s="19">
        <v>23834</v>
      </c>
      <c r="G3063" s="20">
        <f t="shared" si="47"/>
        <v>0.5492211263710941</v>
      </c>
      <c r="H3063" s="24" t="s">
        <v>589</v>
      </c>
      <c r="I3063" s="24" t="s">
        <v>591</v>
      </c>
      <c r="J3063" s="24" t="s">
        <v>592</v>
      </c>
      <c r="K3063" s="24" t="s">
        <v>612</v>
      </c>
    </row>
    <row r="3064" spans="1:11">
      <c r="A3064" s="12">
        <v>2022</v>
      </c>
      <c r="B3064" s="15" t="s">
        <v>257</v>
      </c>
      <c r="C3064" s="15" t="s">
        <v>272</v>
      </c>
      <c r="D3064" s="15" t="s">
        <v>273</v>
      </c>
      <c r="E3064" s="19">
        <v>29298</v>
      </c>
      <c r="F3064" s="19">
        <v>29069</v>
      </c>
      <c r="G3064" s="20">
        <f t="shared" si="47"/>
        <v>0.49803827505268389</v>
      </c>
      <c r="H3064" s="24" t="s">
        <v>589</v>
      </c>
      <c r="I3064" s="24" t="s">
        <v>591</v>
      </c>
      <c r="J3064" s="24" t="s">
        <v>592</v>
      </c>
      <c r="K3064" s="24" t="s">
        <v>612</v>
      </c>
    </row>
    <row r="3065" spans="1:11">
      <c r="A3065" s="12">
        <v>2022</v>
      </c>
      <c r="B3065" s="15" t="s">
        <v>257</v>
      </c>
      <c r="C3065" s="15" t="s">
        <v>274</v>
      </c>
      <c r="D3065" s="15" t="s">
        <v>275</v>
      </c>
      <c r="E3065" s="19">
        <v>333938</v>
      </c>
      <c r="F3065" s="19">
        <v>113219</v>
      </c>
      <c r="G3065" s="20">
        <f t="shared" si="47"/>
        <v>0.25319742282911817</v>
      </c>
      <c r="H3065" s="24" t="s">
        <v>589</v>
      </c>
      <c r="I3065" s="24" t="s">
        <v>591</v>
      </c>
      <c r="J3065" s="24" t="s">
        <v>592</v>
      </c>
      <c r="K3065" s="24" t="s">
        <v>612</v>
      </c>
    </row>
    <row r="3066" spans="1:11">
      <c r="A3066" s="12">
        <v>2022</v>
      </c>
      <c r="B3066" s="15" t="s">
        <v>257</v>
      </c>
      <c r="C3066" s="15" t="s">
        <v>276</v>
      </c>
      <c r="D3066" s="15" t="s">
        <v>277</v>
      </c>
      <c r="E3066" s="19">
        <v>25609</v>
      </c>
      <c r="F3066" s="19">
        <v>25927</v>
      </c>
      <c r="G3066" s="20">
        <f t="shared" si="47"/>
        <v>0.50308522198075134</v>
      </c>
      <c r="H3066" s="24" t="s">
        <v>589</v>
      </c>
      <c r="I3066" s="24" t="s">
        <v>591</v>
      </c>
      <c r="J3066" s="24" t="s">
        <v>592</v>
      </c>
      <c r="K3066" s="24" t="s">
        <v>612</v>
      </c>
    </row>
    <row r="3067" spans="1:11">
      <c r="A3067" s="12">
        <v>2022</v>
      </c>
      <c r="B3067" s="15" t="s">
        <v>257</v>
      </c>
      <c r="C3067" s="15" t="s">
        <v>278</v>
      </c>
      <c r="D3067" s="15" t="s">
        <v>279</v>
      </c>
      <c r="E3067" s="19">
        <v>25623</v>
      </c>
      <c r="F3067" s="19">
        <v>28609</v>
      </c>
      <c r="G3067" s="20">
        <f t="shared" si="47"/>
        <v>0.5275298716624871</v>
      </c>
      <c r="H3067" s="24" t="s">
        <v>589</v>
      </c>
      <c r="I3067" s="24" t="s">
        <v>591</v>
      </c>
      <c r="J3067" s="24" t="s">
        <v>592</v>
      </c>
      <c r="K3067" s="24" t="s">
        <v>612</v>
      </c>
    </row>
    <row r="3068" spans="1:11">
      <c r="A3068" s="12">
        <v>2022</v>
      </c>
      <c r="B3068" s="15" t="s">
        <v>257</v>
      </c>
      <c r="C3068" s="15" t="s">
        <v>280</v>
      </c>
      <c r="D3068" s="15" t="s">
        <v>281</v>
      </c>
      <c r="E3068" s="19">
        <v>35931</v>
      </c>
      <c r="F3068" s="19">
        <v>31508</v>
      </c>
      <c r="G3068" s="20">
        <f t="shared" si="47"/>
        <v>0.46720740224499174</v>
      </c>
      <c r="H3068" s="24" t="s">
        <v>589</v>
      </c>
      <c r="I3068" s="24" t="s">
        <v>591</v>
      </c>
      <c r="J3068" s="24" t="s">
        <v>592</v>
      </c>
      <c r="K3068" s="24" t="s">
        <v>612</v>
      </c>
    </row>
    <row r="3069" spans="1:11">
      <c r="A3069" s="12">
        <v>2022</v>
      </c>
      <c r="B3069" s="15" t="s">
        <v>257</v>
      </c>
      <c r="C3069" s="15" t="s">
        <v>282</v>
      </c>
      <c r="D3069" s="15" t="s">
        <v>283</v>
      </c>
      <c r="E3069" s="19">
        <v>267092</v>
      </c>
      <c r="F3069" s="19">
        <v>90044</v>
      </c>
      <c r="G3069" s="20">
        <f t="shared" si="47"/>
        <v>0.25212804085838447</v>
      </c>
      <c r="H3069" s="24" t="s">
        <v>589</v>
      </c>
      <c r="I3069" s="24" t="s">
        <v>591</v>
      </c>
      <c r="J3069" s="24" t="s">
        <v>592</v>
      </c>
      <c r="K3069" s="24" t="s">
        <v>612</v>
      </c>
    </row>
    <row r="3070" spans="1:11">
      <c r="A3070" s="12">
        <v>2022</v>
      </c>
      <c r="B3070" s="15" t="s">
        <v>257</v>
      </c>
      <c r="C3070" s="15" t="s">
        <v>284</v>
      </c>
      <c r="D3070" s="15" t="s">
        <v>285</v>
      </c>
      <c r="E3070" s="19">
        <v>34889</v>
      </c>
      <c r="F3070" s="19">
        <v>25096</v>
      </c>
      <c r="G3070" s="20">
        <f t="shared" si="47"/>
        <v>0.41837125948153703</v>
      </c>
      <c r="H3070" s="24" t="s">
        <v>589</v>
      </c>
      <c r="I3070" s="24" t="s">
        <v>591</v>
      </c>
      <c r="J3070" s="24" t="s">
        <v>592</v>
      </c>
      <c r="K3070" s="24" t="s">
        <v>612</v>
      </c>
    </row>
    <row r="3071" spans="1:11">
      <c r="A3071" s="12">
        <v>2022</v>
      </c>
      <c r="B3071" s="15" t="s">
        <v>257</v>
      </c>
      <c r="C3071" s="15" t="s">
        <v>286</v>
      </c>
      <c r="D3071" s="15" t="s">
        <v>287</v>
      </c>
      <c r="E3071" s="19">
        <v>31274</v>
      </c>
      <c r="F3071" s="19">
        <v>34007</v>
      </c>
      <c r="G3071" s="20">
        <f t="shared" si="47"/>
        <v>0.52093258375331264</v>
      </c>
      <c r="H3071" s="24" t="s">
        <v>589</v>
      </c>
      <c r="I3071" s="24" t="s">
        <v>591</v>
      </c>
      <c r="J3071" s="24" t="s">
        <v>592</v>
      </c>
      <c r="K3071" s="24" t="s">
        <v>612</v>
      </c>
    </row>
    <row r="3072" spans="1:11">
      <c r="A3072" s="12">
        <v>2022</v>
      </c>
      <c r="B3072" s="15" t="s">
        <v>257</v>
      </c>
      <c r="C3072" s="15" t="s">
        <v>288</v>
      </c>
      <c r="D3072" s="15" t="s">
        <v>289</v>
      </c>
      <c r="E3072" s="19">
        <v>55990</v>
      </c>
      <c r="F3072" s="19">
        <v>45745</v>
      </c>
      <c r="G3072" s="20">
        <f t="shared" si="47"/>
        <v>0.44964859684474368</v>
      </c>
      <c r="H3072" s="24" t="s">
        <v>589</v>
      </c>
      <c r="I3072" s="24" t="s">
        <v>591</v>
      </c>
      <c r="J3072" s="24" t="s">
        <v>592</v>
      </c>
      <c r="K3072" s="24" t="s">
        <v>612</v>
      </c>
    </row>
    <row r="3073" spans="1:11">
      <c r="A3073" s="12">
        <v>2022</v>
      </c>
      <c r="B3073" s="15" t="s">
        <v>257</v>
      </c>
      <c r="C3073" s="15" t="s">
        <v>290</v>
      </c>
      <c r="D3073" s="15" t="s">
        <v>291</v>
      </c>
      <c r="E3073" s="19">
        <v>17806</v>
      </c>
      <c r="F3073" s="19">
        <v>19911</v>
      </c>
      <c r="G3073" s="20">
        <f t="shared" si="47"/>
        <v>0.52790518864172653</v>
      </c>
      <c r="H3073" s="24" t="s">
        <v>589</v>
      </c>
      <c r="I3073" s="24" t="s">
        <v>591</v>
      </c>
      <c r="J3073" s="24" t="s">
        <v>592</v>
      </c>
      <c r="K3073" s="24" t="s">
        <v>612</v>
      </c>
    </row>
    <row r="3074" spans="1:11">
      <c r="A3074" s="12">
        <v>2022</v>
      </c>
      <c r="B3074" s="15" t="s">
        <v>257</v>
      </c>
      <c r="C3074" s="15" t="s">
        <v>292</v>
      </c>
      <c r="D3074" s="15" t="s">
        <v>293</v>
      </c>
      <c r="E3074" s="19">
        <v>36709</v>
      </c>
      <c r="F3074" s="19">
        <v>37366</v>
      </c>
      <c r="G3074" s="20">
        <f t="shared" si="47"/>
        <v>0.50443469456631795</v>
      </c>
      <c r="H3074" s="24" t="s">
        <v>589</v>
      </c>
      <c r="I3074" s="24" t="s">
        <v>591</v>
      </c>
      <c r="J3074" s="24" t="s">
        <v>592</v>
      </c>
      <c r="K3074" s="24" t="s">
        <v>612</v>
      </c>
    </row>
    <row r="3075" spans="1:11">
      <c r="A3075" s="12">
        <v>2022</v>
      </c>
      <c r="B3075" s="15" t="s">
        <v>294</v>
      </c>
      <c r="C3075" s="15" t="s">
        <v>22</v>
      </c>
      <c r="D3075" s="15" t="s">
        <v>294</v>
      </c>
      <c r="E3075" s="19">
        <v>1509207</v>
      </c>
      <c r="F3075" s="19">
        <v>525811</v>
      </c>
      <c r="G3075" s="20">
        <f t="shared" si="47"/>
        <v>0.2583814983454692</v>
      </c>
      <c r="H3075" s="24" t="s">
        <v>586</v>
      </c>
      <c r="I3075" s="24" t="s">
        <v>608</v>
      </c>
      <c r="J3075" s="24" t="s">
        <v>609</v>
      </c>
      <c r="K3075" s="24" t="s">
        <v>612</v>
      </c>
    </row>
    <row r="3076" spans="1:11">
      <c r="A3076" s="12">
        <v>2022</v>
      </c>
      <c r="B3076" s="15" t="s">
        <v>294</v>
      </c>
      <c r="C3076" s="15" t="s">
        <v>295</v>
      </c>
      <c r="D3076" s="15" t="s">
        <v>296</v>
      </c>
      <c r="E3076" s="19">
        <v>26440</v>
      </c>
      <c r="F3076" s="19">
        <v>31962</v>
      </c>
      <c r="G3076" s="20">
        <f t="shared" si="47"/>
        <v>0.54727577822677309</v>
      </c>
      <c r="H3076" s="24" t="s">
        <v>586</v>
      </c>
      <c r="I3076" s="24" t="s">
        <v>608</v>
      </c>
      <c r="J3076" s="24" t="s">
        <v>609</v>
      </c>
      <c r="K3076" s="24" t="s">
        <v>612</v>
      </c>
    </row>
    <row r="3077" spans="1:11">
      <c r="A3077" s="12">
        <v>2022</v>
      </c>
      <c r="B3077" s="15" t="s">
        <v>294</v>
      </c>
      <c r="C3077" s="15" t="s">
        <v>297</v>
      </c>
      <c r="D3077" s="15" t="s">
        <v>298</v>
      </c>
      <c r="E3077" s="19">
        <v>21542</v>
      </c>
      <c r="F3077" s="19">
        <v>23415</v>
      </c>
      <c r="G3077" s="20">
        <f t="shared" si="47"/>
        <v>0.52083101630446871</v>
      </c>
      <c r="H3077" s="24" t="s">
        <v>586</v>
      </c>
      <c r="I3077" s="24" t="s">
        <v>608</v>
      </c>
      <c r="J3077" s="24" t="s">
        <v>609</v>
      </c>
      <c r="K3077" s="24" t="s">
        <v>612</v>
      </c>
    </row>
    <row r="3078" spans="1:11">
      <c r="A3078" s="12">
        <v>2022</v>
      </c>
      <c r="B3078" s="15" t="s">
        <v>294</v>
      </c>
      <c r="C3078" s="15" t="s">
        <v>299</v>
      </c>
      <c r="D3078" s="15" t="s">
        <v>300</v>
      </c>
      <c r="E3078" s="19">
        <v>26170</v>
      </c>
      <c r="F3078" s="19">
        <v>23795</v>
      </c>
      <c r="G3078" s="20">
        <f t="shared" ref="G3078:G3141" si="48">IFERROR(F3078/(E3078+F3078),"")</f>
        <v>0.47623336335434802</v>
      </c>
      <c r="H3078" s="24" t="s">
        <v>586</v>
      </c>
      <c r="I3078" s="24" t="s">
        <v>608</v>
      </c>
      <c r="J3078" s="24" t="s">
        <v>609</v>
      </c>
      <c r="K3078" s="24" t="s">
        <v>612</v>
      </c>
    </row>
    <row r="3079" spans="1:11">
      <c r="A3079" s="12">
        <v>2022</v>
      </c>
      <c r="B3079" s="15" t="s">
        <v>294</v>
      </c>
      <c r="C3079" s="15" t="s">
        <v>301</v>
      </c>
      <c r="D3079" s="15" t="s">
        <v>302</v>
      </c>
      <c r="E3079" s="19">
        <v>38263</v>
      </c>
      <c r="F3079" s="19">
        <v>31654</v>
      </c>
      <c r="G3079" s="20">
        <f t="shared" si="48"/>
        <v>0.45273681651100589</v>
      </c>
      <c r="H3079" s="24" t="s">
        <v>586</v>
      </c>
      <c r="I3079" s="24" t="s">
        <v>608</v>
      </c>
      <c r="J3079" s="24" t="s">
        <v>609</v>
      </c>
      <c r="K3079" s="24" t="s">
        <v>612</v>
      </c>
    </row>
    <row r="3080" spans="1:11">
      <c r="A3080" s="12">
        <v>2022</v>
      </c>
      <c r="B3080" s="15" t="s">
        <v>294</v>
      </c>
      <c r="C3080" s="15" t="s">
        <v>303</v>
      </c>
      <c r="D3080" s="15" t="s">
        <v>304</v>
      </c>
      <c r="E3080" s="19">
        <v>42559</v>
      </c>
      <c r="F3080" s="19">
        <v>35968</v>
      </c>
      <c r="G3080" s="20">
        <f t="shared" si="48"/>
        <v>0.45803354260318108</v>
      </c>
      <c r="H3080" s="24" t="s">
        <v>586</v>
      </c>
      <c r="I3080" s="24" t="s">
        <v>608</v>
      </c>
      <c r="J3080" s="24" t="s">
        <v>609</v>
      </c>
      <c r="K3080" s="24" t="s">
        <v>612</v>
      </c>
    </row>
    <row r="3081" spans="1:11">
      <c r="A3081" s="12">
        <v>2022</v>
      </c>
      <c r="B3081" s="15" t="s">
        <v>294</v>
      </c>
      <c r="C3081" s="15" t="s">
        <v>305</v>
      </c>
      <c r="D3081" s="15" t="s">
        <v>306</v>
      </c>
      <c r="E3081" s="19">
        <v>84087</v>
      </c>
      <c r="F3081" s="19">
        <v>74400</v>
      </c>
      <c r="G3081" s="20">
        <f t="shared" si="48"/>
        <v>0.46943913380908214</v>
      </c>
      <c r="H3081" s="24" t="s">
        <v>586</v>
      </c>
      <c r="I3081" s="24" t="s">
        <v>608</v>
      </c>
      <c r="J3081" s="24" t="s">
        <v>609</v>
      </c>
      <c r="K3081" s="24" t="s">
        <v>612</v>
      </c>
    </row>
    <row r="3082" spans="1:11">
      <c r="A3082" s="12">
        <v>2022</v>
      </c>
      <c r="B3082" s="15" t="s">
        <v>294</v>
      </c>
      <c r="C3082" s="15" t="s">
        <v>307</v>
      </c>
      <c r="D3082" s="15" t="s">
        <v>308</v>
      </c>
      <c r="E3082" s="19">
        <v>120004</v>
      </c>
      <c r="F3082" s="19">
        <v>61402</v>
      </c>
      <c r="G3082" s="20">
        <f t="shared" si="48"/>
        <v>0.33847833037496006</v>
      </c>
      <c r="H3082" s="24" t="s">
        <v>586</v>
      </c>
      <c r="I3082" s="24" t="s">
        <v>608</v>
      </c>
      <c r="J3082" s="24" t="s">
        <v>609</v>
      </c>
      <c r="K3082" s="24" t="s">
        <v>612</v>
      </c>
    </row>
    <row r="3083" spans="1:11">
      <c r="A3083" s="12">
        <v>2022</v>
      </c>
      <c r="B3083" s="15" t="s">
        <v>294</v>
      </c>
      <c r="C3083" s="15" t="s">
        <v>309</v>
      </c>
      <c r="D3083" s="15" t="s">
        <v>310</v>
      </c>
      <c r="E3083" s="19">
        <v>32163</v>
      </c>
      <c r="F3083" s="19">
        <v>28498</v>
      </c>
      <c r="G3083" s="20">
        <f t="shared" si="48"/>
        <v>0.46979113433672376</v>
      </c>
      <c r="H3083" s="24" t="s">
        <v>586</v>
      </c>
      <c r="I3083" s="24" t="s">
        <v>608</v>
      </c>
      <c r="J3083" s="24" t="s">
        <v>609</v>
      </c>
      <c r="K3083" s="24" t="s">
        <v>612</v>
      </c>
    </row>
    <row r="3084" spans="1:11">
      <c r="A3084" s="12">
        <v>2022</v>
      </c>
      <c r="B3084" s="15" t="s">
        <v>294</v>
      </c>
      <c r="C3084" s="15" t="s">
        <v>311</v>
      </c>
      <c r="D3084" s="15" t="s">
        <v>312</v>
      </c>
      <c r="E3084" s="19">
        <v>77326</v>
      </c>
      <c r="F3084" s="19">
        <v>65720</v>
      </c>
      <c r="G3084" s="20">
        <f t="shared" si="48"/>
        <v>0.45943263006305662</v>
      </c>
      <c r="H3084" s="24" t="s">
        <v>586</v>
      </c>
      <c r="I3084" s="24" t="s">
        <v>608</v>
      </c>
      <c r="J3084" s="24" t="s">
        <v>609</v>
      </c>
      <c r="K3084" s="24" t="s">
        <v>612</v>
      </c>
    </row>
    <row r="3085" spans="1:11">
      <c r="A3085" s="12">
        <v>2022</v>
      </c>
      <c r="B3085" s="15" t="s">
        <v>294</v>
      </c>
      <c r="C3085" s="15" t="s">
        <v>315</v>
      </c>
      <c r="D3085" s="15" t="s">
        <v>316</v>
      </c>
      <c r="E3085" s="19">
        <v>172719</v>
      </c>
      <c r="F3085" s="19">
        <v>143723</v>
      </c>
      <c r="G3085" s="20">
        <f t="shared" si="48"/>
        <v>0.45418433709810963</v>
      </c>
      <c r="H3085" s="24" t="s">
        <v>586</v>
      </c>
      <c r="I3085" s="24" t="s">
        <v>608</v>
      </c>
      <c r="J3085" s="24" t="s">
        <v>609</v>
      </c>
      <c r="K3085" s="24" t="s">
        <v>612</v>
      </c>
    </row>
    <row r="3086" spans="1:11">
      <c r="A3086" s="12">
        <v>2022</v>
      </c>
      <c r="B3086" s="15" t="s">
        <v>294</v>
      </c>
      <c r="C3086" s="15" t="s">
        <v>317</v>
      </c>
      <c r="D3086" s="15" t="s">
        <v>318</v>
      </c>
      <c r="E3086" s="19">
        <v>162409</v>
      </c>
      <c r="F3086" s="19">
        <v>157607</v>
      </c>
      <c r="G3086" s="20">
        <f t="shared" si="48"/>
        <v>0.49249725013749313</v>
      </c>
      <c r="H3086" s="24" t="s">
        <v>586</v>
      </c>
      <c r="I3086" s="24" t="s">
        <v>608</v>
      </c>
      <c r="J3086" s="24" t="s">
        <v>609</v>
      </c>
      <c r="K3086" s="24" t="s">
        <v>612</v>
      </c>
    </row>
    <row r="3087" spans="1:11">
      <c r="A3087" s="12">
        <v>2022</v>
      </c>
      <c r="B3087" s="15" t="s">
        <v>294</v>
      </c>
      <c r="C3087" s="15" t="s">
        <v>319</v>
      </c>
      <c r="D3087" s="15" t="s">
        <v>320</v>
      </c>
      <c r="E3087" s="19">
        <v>173245</v>
      </c>
      <c r="F3087" s="19">
        <v>135960</v>
      </c>
      <c r="G3087" s="20">
        <f t="shared" si="48"/>
        <v>0.43970828414805713</v>
      </c>
      <c r="H3087" s="24" t="s">
        <v>586</v>
      </c>
      <c r="I3087" s="24" t="s">
        <v>608</v>
      </c>
      <c r="J3087" s="24" t="s">
        <v>609</v>
      </c>
      <c r="K3087" s="24" t="s">
        <v>612</v>
      </c>
    </row>
    <row r="3088" spans="1:11">
      <c r="A3088" s="12">
        <v>2022</v>
      </c>
      <c r="B3088" s="15" t="s">
        <v>294</v>
      </c>
      <c r="C3088" s="15" t="s">
        <v>321</v>
      </c>
      <c r="D3088" s="15" t="s">
        <v>322</v>
      </c>
      <c r="E3088" s="19">
        <v>238786</v>
      </c>
      <c r="F3088" s="19">
        <v>194356</v>
      </c>
      <c r="G3088" s="20">
        <f t="shared" si="48"/>
        <v>0.44871196974664196</v>
      </c>
      <c r="H3088" s="24" t="s">
        <v>586</v>
      </c>
      <c r="I3088" s="24" t="s">
        <v>608</v>
      </c>
      <c r="J3088" s="24" t="s">
        <v>609</v>
      </c>
      <c r="K3088" s="24" t="s">
        <v>612</v>
      </c>
    </row>
    <row r="3089" spans="1:11">
      <c r="A3089" s="12">
        <v>2022</v>
      </c>
      <c r="B3089" s="15" t="s">
        <v>294</v>
      </c>
      <c r="C3089" s="15" t="s">
        <v>323</v>
      </c>
      <c r="D3089" s="15" t="s">
        <v>324</v>
      </c>
      <c r="E3089" s="19">
        <v>194433</v>
      </c>
      <c r="F3089" s="19">
        <v>83167</v>
      </c>
      <c r="G3089" s="20">
        <f t="shared" si="48"/>
        <v>0.29959293948126803</v>
      </c>
      <c r="H3089" s="24" t="s">
        <v>586</v>
      </c>
      <c r="I3089" s="24" t="s">
        <v>608</v>
      </c>
      <c r="J3089" s="24" t="s">
        <v>609</v>
      </c>
      <c r="K3089" s="24" t="s">
        <v>612</v>
      </c>
    </row>
    <row r="3090" spans="1:11">
      <c r="A3090" s="12">
        <v>2022</v>
      </c>
      <c r="B3090" s="15" t="s">
        <v>325</v>
      </c>
      <c r="C3090" s="15" t="s">
        <v>22</v>
      </c>
      <c r="D3090" s="15" t="s">
        <v>325</v>
      </c>
      <c r="E3090" s="19">
        <v>1997284</v>
      </c>
      <c r="F3090" s="19">
        <v>858294</v>
      </c>
      <c r="G3090" s="20">
        <f t="shared" si="48"/>
        <v>0.30056752083115923</v>
      </c>
      <c r="H3090" s="24" t="s">
        <v>586</v>
      </c>
      <c r="I3090" s="24" t="s">
        <v>608</v>
      </c>
      <c r="J3090" s="24" t="s">
        <v>609</v>
      </c>
      <c r="K3090" s="24" t="s">
        <v>612</v>
      </c>
    </row>
    <row r="3091" spans="1:11">
      <c r="A3091" s="12">
        <v>2022</v>
      </c>
      <c r="B3091" s="15" t="s">
        <v>325</v>
      </c>
      <c r="C3091" s="15" t="s">
        <v>326</v>
      </c>
      <c r="D3091" s="15" t="s">
        <v>327</v>
      </c>
      <c r="E3091" s="19">
        <v>36324</v>
      </c>
      <c r="F3091" s="19">
        <v>36214</v>
      </c>
      <c r="G3091" s="20">
        <f t="shared" si="48"/>
        <v>0.499241776723924</v>
      </c>
      <c r="H3091" s="24" t="s">
        <v>586</v>
      </c>
      <c r="I3091" s="24" t="s">
        <v>608</v>
      </c>
      <c r="J3091" s="24" t="s">
        <v>609</v>
      </c>
      <c r="K3091" s="24" t="s">
        <v>612</v>
      </c>
    </row>
    <row r="3092" spans="1:11">
      <c r="A3092" s="12">
        <v>2022</v>
      </c>
      <c r="B3092" s="15" t="s">
        <v>325</v>
      </c>
      <c r="C3092" s="15" t="s">
        <v>328</v>
      </c>
      <c r="D3092" s="15" t="s">
        <v>329</v>
      </c>
      <c r="E3092" s="19">
        <v>88154</v>
      </c>
      <c r="F3092" s="19">
        <v>68457</v>
      </c>
      <c r="G3092" s="20">
        <f t="shared" si="48"/>
        <v>0.4371148897587015</v>
      </c>
      <c r="H3092" s="24" t="s">
        <v>586</v>
      </c>
      <c r="I3092" s="24" t="s">
        <v>608</v>
      </c>
      <c r="J3092" s="24" t="s">
        <v>609</v>
      </c>
      <c r="K3092" s="24" t="s">
        <v>612</v>
      </c>
    </row>
    <row r="3093" spans="1:11">
      <c r="A3093" s="12">
        <v>2022</v>
      </c>
      <c r="B3093" s="15" t="s">
        <v>325</v>
      </c>
      <c r="C3093" s="15" t="s">
        <v>330</v>
      </c>
      <c r="D3093" s="15" t="s">
        <v>331</v>
      </c>
      <c r="E3093" s="19">
        <v>42308</v>
      </c>
      <c r="F3093" s="19">
        <v>39162</v>
      </c>
      <c r="G3093" s="20">
        <f t="shared" si="48"/>
        <v>0.48069227936663805</v>
      </c>
      <c r="H3093" s="24" t="s">
        <v>586</v>
      </c>
      <c r="I3093" s="24" t="s">
        <v>608</v>
      </c>
      <c r="J3093" s="24" t="s">
        <v>609</v>
      </c>
      <c r="K3093" s="24" t="s">
        <v>612</v>
      </c>
    </row>
    <row r="3094" spans="1:11">
      <c r="A3094" s="12">
        <v>2022</v>
      </c>
      <c r="B3094" s="15" t="s">
        <v>325</v>
      </c>
      <c r="C3094" s="15" t="s">
        <v>332</v>
      </c>
      <c r="D3094" s="15" t="s">
        <v>333</v>
      </c>
      <c r="E3094" s="19">
        <v>101434</v>
      </c>
      <c r="F3094" s="19">
        <v>67717</v>
      </c>
      <c r="G3094" s="20">
        <f t="shared" si="48"/>
        <v>0.40033461226951067</v>
      </c>
      <c r="H3094" s="24" t="s">
        <v>586</v>
      </c>
      <c r="I3094" s="24" t="s">
        <v>608</v>
      </c>
      <c r="J3094" s="24" t="s">
        <v>609</v>
      </c>
      <c r="K3094" s="24" t="s">
        <v>612</v>
      </c>
    </row>
    <row r="3095" spans="1:11">
      <c r="A3095" s="12">
        <v>2022</v>
      </c>
      <c r="B3095" s="15" t="s">
        <v>325</v>
      </c>
      <c r="C3095" s="15" t="s">
        <v>336</v>
      </c>
      <c r="D3095" s="15" t="s">
        <v>337</v>
      </c>
      <c r="E3095" s="19">
        <v>154670</v>
      </c>
      <c r="F3095" s="19">
        <v>91635</v>
      </c>
      <c r="G3095" s="20">
        <f t="shared" si="48"/>
        <v>0.37203873246584518</v>
      </c>
      <c r="H3095" s="24" t="s">
        <v>586</v>
      </c>
      <c r="I3095" s="24" t="s">
        <v>608</v>
      </c>
      <c r="J3095" s="24" t="s">
        <v>609</v>
      </c>
      <c r="K3095" s="24" t="s">
        <v>612</v>
      </c>
    </row>
    <row r="3096" spans="1:11">
      <c r="A3096" s="12">
        <v>2022</v>
      </c>
      <c r="B3096" s="15" t="s">
        <v>325</v>
      </c>
      <c r="C3096" s="15" t="s">
        <v>338</v>
      </c>
      <c r="D3096" s="15" t="s">
        <v>339</v>
      </c>
      <c r="E3096" s="19">
        <v>87253</v>
      </c>
      <c r="F3096" s="19">
        <v>56212</v>
      </c>
      <c r="G3096" s="20">
        <f t="shared" si="48"/>
        <v>0.39181681943331126</v>
      </c>
      <c r="H3096" s="24" t="s">
        <v>586</v>
      </c>
      <c r="I3096" s="24" t="s">
        <v>608</v>
      </c>
      <c r="J3096" s="24" t="s">
        <v>609</v>
      </c>
      <c r="K3096" s="24" t="s">
        <v>612</v>
      </c>
    </row>
    <row r="3097" spans="1:11">
      <c r="A3097" s="12">
        <v>2022</v>
      </c>
      <c r="B3097" s="15" t="s">
        <v>325</v>
      </c>
      <c r="C3097" s="15" t="s">
        <v>340</v>
      </c>
      <c r="D3097" s="15" t="s">
        <v>341</v>
      </c>
      <c r="E3097" s="19">
        <v>52690</v>
      </c>
      <c r="F3097" s="19">
        <v>47481</v>
      </c>
      <c r="G3097" s="20">
        <f t="shared" si="48"/>
        <v>0.47399946092182366</v>
      </c>
      <c r="H3097" s="24" t="s">
        <v>586</v>
      </c>
      <c r="I3097" s="24" t="s">
        <v>608</v>
      </c>
      <c r="J3097" s="24" t="s">
        <v>609</v>
      </c>
      <c r="K3097" s="24" t="s">
        <v>612</v>
      </c>
    </row>
    <row r="3098" spans="1:11">
      <c r="A3098" s="12">
        <v>2022</v>
      </c>
      <c r="B3098" s="15" t="s">
        <v>325</v>
      </c>
      <c r="C3098" s="15" t="s">
        <v>342</v>
      </c>
      <c r="D3098" s="15" t="s">
        <v>343</v>
      </c>
      <c r="E3098" s="19">
        <v>161720</v>
      </c>
      <c r="F3098" s="19">
        <v>91975</v>
      </c>
      <c r="G3098" s="20">
        <f t="shared" si="48"/>
        <v>0.36254163464002048</v>
      </c>
      <c r="H3098" s="24" t="s">
        <v>586</v>
      </c>
      <c r="I3098" s="24" t="s">
        <v>608</v>
      </c>
      <c r="J3098" s="24" t="s">
        <v>609</v>
      </c>
      <c r="K3098" s="24" t="s">
        <v>612</v>
      </c>
    </row>
    <row r="3099" spans="1:11">
      <c r="A3099" s="12">
        <v>2022</v>
      </c>
      <c r="B3099" s="15" t="s">
        <v>325</v>
      </c>
      <c r="C3099" s="15" t="s">
        <v>344</v>
      </c>
      <c r="D3099" s="15" t="s">
        <v>345</v>
      </c>
      <c r="E3099" s="19">
        <v>43885</v>
      </c>
      <c r="F3099" s="19">
        <v>36949</v>
      </c>
      <c r="G3099" s="20">
        <f t="shared" si="48"/>
        <v>0.45709726105351711</v>
      </c>
      <c r="H3099" s="24" t="s">
        <v>586</v>
      </c>
      <c r="I3099" s="24" t="s">
        <v>608</v>
      </c>
      <c r="J3099" s="24" t="s">
        <v>609</v>
      </c>
      <c r="K3099" s="24" t="s">
        <v>612</v>
      </c>
    </row>
    <row r="3100" spans="1:11">
      <c r="A3100" s="12">
        <v>2022</v>
      </c>
      <c r="B3100" s="15" t="s">
        <v>325</v>
      </c>
      <c r="C3100" s="15" t="s">
        <v>346</v>
      </c>
      <c r="D3100" s="15" t="s">
        <v>347</v>
      </c>
      <c r="E3100" s="19">
        <v>305372</v>
      </c>
      <c r="F3100" s="19">
        <v>225204</v>
      </c>
      <c r="G3100" s="20">
        <f t="shared" si="48"/>
        <v>0.42445191640782848</v>
      </c>
      <c r="H3100" s="24" t="s">
        <v>586</v>
      </c>
      <c r="I3100" s="24" t="s">
        <v>608</v>
      </c>
      <c r="J3100" s="24" t="s">
        <v>609</v>
      </c>
      <c r="K3100" s="24" t="s">
        <v>612</v>
      </c>
    </row>
    <row r="3101" spans="1:11">
      <c r="A3101" s="12">
        <v>2022</v>
      </c>
      <c r="B3101" s="15" t="s">
        <v>325</v>
      </c>
      <c r="C3101" s="15" t="s">
        <v>350</v>
      </c>
      <c r="D3101" s="15" t="s">
        <v>351</v>
      </c>
      <c r="E3101" s="19">
        <v>64133</v>
      </c>
      <c r="F3101" s="19">
        <v>56141</v>
      </c>
      <c r="G3101" s="20">
        <f t="shared" si="48"/>
        <v>0.46677586178226382</v>
      </c>
      <c r="H3101" s="24" t="s">
        <v>586</v>
      </c>
      <c r="I3101" s="24" t="s">
        <v>608</v>
      </c>
      <c r="J3101" s="24" t="s">
        <v>609</v>
      </c>
      <c r="K3101" s="24" t="s">
        <v>612</v>
      </c>
    </row>
    <row r="3102" spans="1:11">
      <c r="A3102" s="12">
        <v>2022</v>
      </c>
      <c r="B3102" s="15" t="s">
        <v>325</v>
      </c>
      <c r="C3102" s="15" t="s">
        <v>354</v>
      </c>
      <c r="D3102" s="15" t="s">
        <v>355</v>
      </c>
      <c r="E3102" s="19">
        <v>219686</v>
      </c>
      <c r="F3102" s="19">
        <v>203267</v>
      </c>
      <c r="G3102" s="20">
        <f t="shared" si="48"/>
        <v>0.48059004191955135</v>
      </c>
      <c r="H3102" s="24" t="s">
        <v>586</v>
      </c>
      <c r="I3102" s="24" t="s">
        <v>608</v>
      </c>
      <c r="J3102" s="24" t="s">
        <v>609</v>
      </c>
      <c r="K3102" s="24" t="s">
        <v>612</v>
      </c>
    </row>
    <row r="3103" spans="1:11">
      <c r="A3103" s="12">
        <v>2022</v>
      </c>
      <c r="B3103" s="15" t="s">
        <v>325</v>
      </c>
      <c r="C3103" s="15" t="s">
        <v>356</v>
      </c>
      <c r="D3103" s="15" t="s">
        <v>357</v>
      </c>
      <c r="E3103" s="19">
        <v>368311</v>
      </c>
      <c r="F3103" s="19">
        <v>277663</v>
      </c>
      <c r="G3103" s="20">
        <f t="shared" si="48"/>
        <v>0.42983618535730539</v>
      </c>
      <c r="H3103" s="24" t="s">
        <v>586</v>
      </c>
      <c r="I3103" s="24" t="s">
        <v>608</v>
      </c>
      <c r="J3103" s="24" t="s">
        <v>609</v>
      </c>
      <c r="K3103" s="24" t="s">
        <v>612</v>
      </c>
    </row>
    <row r="3104" spans="1:11">
      <c r="A3104" s="12">
        <v>2022</v>
      </c>
      <c r="B3104" s="15" t="s">
        <v>325</v>
      </c>
      <c r="C3104" s="15" t="s">
        <v>358</v>
      </c>
      <c r="D3104" s="15" t="s">
        <v>359</v>
      </c>
      <c r="E3104" s="19">
        <v>23472</v>
      </c>
      <c r="F3104" s="19">
        <v>25469</v>
      </c>
      <c r="G3104" s="20">
        <f t="shared" si="48"/>
        <v>0.52040211683455584</v>
      </c>
      <c r="H3104" s="24" t="s">
        <v>586</v>
      </c>
      <c r="I3104" s="24" t="s">
        <v>608</v>
      </c>
      <c r="J3104" s="24" t="s">
        <v>609</v>
      </c>
      <c r="K3104" s="24" t="s">
        <v>612</v>
      </c>
    </row>
    <row r="3105" spans="1:11">
      <c r="A3105" s="12">
        <v>2022</v>
      </c>
      <c r="B3105" s="15" t="s">
        <v>325</v>
      </c>
      <c r="C3105" s="15" t="s">
        <v>360</v>
      </c>
      <c r="D3105" s="15" t="s">
        <v>361</v>
      </c>
      <c r="E3105" s="19">
        <v>52180</v>
      </c>
      <c r="F3105" s="19">
        <v>45971</v>
      </c>
      <c r="G3105" s="20">
        <f t="shared" si="48"/>
        <v>0.46837016433862111</v>
      </c>
      <c r="H3105" s="24" t="s">
        <v>586</v>
      </c>
      <c r="I3105" s="24" t="s">
        <v>608</v>
      </c>
      <c r="J3105" s="24" t="s">
        <v>609</v>
      </c>
      <c r="K3105" s="24" t="s">
        <v>612</v>
      </c>
    </row>
    <row r="3106" spans="1:11">
      <c r="A3106" s="12">
        <v>2022</v>
      </c>
      <c r="B3106" s="15" t="s">
        <v>325</v>
      </c>
      <c r="C3106" s="15" t="s">
        <v>362</v>
      </c>
      <c r="D3106" s="15" t="s">
        <v>363</v>
      </c>
      <c r="E3106" s="19">
        <v>89382</v>
      </c>
      <c r="F3106" s="19">
        <v>58080</v>
      </c>
      <c r="G3106" s="20">
        <f t="shared" si="48"/>
        <v>0.3938641819587419</v>
      </c>
      <c r="H3106" s="24" t="s">
        <v>586</v>
      </c>
      <c r="I3106" s="24" t="s">
        <v>608</v>
      </c>
      <c r="J3106" s="24" t="s">
        <v>609</v>
      </c>
      <c r="K3106" s="24" t="s">
        <v>612</v>
      </c>
    </row>
    <row r="3107" spans="1:11">
      <c r="A3107" s="12">
        <v>2022</v>
      </c>
      <c r="B3107" s="15" t="s">
        <v>364</v>
      </c>
      <c r="C3107" s="15" t="s">
        <v>22</v>
      </c>
      <c r="D3107" s="15" t="s">
        <v>364</v>
      </c>
      <c r="E3107" s="19">
        <v>1680444</v>
      </c>
      <c r="F3107" s="19">
        <v>404445</v>
      </c>
      <c r="G3107" s="20">
        <f t="shared" si="48"/>
        <v>0.19398874472453928</v>
      </c>
      <c r="H3107" s="24" t="s">
        <v>583</v>
      </c>
      <c r="I3107" s="24" t="s">
        <v>606</v>
      </c>
      <c r="J3107" s="24" t="s">
        <v>607</v>
      </c>
      <c r="K3107" s="24" t="s">
        <v>612</v>
      </c>
    </row>
    <row r="3108" spans="1:11">
      <c r="A3108" s="12">
        <v>2022</v>
      </c>
      <c r="B3108" s="15" t="s">
        <v>364</v>
      </c>
      <c r="C3108" s="15" t="s">
        <v>365</v>
      </c>
      <c r="D3108" s="15" t="s">
        <v>366</v>
      </c>
      <c r="E3108" s="19">
        <v>44847</v>
      </c>
      <c r="F3108" s="19">
        <v>37340</v>
      </c>
      <c r="G3108" s="20">
        <f t="shared" si="48"/>
        <v>0.45432976018105053</v>
      </c>
      <c r="H3108" s="24" t="s">
        <v>583</v>
      </c>
      <c r="I3108" s="24" t="s">
        <v>606</v>
      </c>
      <c r="J3108" s="24" t="s">
        <v>607</v>
      </c>
      <c r="K3108" s="24" t="s">
        <v>612</v>
      </c>
    </row>
    <row r="3109" spans="1:11">
      <c r="A3109" s="12">
        <v>2022</v>
      </c>
      <c r="B3109" s="15" t="s">
        <v>364</v>
      </c>
      <c r="C3109" s="15" t="s">
        <v>367</v>
      </c>
      <c r="D3109" s="15" t="s">
        <v>368</v>
      </c>
      <c r="E3109" s="19">
        <v>244694</v>
      </c>
      <c r="F3109" s="19">
        <v>109845</v>
      </c>
      <c r="G3109" s="20">
        <f t="shared" si="48"/>
        <v>0.3098248711707316</v>
      </c>
      <c r="H3109" s="24" t="s">
        <v>583</v>
      </c>
      <c r="I3109" s="24" t="s">
        <v>606</v>
      </c>
      <c r="J3109" s="24" t="s">
        <v>607</v>
      </c>
      <c r="K3109" s="24" t="s">
        <v>612</v>
      </c>
    </row>
    <row r="3110" spans="1:11">
      <c r="A3110" s="12">
        <v>2022</v>
      </c>
      <c r="B3110" s="15" t="s">
        <v>364</v>
      </c>
      <c r="C3110" s="15" t="s">
        <v>369</v>
      </c>
      <c r="D3110" s="15" t="s">
        <v>370</v>
      </c>
      <c r="E3110" s="19">
        <v>66221</v>
      </c>
      <c r="F3110" s="19">
        <v>58586</v>
      </c>
      <c r="G3110" s="20">
        <f t="shared" si="48"/>
        <v>0.4694127733220092</v>
      </c>
      <c r="H3110" s="24" t="s">
        <v>583</v>
      </c>
      <c r="I3110" s="24" t="s">
        <v>606</v>
      </c>
      <c r="J3110" s="24" t="s">
        <v>607</v>
      </c>
      <c r="K3110" s="24" t="s">
        <v>612</v>
      </c>
    </row>
    <row r="3111" spans="1:11">
      <c r="A3111" s="12">
        <v>2022</v>
      </c>
      <c r="B3111" s="15" t="s">
        <v>364</v>
      </c>
      <c r="C3111" s="15" t="s">
        <v>371</v>
      </c>
      <c r="D3111" s="15" t="s">
        <v>372</v>
      </c>
      <c r="E3111" s="19">
        <v>70300</v>
      </c>
      <c r="F3111" s="19">
        <v>43879</v>
      </c>
      <c r="G3111" s="20">
        <f t="shared" si="48"/>
        <v>0.38430009020923289</v>
      </c>
      <c r="H3111" s="24" t="s">
        <v>583</v>
      </c>
      <c r="I3111" s="24" t="s">
        <v>606</v>
      </c>
      <c r="J3111" s="24" t="s">
        <v>607</v>
      </c>
      <c r="K3111" s="24" t="s">
        <v>612</v>
      </c>
    </row>
    <row r="3112" spans="1:11">
      <c r="A3112" s="12">
        <v>2022</v>
      </c>
      <c r="B3112" s="15" t="s">
        <v>364</v>
      </c>
      <c r="C3112" s="15" t="s">
        <v>373</v>
      </c>
      <c r="D3112" s="15" t="s">
        <v>374</v>
      </c>
      <c r="E3112" s="19">
        <v>19630</v>
      </c>
      <c r="F3112" s="19">
        <v>19491</v>
      </c>
      <c r="G3112" s="20">
        <f t="shared" si="48"/>
        <v>0.49822346054548705</v>
      </c>
      <c r="H3112" s="24" t="s">
        <v>583</v>
      </c>
      <c r="I3112" s="24" t="s">
        <v>606</v>
      </c>
      <c r="J3112" s="24" t="s">
        <v>607</v>
      </c>
      <c r="K3112" s="24" t="s">
        <v>612</v>
      </c>
    </row>
    <row r="3113" spans="1:11">
      <c r="A3113" s="12">
        <v>2022</v>
      </c>
      <c r="B3113" s="15" t="s">
        <v>364</v>
      </c>
      <c r="C3113" s="15" t="s">
        <v>375</v>
      </c>
      <c r="D3113" s="15" t="s">
        <v>376</v>
      </c>
      <c r="E3113" s="19">
        <v>43105</v>
      </c>
      <c r="F3113" s="19">
        <v>34432</v>
      </c>
      <c r="G3113" s="20">
        <f t="shared" si="48"/>
        <v>0.44407186246566155</v>
      </c>
      <c r="H3113" s="24" t="s">
        <v>583</v>
      </c>
      <c r="I3113" s="24" t="s">
        <v>606</v>
      </c>
      <c r="J3113" s="24" t="s">
        <v>607</v>
      </c>
      <c r="K3113" s="24" t="s">
        <v>612</v>
      </c>
    </row>
    <row r="3114" spans="1:11">
      <c r="A3114" s="12">
        <v>2022</v>
      </c>
      <c r="B3114" s="15" t="s">
        <v>364</v>
      </c>
      <c r="C3114" s="15" t="s">
        <v>377</v>
      </c>
      <c r="D3114" s="15" t="s">
        <v>378</v>
      </c>
      <c r="E3114" s="19">
        <v>20549</v>
      </c>
      <c r="F3114" s="19">
        <v>22162</v>
      </c>
      <c r="G3114" s="20">
        <f t="shared" si="48"/>
        <v>0.51888272342019626</v>
      </c>
      <c r="H3114" s="24" t="s">
        <v>583</v>
      </c>
      <c r="I3114" s="24" t="s">
        <v>606</v>
      </c>
      <c r="J3114" s="24" t="s">
        <v>607</v>
      </c>
      <c r="K3114" s="24" t="s">
        <v>612</v>
      </c>
    </row>
    <row r="3115" spans="1:11">
      <c r="A3115" s="12">
        <v>2022</v>
      </c>
      <c r="B3115" s="15" t="s">
        <v>364</v>
      </c>
      <c r="C3115" s="15" t="s">
        <v>379</v>
      </c>
      <c r="D3115" s="15" t="s">
        <v>380</v>
      </c>
      <c r="E3115" s="19">
        <v>65151</v>
      </c>
      <c r="F3115" s="19">
        <v>82712</v>
      </c>
      <c r="G3115" s="20">
        <f t="shared" si="48"/>
        <v>0.55938267179754231</v>
      </c>
      <c r="H3115" s="24" t="s">
        <v>583</v>
      </c>
      <c r="I3115" s="24" t="s">
        <v>606</v>
      </c>
      <c r="J3115" s="24" t="s">
        <v>607</v>
      </c>
      <c r="K3115" s="24" t="s">
        <v>612</v>
      </c>
    </row>
    <row r="3116" spans="1:11">
      <c r="A3116" s="12">
        <v>2022</v>
      </c>
      <c r="B3116" s="15" t="s">
        <v>364</v>
      </c>
      <c r="C3116" s="15" t="s">
        <v>381</v>
      </c>
      <c r="D3116" s="15" t="s">
        <v>382</v>
      </c>
      <c r="E3116" s="19">
        <v>251909</v>
      </c>
      <c r="F3116" s="19">
        <v>104806</v>
      </c>
      <c r="G3116" s="20">
        <f t="shared" si="48"/>
        <v>0.29380878292194046</v>
      </c>
      <c r="H3116" s="24" t="s">
        <v>583</v>
      </c>
      <c r="I3116" s="24" t="s">
        <v>606</v>
      </c>
      <c r="J3116" s="24" t="s">
        <v>607</v>
      </c>
      <c r="K3116" s="24" t="s">
        <v>612</v>
      </c>
    </row>
    <row r="3117" spans="1:11">
      <c r="A3117" s="12">
        <v>2022</v>
      </c>
      <c r="B3117" s="15" t="s">
        <v>364</v>
      </c>
      <c r="C3117" s="15" t="s">
        <v>383</v>
      </c>
      <c r="D3117" s="15" t="s">
        <v>384</v>
      </c>
      <c r="E3117" s="19">
        <v>19740</v>
      </c>
      <c r="F3117" s="19">
        <v>22971</v>
      </c>
      <c r="G3117" s="20">
        <f t="shared" si="48"/>
        <v>0.53782397977101914</v>
      </c>
      <c r="H3117" s="24" t="s">
        <v>583</v>
      </c>
      <c r="I3117" s="24" t="s">
        <v>606</v>
      </c>
      <c r="J3117" s="24" t="s">
        <v>607</v>
      </c>
      <c r="K3117" s="24" t="s">
        <v>612</v>
      </c>
    </row>
    <row r="3118" spans="1:11">
      <c r="A3118" s="12">
        <v>2022</v>
      </c>
      <c r="B3118" s="15" t="s">
        <v>364</v>
      </c>
      <c r="C3118" s="15" t="s">
        <v>385</v>
      </c>
      <c r="D3118" s="15" t="s">
        <v>386</v>
      </c>
      <c r="E3118" s="19">
        <v>16705</v>
      </c>
      <c r="F3118" s="19">
        <v>18392</v>
      </c>
      <c r="G3118" s="20">
        <f t="shared" si="48"/>
        <v>0.52403339316750719</v>
      </c>
      <c r="H3118" s="24" t="s">
        <v>583</v>
      </c>
      <c r="I3118" s="24" t="s">
        <v>606</v>
      </c>
      <c r="J3118" s="24" t="s">
        <v>607</v>
      </c>
      <c r="K3118" s="24" t="s">
        <v>612</v>
      </c>
    </row>
    <row r="3119" spans="1:11">
      <c r="A3119" s="12">
        <v>2022</v>
      </c>
      <c r="B3119" s="15" t="s">
        <v>364</v>
      </c>
      <c r="C3119" s="15" t="s">
        <v>387</v>
      </c>
      <c r="D3119" s="15" t="s">
        <v>388</v>
      </c>
      <c r="E3119" s="19">
        <v>289053</v>
      </c>
      <c r="F3119" s="19">
        <v>213284</v>
      </c>
      <c r="G3119" s="20">
        <f t="shared" si="48"/>
        <v>0.42458349673625473</v>
      </c>
      <c r="H3119" s="24" t="s">
        <v>583</v>
      </c>
      <c r="I3119" s="24" t="s">
        <v>606</v>
      </c>
      <c r="J3119" s="24" t="s">
        <v>607</v>
      </c>
      <c r="K3119" s="24" t="s">
        <v>612</v>
      </c>
    </row>
    <row r="3120" spans="1:11">
      <c r="A3120" s="12">
        <v>2022</v>
      </c>
      <c r="B3120" s="15" t="s">
        <v>364</v>
      </c>
      <c r="C3120" s="15" t="s">
        <v>389</v>
      </c>
      <c r="D3120" s="15" t="s">
        <v>390</v>
      </c>
      <c r="E3120" s="19">
        <v>303542</v>
      </c>
      <c r="F3120" s="19">
        <v>196758</v>
      </c>
      <c r="G3120" s="20">
        <f t="shared" si="48"/>
        <v>0.39328003198081152</v>
      </c>
      <c r="H3120" s="24" t="s">
        <v>583</v>
      </c>
      <c r="I3120" s="24" t="s">
        <v>606</v>
      </c>
      <c r="J3120" s="24" t="s">
        <v>607</v>
      </c>
      <c r="K3120" s="24" t="s">
        <v>612</v>
      </c>
    </row>
    <row r="3121" spans="1:11">
      <c r="A3121" s="12">
        <v>2022</v>
      </c>
      <c r="B3121" s="15" t="s">
        <v>364</v>
      </c>
      <c r="C3121" s="15" t="s">
        <v>391</v>
      </c>
      <c r="D3121" s="15" t="s">
        <v>392</v>
      </c>
      <c r="E3121" s="19">
        <v>94459</v>
      </c>
      <c r="F3121" s="19">
        <v>60878</v>
      </c>
      <c r="G3121" s="20">
        <f t="shared" si="48"/>
        <v>0.39190920385999473</v>
      </c>
      <c r="H3121" s="24" t="s">
        <v>583</v>
      </c>
      <c r="I3121" s="24" t="s">
        <v>606</v>
      </c>
      <c r="J3121" s="24" t="s">
        <v>607</v>
      </c>
      <c r="K3121" s="24" t="s">
        <v>612</v>
      </c>
    </row>
    <row r="3122" spans="1:11">
      <c r="A3122" s="12">
        <v>2022</v>
      </c>
      <c r="B3122" s="15" t="s">
        <v>364</v>
      </c>
      <c r="C3122" s="15" t="s">
        <v>393</v>
      </c>
      <c r="D3122" s="15" t="s">
        <v>394</v>
      </c>
      <c r="E3122" s="19">
        <v>18238</v>
      </c>
      <c r="F3122" s="19">
        <v>20815</v>
      </c>
      <c r="G3122" s="20">
        <f t="shared" si="48"/>
        <v>0.53299362404936879</v>
      </c>
      <c r="H3122" s="24" t="s">
        <v>583</v>
      </c>
      <c r="I3122" s="24" t="s">
        <v>606</v>
      </c>
      <c r="J3122" s="24" t="s">
        <v>607</v>
      </c>
      <c r="K3122" s="24" t="s">
        <v>612</v>
      </c>
    </row>
    <row r="3123" spans="1:11">
      <c r="A3123" s="12">
        <v>2022</v>
      </c>
      <c r="B3123" s="15" t="s">
        <v>395</v>
      </c>
      <c r="C3123" s="15" t="s">
        <v>22</v>
      </c>
      <c r="D3123" s="15" t="s">
        <v>395</v>
      </c>
      <c r="E3123" s="19">
        <v>1666183</v>
      </c>
      <c r="F3123" s="19">
        <v>750674</v>
      </c>
      <c r="G3123" s="20">
        <f t="shared" si="48"/>
        <v>0.3105992617684869</v>
      </c>
      <c r="H3123" s="24" t="s">
        <v>583</v>
      </c>
      <c r="I3123" s="24" t="s">
        <v>606</v>
      </c>
      <c r="J3123" s="24" t="s">
        <v>607</v>
      </c>
      <c r="K3123" s="24" t="s">
        <v>612</v>
      </c>
    </row>
    <row r="3124" spans="1:11">
      <c r="A3124" s="12">
        <v>2022</v>
      </c>
      <c r="B3124" s="15" t="s">
        <v>395</v>
      </c>
      <c r="C3124" s="15" t="s">
        <v>396</v>
      </c>
      <c r="D3124" s="15" t="s">
        <v>397</v>
      </c>
      <c r="E3124" s="19">
        <v>28409</v>
      </c>
      <c r="F3124" s="19">
        <v>24501</v>
      </c>
      <c r="G3124" s="20">
        <f t="shared" si="48"/>
        <v>0.46306936306936308</v>
      </c>
      <c r="H3124" s="24" t="s">
        <v>583</v>
      </c>
      <c r="I3124" s="24" t="s">
        <v>606</v>
      </c>
      <c r="J3124" s="24" t="s">
        <v>607</v>
      </c>
      <c r="K3124" s="24" t="s">
        <v>612</v>
      </c>
    </row>
    <row r="3125" spans="1:11">
      <c r="A3125" s="12">
        <v>2022</v>
      </c>
      <c r="B3125" s="15" t="s">
        <v>395</v>
      </c>
      <c r="C3125" s="15" t="s">
        <v>398</v>
      </c>
      <c r="D3125" s="15" t="s">
        <v>399</v>
      </c>
      <c r="E3125" s="19">
        <v>53269</v>
      </c>
      <c r="F3125" s="19">
        <v>44030</v>
      </c>
      <c r="G3125" s="20">
        <f t="shared" si="48"/>
        <v>0.45252263640941837</v>
      </c>
      <c r="H3125" s="24" t="s">
        <v>583</v>
      </c>
      <c r="I3125" s="24" t="s">
        <v>606</v>
      </c>
      <c r="J3125" s="24" t="s">
        <v>607</v>
      </c>
      <c r="K3125" s="24" t="s">
        <v>612</v>
      </c>
    </row>
    <row r="3126" spans="1:11">
      <c r="A3126" s="12">
        <v>2022</v>
      </c>
      <c r="B3126" s="15" t="s">
        <v>395</v>
      </c>
      <c r="C3126" s="15" t="s">
        <v>400</v>
      </c>
      <c r="D3126" s="15" t="s">
        <v>401</v>
      </c>
      <c r="E3126" s="19">
        <v>21431</v>
      </c>
      <c r="F3126" s="19">
        <v>22802</v>
      </c>
      <c r="G3126" s="20">
        <f t="shared" si="48"/>
        <v>0.51549747925756784</v>
      </c>
      <c r="H3126" s="24" t="s">
        <v>583</v>
      </c>
      <c r="I3126" s="24" t="s">
        <v>606</v>
      </c>
      <c r="J3126" s="24" t="s">
        <v>607</v>
      </c>
      <c r="K3126" s="24" t="s">
        <v>612</v>
      </c>
    </row>
    <row r="3127" spans="1:11">
      <c r="A3127" s="12">
        <v>2022</v>
      </c>
      <c r="B3127" s="15" t="s">
        <v>395</v>
      </c>
      <c r="C3127" s="15" t="s">
        <v>402</v>
      </c>
      <c r="D3127" s="15" t="s">
        <v>403</v>
      </c>
      <c r="E3127" s="19">
        <v>133297</v>
      </c>
      <c r="F3127" s="19">
        <v>99116</v>
      </c>
      <c r="G3127" s="20">
        <f t="shared" si="48"/>
        <v>0.42646495677952612</v>
      </c>
      <c r="H3127" s="24" t="s">
        <v>583</v>
      </c>
      <c r="I3127" s="24" t="s">
        <v>606</v>
      </c>
      <c r="J3127" s="24" t="s">
        <v>607</v>
      </c>
      <c r="K3127" s="24" t="s">
        <v>612</v>
      </c>
    </row>
    <row r="3128" spans="1:11">
      <c r="A3128" s="12">
        <v>2022</v>
      </c>
      <c r="B3128" s="15" t="s">
        <v>395</v>
      </c>
      <c r="C3128" s="15" t="s">
        <v>404</v>
      </c>
      <c r="D3128" s="15" t="s">
        <v>405</v>
      </c>
      <c r="E3128" s="19">
        <v>20458</v>
      </c>
      <c r="F3128" s="19">
        <v>19631</v>
      </c>
      <c r="G3128" s="20">
        <f t="shared" si="48"/>
        <v>0.48968544987403029</v>
      </c>
      <c r="H3128" s="24" t="s">
        <v>583</v>
      </c>
      <c r="I3128" s="24" t="s">
        <v>606</v>
      </c>
      <c r="J3128" s="24" t="s">
        <v>607</v>
      </c>
      <c r="K3128" s="24" t="s">
        <v>612</v>
      </c>
    </row>
    <row r="3129" spans="1:11">
      <c r="A3129" s="12">
        <v>2022</v>
      </c>
      <c r="B3129" s="15" t="s">
        <v>395</v>
      </c>
      <c r="C3129" s="15" t="s">
        <v>406</v>
      </c>
      <c r="D3129" s="15" t="s">
        <v>407</v>
      </c>
      <c r="E3129" s="19">
        <v>99718</v>
      </c>
      <c r="F3129" s="19">
        <v>79965</v>
      </c>
      <c r="G3129" s="20">
        <f t="shared" si="48"/>
        <v>0.44503375388879302</v>
      </c>
      <c r="H3129" s="24" t="s">
        <v>583</v>
      </c>
      <c r="I3129" s="24" t="s">
        <v>606</v>
      </c>
      <c r="J3129" s="24" t="s">
        <v>607</v>
      </c>
      <c r="K3129" s="24" t="s">
        <v>612</v>
      </c>
    </row>
    <row r="3130" spans="1:11">
      <c r="A3130" s="12">
        <v>2022</v>
      </c>
      <c r="B3130" s="15" t="s">
        <v>395</v>
      </c>
      <c r="C3130" s="15" t="s">
        <v>408</v>
      </c>
      <c r="D3130" s="15" t="s">
        <v>409</v>
      </c>
      <c r="E3130" s="19">
        <v>33864</v>
      </c>
      <c r="F3130" s="19">
        <v>37740</v>
      </c>
      <c r="G3130" s="20">
        <f t="shared" si="48"/>
        <v>0.52706552706552712</v>
      </c>
      <c r="H3130" s="24" t="s">
        <v>583</v>
      </c>
      <c r="I3130" s="24" t="s">
        <v>606</v>
      </c>
      <c r="J3130" s="24" t="s">
        <v>607</v>
      </c>
      <c r="K3130" s="24" t="s">
        <v>612</v>
      </c>
    </row>
    <row r="3131" spans="1:11">
      <c r="A3131" s="12">
        <v>2022</v>
      </c>
      <c r="B3131" s="15" t="s">
        <v>395</v>
      </c>
      <c r="C3131" s="15" t="s">
        <v>410</v>
      </c>
      <c r="D3131" s="15" t="s">
        <v>411</v>
      </c>
      <c r="E3131" s="19">
        <v>199778</v>
      </c>
      <c r="F3131" s="19">
        <v>100030</v>
      </c>
      <c r="G3131" s="20">
        <f t="shared" si="48"/>
        <v>0.33364686732842352</v>
      </c>
      <c r="H3131" s="24" t="s">
        <v>583</v>
      </c>
      <c r="I3131" s="24" t="s">
        <v>606</v>
      </c>
      <c r="J3131" s="24" t="s">
        <v>607</v>
      </c>
      <c r="K3131" s="24" t="s">
        <v>612</v>
      </c>
    </row>
    <row r="3132" spans="1:11">
      <c r="A3132" s="12">
        <v>2022</v>
      </c>
      <c r="B3132" s="15" t="s">
        <v>395</v>
      </c>
      <c r="C3132" s="15" t="s">
        <v>412</v>
      </c>
      <c r="D3132" s="15" t="s">
        <v>413</v>
      </c>
      <c r="E3132" s="19">
        <v>75250</v>
      </c>
      <c r="F3132" s="19">
        <v>73888</v>
      </c>
      <c r="G3132" s="20">
        <f t="shared" si="48"/>
        <v>0.49543375933698991</v>
      </c>
      <c r="H3132" s="24" t="s">
        <v>583</v>
      </c>
      <c r="I3132" s="24" t="s">
        <v>606</v>
      </c>
      <c r="J3132" s="24" t="s">
        <v>607</v>
      </c>
      <c r="K3132" s="24" t="s">
        <v>612</v>
      </c>
    </row>
    <row r="3133" spans="1:11">
      <c r="A3133" s="12">
        <v>2022</v>
      </c>
      <c r="B3133" s="15" t="s">
        <v>395</v>
      </c>
      <c r="C3133" s="15" t="s">
        <v>414</v>
      </c>
      <c r="D3133" s="15" t="s">
        <v>415</v>
      </c>
      <c r="E3133" s="19">
        <v>31123</v>
      </c>
      <c r="F3133" s="19">
        <v>29951</v>
      </c>
      <c r="G3133" s="20">
        <f t="shared" si="48"/>
        <v>0.49040508235910535</v>
      </c>
      <c r="H3133" s="24" t="s">
        <v>583</v>
      </c>
      <c r="I3133" s="24" t="s">
        <v>606</v>
      </c>
      <c r="J3133" s="24" t="s">
        <v>607</v>
      </c>
      <c r="K3133" s="24" t="s">
        <v>612</v>
      </c>
    </row>
    <row r="3134" spans="1:11">
      <c r="A3134" s="12">
        <v>2022</v>
      </c>
      <c r="B3134" s="15" t="s">
        <v>395</v>
      </c>
      <c r="C3134" s="15" t="s">
        <v>416</v>
      </c>
      <c r="D3134" s="15" t="s">
        <v>417</v>
      </c>
      <c r="E3134" s="19">
        <v>258512</v>
      </c>
      <c r="F3134" s="19">
        <v>108495</v>
      </c>
      <c r="G3134" s="20">
        <f t="shared" si="48"/>
        <v>0.295621064448362</v>
      </c>
      <c r="H3134" s="24" t="s">
        <v>583</v>
      </c>
      <c r="I3134" s="24" t="s">
        <v>606</v>
      </c>
      <c r="J3134" s="24" t="s">
        <v>607</v>
      </c>
      <c r="K3134" s="24" t="s">
        <v>612</v>
      </c>
    </row>
    <row r="3135" spans="1:11">
      <c r="A3135" s="12">
        <v>2022</v>
      </c>
      <c r="B3135" s="15" t="s">
        <v>395</v>
      </c>
      <c r="C3135" s="15" t="s">
        <v>418</v>
      </c>
      <c r="D3135" s="15" t="s">
        <v>419</v>
      </c>
      <c r="E3135" s="19">
        <v>24693</v>
      </c>
      <c r="F3135" s="19">
        <v>34685</v>
      </c>
      <c r="G3135" s="20">
        <f t="shared" si="48"/>
        <v>0.58413890666576851</v>
      </c>
      <c r="H3135" s="24" t="s">
        <v>583</v>
      </c>
      <c r="I3135" s="24" t="s">
        <v>606</v>
      </c>
      <c r="J3135" s="24" t="s">
        <v>607</v>
      </c>
      <c r="K3135" s="24" t="s">
        <v>612</v>
      </c>
    </row>
    <row r="3136" spans="1:11">
      <c r="A3136" s="12">
        <v>2022</v>
      </c>
      <c r="B3136" s="15" t="s">
        <v>395</v>
      </c>
      <c r="C3136" s="15" t="s">
        <v>420</v>
      </c>
      <c r="D3136" s="15" t="s">
        <v>421</v>
      </c>
      <c r="E3136" s="19">
        <v>255570</v>
      </c>
      <c r="F3136" s="19">
        <v>112172</v>
      </c>
      <c r="G3136" s="20">
        <f t="shared" si="48"/>
        <v>0.30502906929314572</v>
      </c>
      <c r="H3136" s="24" t="s">
        <v>583</v>
      </c>
      <c r="I3136" s="24" t="s">
        <v>606</v>
      </c>
      <c r="J3136" s="24" t="s">
        <v>607</v>
      </c>
      <c r="K3136" s="24" t="s">
        <v>612</v>
      </c>
    </row>
    <row r="3137" spans="1:11">
      <c r="A3137" s="12">
        <v>2022</v>
      </c>
      <c r="B3137" s="15" t="s">
        <v>395</v>
      </c>
      <c r="C3137" s="15" t="s">
        <v>422</v>
      </c>
      <c r="D3137" s="15" t="s">
        <v>423</v>
      </c>
      <c r="E3137" s="19">
        <v>43906</v>
      </c>
      <c r="F3137" s="19">
        <v>33934</v>
      </c>
      <c r="G3137" s="20">
        <f t="shared" si="48"/>
        <v>0.43594552929085301</v>
      </c>
      <c r="H3137" s="24" t="s">
        <v>583</v>
      </c>
      <c r="I3137" s="24" t="s">
        <v>606</v>
      </c>
      <c r="J3137" s="24" t="s">
        <v>607</v>
      </c>
      <c r="K3137" s="24" t="s">
        <v>612</v>
      </c>
    </row>
    <row r="3138" spans="1:11">
      <c r="A3138" s="12">
        <v>2022</v>
      </c>
      <c r="B3138" s="15" t="s">
        <v>395</v>
      </c>
      <c r="C3138" s="15" t="s">
        <v>424</v>
      </c>
      <c r="D3138" s="15" t="s">
        <v>425</v>
      </c>
      <c r="E3138" s="19">
        <v>42451</v>
      </c>
      <c r="F3138" s="19">
        <v>47973</v>
      </c>
      <c r="G3138" s="20">
        <f t="shared" si="48"/>
        <v>0.53053392904538621</v>
      </c>
      <c r="H3138" s="24" t="s">
        <v>583</v>
      </c>
      <c r="I3138" s="24" t="s">
        <v>606</v>
      </c>
      <c r="J3138" s="24" t="s">
        <v>607</v>
      </c>
      <c r="K3138" s="24" t="s">
        <v>612</v>
      </c>
    </row>
    <row r="3139" spans="1:11">
      <c r="A3139" s="12">
        <v>2022</v>
      </c>
      <c r="B3139" s="15" t="s">
        <v>395</v>
      </c>
      <c r="C3139" s="15" t="s">
        <v>426</v>
      </c>
      <c r="D3139" s="15" t="s">
        <v>427</v>
      </c>
      <c r="E3139" s="19">
        <v>41267</v>
      </c>
      <c r="F3139" s="19">
        <v>39418</v>
      </c>
      <c r="G3139" s="20">
        <f t="shared" si="48"/>
        <v>0.48854186032100144</v>
      </c>
      <c r="H3139" s="24" t="s">
        <v>583</v>
      </c>
      <c r="I3139" s="24" t="s">
        <v>606</v>
      </c>
      <c r="J3139" s="24" t="s">
        <v>607</v>
      </c>
      <c r="K3139" s="24" t="s">
        <v>612</v>
      </c>
    </row>
    <row r="3140" spans="1:11">
      <c r="A3140" s="12">
        <v>2022</v>
      </c>
      <c r="B3140" s="15" t="s">
        <v>395</v>
      </c>
      <c r="C3140" s="15" t="s">
        <v>428</v>
      </c>
      <c r="D3140" s="15" t="s">
        <v>429</v>
      </c>
      <c r="E3140" s="19">
        <v>30200</v>
      </c>
      <c r="F3140" s="19">
        <v>36569</v>
      </c>
      <c r="G3140" s="20">
        <f t="shared" si="48"/>
        <v>0.54769428926597674</v>
      </c>
      <c r="H3140" s="24" t="s">
        <v>583</v>
      </c>
      <c r="I3140" s="24" t="s">
        <v>606</v>
      </c>
      <c r="J3140" s="24" t="s">
        <v>607</v>
      </c>
      <c r="K3140" s="24" t="s">
        <v>612</v>
      </c>
    </row>
    <row r="3141" spans="1:11">
      <c r="A3141" s="12">
        <v>2022</v>
      </c>
      <c r="B3141" s="15" t="s">
        <v>395</v>
      </c>
      <c r="C3141" s="15" t="s">
        <v>430</v>
      </c>
      <c r="D3141" s="15" t="s">
        <v>431</v>
      </c>
      <c r="E3141" s="19">
        <v>30649</v>
      </c>
      <c r="F3141" s="19">
        <v>25890</v>
      </c>
      <c r="G3141" s="20">
        <f t="shared" si="48"/>
        <v>0.45791400626116485</v>
      </c>
      <c r="H3141" s="24" t="s">
        <v>583</v>
      </c>
      <c r="I3141" s="24" t="s">
        <v>606</v>
      </c>
      <c r="J3141" s="24" t="s">
        <v>607</v>
      </c>
      <c r="K3141" s="24" t="s">
        <v>612</v>
      </c>
    </row>
    <row r="3142" spans="1:11">
      <c r="A3142" s="12">
        <v>2022</v>
      </c>
      <c r="B3142" s="15" t="s">
        <v>395</v>
      </c>
      <c r="C3142" s="15" t="s">
        <v>432</v>
      </c>
      <c r="D3142" s="15" t="s">
        <v>433</v>
      </c>
      <c r="E3142" s="19">
        <v>24340</v>
      </c>
      <c r="F3142" s="19">
        <v>24768</v>
      </c>
      <c r="G3142" s="20">
        <f t="shared" ref="G3142:G3205" si="49">IFERROR(F3142/(E3142+F3142),"")</f>
        <v>0.50435774211941031</v>
      </c>
      <c r="H3142" s="24" t="s">
        <v>583</v>
      </c>
      <c r="I3142" s="24" t="s">
        <v>606</v>
      </c>
      <c r="J3142" s="24" t="s">
        <v>607</v>
      </c>
      <c r="K3142" s="24" t="s">
        <v>612</v>
      </c>
    </row>
    <row r="3143" spans="1:11">
      <c r="A3143" s="12">
        <v>2022</v>
      </c>
      <c r="B3143" s="15" t="s">
        <v>395</v>
      </c>
      <c r="C3143" s="15" t="s">
        <v>434</v>
      </c>
      <c r="D3143" s="15" t="s">
        <v>435</v>
      </c>
      <c r="E3143" s="19">
        <v>23166</v>
      </c>
      <c r="F3143" s="19">
        <v>26876</v>
      </c>
      <c r="G3143" s="20">
        <f t="shared" si="49"/>
        <v>0.53706886215578908</v>
      </c>
      <c r="H3143" s="24" t="s">
        <v>583</v>
      </c>
      <c r="I3143" s="24" t="s">
        <v>606</v>
      </c>
      <c r="J3143" s="24" t="s">
        <v>607</v>
      </c>
      <c r="K3143" s="24" t="s">
        <v>612</v>
      </c>
    </row>
    <row r="3144" spans="1:11">
      <c r="A3144" s="12">
        <v>2022</v>
      </c>
      <c r="B3144" s="15" t="s">
        <v>395</v>
      </c>
      <c r="C3144" s="15" t="s">
        <v>436</v>
      </c>
      <c r="D3144" s="15" t="s">
        <v>437</v>
      </c>
      <c r="E3144" s="19">
        <v>57168</v>
      </c>
      <c r="F3144" s="19">
        <v>42027</v>
      </c>
      <c r="G3144" s="20">
        <f t="shared" si="49"/>
        <v>0.42368062906396492</v>
      </c>
      <c r="H3144" s="24" t="s">
        <v>583</v>
      </c>
      <c r="I3144" s="24" t="s">
        <v>606</v>
      </c>
      <c r="J3144" s="24" t="s">
        <v>607</v>
      </c>
      <c r="K3144" s="24" t="s">
        <v>612</v>
      </c>
    </row>
    <row r="3145" spans="1:11">
      <c r="A3145" s="12">
        <v>2022</v>
      </c>
      <c r="B3145" s="15" t="s">
        <v>395</v>
      </c>
      <c r="C3145" s="15" t="s">
        <v>438</v>
      </c>
      <c r="D3145" s="15" t="s">
        <v>439</v>
      </c>
      <c r="E3145" s="19">
        <v>51603</v>
      </c>
      <c r="F3145" s="19">
        <v>43687</v>
      </c>
      <c r="G3145" s="20">
        <f t="shared" si="49"/>
        <v>0.45846363731766188</v>
      </c>
      <c r="H3145" s="24" t="s">
        <v>583</v>
      </c>
      <c r="I3145" s="24" t="s">
        <v>606</v>
      </c>
      <c r="J3145" s="24" t="s">
        <v>607</v>
      </c>
      <c r="K3145" s="24" t="s">
        <v>612</v>
      </c>
    </row>
    <row r="3146" spans="1:11">
      <c r="A3146" s="12">
        <v>2022</v>
      </c>
      <c r="B3146" s="15" t="s">
        <v>440</v>
      </c>
      <c r="C3146" s="15" t="s">
        <v>22</v>
      </c>
      <c r="D3146" s="15" t="s">
        <v>440</v>
      </c>
      <c r="E3146" s="19">
        <v>2387665</v>
      </c>
      <c r="F3146" s="19">
        <v>1079762</v>
      </c>
      <c r="G3146" s="20">
        <f t="shared" si="49"/>
        <v>0.31140150895750651</v>
      </c>
      <c r="H3146" s="24" t="s">
        <v>603</v>
      </c>
      <c r="I3146" s="24" t="s">
        <v>604</v>
      </c>
      <c r="J3146" s="24" t="s">
        <v>605</v>
      </c>
      <c r="K3146" s="24" t="s">
        <v>612</v>
      </c>
    </row>
    <row r="3147" spans="1:11">
      <c r="A3147" s="12">
        <v>2022</v>
      </c>
      <c r="B3147" s="15" t="s">
        <v>440</v>
      </c>
      <c r="C3147" s="15" t="s">
        <v>441</v>
      </c>
      <c r="D3147" s="15" t="s">
        <v>442</v>
      </c>
      <c r="E3147" s="19">
        <v>239624</v>
      </c>
      <c r="F3147" s="19">
        <v>183130</v>
      </c>
      <c r="G3147" s="20">
        <f t="shared" si="49"/>
        <v>0.43318336432062143</v>
      </c>
      <c r="H3147" s="24" t="s">
        <v>603</v>
      </c>
      <c r="I3147" s="24" t="s">
        <v>610</v>
      </c>
      <c r="J3147" s="24" t="s">
        <v>611</v>
      </c>
      <c r="K3147" s="24" t="s">
        <v>612</v>
      </c>
    </row>
    <row r="3148" spans="1:11">
      <c r="A3148" s="12">
        <v>2022</v>
      </c>
      <c r="B3148" s="15" t="s">
        <v>440</v>
      </c>
      <c r="C3148" s="15" t="s">
        <v>443</v>
      </c>
      <c r="D3148" s="15" t="s">
        <v>444</v>
      </c>
      <c r="E3148" s="19">
        <v>223751</v>
      </c>
      <c r="F3148" s="19">
        <v>130228</v>
      </c>
      <c r="G3148" s="20">
        <f t="shared" si="49"/>
        <v>0.36789753064447328</v>
      </c>
      <c r="H3148" s="24" t="s">
        <v>603</v>
      </c>
      <c r="I3148" s="24" t="s">
        <v>604</v>
      </c>
      <c r="J3148" s="24" t="s">
        <v>605</v>
      </c>
      <c r="K3148" s="24" t="s">
        <v>612</v>
      </c>
    </row>
    <row r="3149" spans="1:11">
      <c r="A3149" s="12">
        <v>2022</v>
      </c>
      <c r="B3149" s="15" t="s">
        <v>440</v>
      </c>
      <c r="C3149" s="15" t="s">
        <v>445</v>
      </c>
      <c r="D3149" s="15" t="s">
        <v>446</v>
      </c>
      <c r="E3149" s="19">
        <v>21980</v>
      </c>
      <c r="F3149" s="19">
        <v>26763</v>
      </c>
      <c r="G3149" s="20">
        <f t="shared" si="49"/>
        <v>0.54906345526537148</v>
      </c>
      <c r="H3149" s="24" t="s">
        <v>603</v>
      </c>
      <c r="I3149" s="24" t="s">
        <v>610</v>
      </c>
      <c r="J3149" s="24" t="s">
        <v>611</v>
      </c>
      <c r="K3149" s="24" t="s">
        <v>612</v>
      </c>
    </row>
    <row r="3150" spans="1:11">
      <c r="A3150" s="12">
        <v>2022</v>
      </c>
      <c r="B3150" s="15" t="s">
        <v>440</v>
      </c>
      <c r="C3150" s="15" t="s">
        <v>447</v>
      </c>
      <c r="D3150" s="15" t="s">
        <v>448</v>
      </c>
      <c r="E3150" s="19">
        <v>377674</v>
      </c>
      <c r="F3150" s="19">
        <v>162217</v>
      </c>
      <c r="G3150" s="20">
        <f t="shared" si="49"/>
        <v>0.30046250076404313</v>
      </c>
      <c r="H3150" s="24" t="s">
        <v>603</v>
      </c>
      <c r="I3150" s="24" t="s">
        <v>610</v>
      </c>
      <c r="J3150" s="24" t="s">
        <v>611</v>
      </c>
      <c r="K3150" s="24" t="s">
        <v>612</v>
      </c>
    </row>
    <row r="3151" spans="1:11">
      <c r="A3151" s="12">
        <v>2022</v>
      </c>
      <c r="B3151" s="15" t="s">
        <v>440</v>
      </c>
      <c r="C3151" s="15" t="s">
        <v>105</v>
      </c>
      <c r="D3151" s="15" t="s">
        <v>449</v>
      </c>
      <c r="E3151" s="19">
        <v>15920</v>
      </c>
      <c r="F3151" s="19">
        <v>20639</v>
      </c>
      <c r="G3151" s="20">
        <f t="shared" si="49"/>
        <v>0.56453951147460268</v>
      </c>
      <c r="H3151" s="24" t="s">
        <v>603</v>
      </c>
      <c r="I3151" s="24" t="s">
        <v>610</v>
      </c>
      <c r="J3151" s="24" t="s">
        <v>611</v>
      </c>
      <c r="K3151" s="24" t="s">
        <v>612</v>
      </c>
    </row>
    <row r="3152" spans="1:11">
      <c r="A3152" s="12">
        <v>2022</v>
      </c>
      <c r="B3152" s="15" t="s">
        <v>440</v>
      </c>
      <c r="C3152" s="15" t="s">
        <v>450</v>
      </c>
      <c r="D3152" s="15" t="s">
        <v>451</v>
      </c>
      <c r="E3152" s="19">
        <v>122429</v>
      </c>
      <c r="F3152" s="19">
        <v>80212</v>
      </c>
      <c r="G3152" s="20">
        <f t="shared" si="49"/>
        <v>0.39583302490611477</v>
      </c>
      <c r="H3152" s="24" t="s">
        <v>603</v>
      </c>
      <c r="I3152" s="24" t="s">
        <v>604</v>
      </c>
      <c r="J3152" s="24" t="s">
        <v>605</v>
      </c>
      <c r="K3152" s="24" t="s">
        <v>612</v>
      </c>
    </row>
    <row r="3153" spans="1:11">
      <c r="A3153" s="12">
        <v>2022</v>
      </c>
      <c r="B3153" s="15" t="s">
        <v>440</v>
      </c>
      <c r="C3153" s="15" t="s">
        <v>452</v>
      </c>
      <c r="D3153" s="15" t="s">
        <v>453</v>
      </c>
      <c r="E3153" s="19">
        <v>62075</v>
      </c>
      <c r="F3153" s="19">
        <v>42429</v>
      </c>
      <c r="G3153" s="20">
        <f t="shared" si="49"/>
        <v>0.4060035979484039</v>
      </c>
      <c r="H3153" s="24" t="s">
        <v>603</v>
      </c>
      <c r="I3153" s="24" t="s">
        <v>610</v>
      </c>
      <c r="J3153" s="24" t="s">
        <v>611</v>
      </c>
      <c r="K3153" s="24" t="s">
        <v>612</v>
      </c>
    </row>
    <row r="3154" spans="1:11">
      <c r="A3154" s="12">
        <v>2022</v>
      </c>
      <c r="B3154" s="15" t="s">
        <v>440</v>
      </c>
      <c r="C3154" s="15" t="s">
        <v>454</v>
      </c>
      <c r="D3154" s="15" t="s">
        <v>455</v>
      </c>
      <c r="E3154" s="19">
        <v>21597</v>
      </c>
      <c r="F3154" s="19">
        <v>25511</v>
      </c>
      <c r="G3154" s="20">
        <f t="shared" si="49"/>
        <v>0.54154283773456735</v>
      </c>
      <c r="H3154" s="24" t="s">
        <v>603</v>
      </c>
      <c r="I3154" s="24" t="s">
        <v>610</v>
      </c>
      <c r="J3154" s="24" t="s">
        <v>611</v>
      </c>
      <c r="K3154" s="24" t="s">
        <v>612</v>
      </c>
    </row>
    <row r="3155" spans="1:11">
      <c r="A3155" s="12">
        <v>2022</v>
      </c>
      <c r="B3155" s="15" t="s">
        <v>440</v>
      </c>
      <c r="C3155" s="15" t="s">
        <v>456</v>
      </c>
      <c r="D3155" s="15" t="s">
        <v>457</v>
      </c>
      <c r="E3155" s="19">
        <v>81679</v>
      </c>
      <c r="F3155" s="19">
        <v>57247</v>
      </c>
      <c r="G3155" s="20">
        <f t="shared" si="49"/>
        <v>0.41206829535148209</v>
      </c>
      <c r="H3155" s="24" t="s">
        <v>603</v>
      </c>
      <c r="I3155" s="24" t="s">
        <v>610</v>
      </c>
      <c r="J3155" s="24" t="s">
        <v>611</v>
      </c>
      <c r="K3155" s="24" t="s">
        <v>612</v>
      </c>
    </row>
    <row r="3156" spans="1:11">
      <c r="A3156" s="12">
        <v>2022</v>
      </c>
      <c r="B3156" s="15" t="s">
        <v>440</v>
      </c>
      <c r="C3156" s="15" t="s">
        <v>458</v>
      </c>
      <c r="D3156" s="15" t="s">
        <v>459</v>
      </c>
      <c r="E3156" s="19">
        <v>30709</v>
      </c>
      <c r="F3156" s="19">
        <v>36932</v>
      </c>
      <c r="G3156" s="20">
        <f t="shared" si="49"/>
        <v>0.54600020697505947</v>
      </c>
      <c r="H3156" s="24" t="s">
        <v>603</v>
      </c>
      <c r="I3156" s="24" t="s">
        <v>610</v>
      </c>
      <c r="J3156" s="24" t="s">
        <v>611</v>
      </c>
      <c r="K3156" s="24" t="s">
        <v>612</v>
      </c>
    </row>
    <row r="3157" spans="1:11">
      <c r="A3157" s="12">
        <v>2022</v>
      </c>
      <c r="B3157" s="15" t="s">
        <v>440</v>
      </c>
      <c r="C3157" s="15" t="s">
        <v>460</v>
      </c>
      <c r="D3157" s="15" t="s">
        <v>461</v>
      </c>
      <c r="E3157" s="19">
        <v>141076</v>
      </c>
      <c r="F3157" s="19">
        <v>59930</v>
      </c>
      <c r="G3157" s="20">
        <f t="shared" si="49"/>
        <v>0.29815030397102577</v>
      </c>
      <c r="H3157" s="24" t="s">
        <v>603</v>
      </c>
      <c r="I3157" s="24" t="s">
        <v>604</v>
      </c>
      <c r="J3157" s="24" t="s">
        <v>605</v>
      </c>
      <c r="K3157" s="24" t="s">
        <v>612</v>
      </c>
    </row>
    <row r="3158" spans="1:11">
      <c r="A3158" s="12">
        <v>2022</v>
      </c>
      <c r="B3158" s="15" t="s">
        <v>440</v>
      </c>
      <c r="C3158" s="15" t="s">
        <v>462</v>
      </c>
      <c r="D3158" s="15" t="s">
        <v>463</v>
      </c>
      <c r="E3158" s="19">
        <v>29794</v>
      </c>
      <c r="F3158" s="19">
        <v>25078</v>
      </c>
      <c r="G3158" s="20">
        <f t="shared" si="49"/>
        <v>0.45702726344948241</v>
      </c>
      <c r="H3158" s="24" t="s">
        <v>603</v>
      </c>
      <c r="I3158" s="24" t="s">
        <v>610</v>
      </c>
      <c r="J3158" s="24" t="s">
        <v>611</v>
      </c>
      <c r="K3158" s="24" t="s">
        <v>612</v>
      </c>
    </row>
    <row r="3159" spans="1:11">
      <c r="A3159" s="12">
        <v>2022</v>
      </c>
      <c r="B3159" s="15" t="s">
        <v>440</v>
      </c>
      <c r="C3159" s="15" t="s">
        <v>464</v>
      </c>
      <c r="D3159" s="15" t="s">
        <v>465</v>
      </c>
      <c r="E3159" s="19">
        <v>11432</v>
      </c>
      <c r="F3159" s="19">
        <v>13700</v>
      </c>
      <c r="G3159" s="20">
        <f t="shared" si="49"/>
        <v>0.54512175712239375</v>
      </c>
      <c r="H3159" s="24" t="s">
        <v>603</v>
      </c>
      <c r="I3159" s="24" t="s">
        <v>610</v>
      </c>
      <c r="J3159" s="24" t="s">
        <v>611</v>
      </c>
      <c r="K3159" s="24" t="s">
        <v>612</v>
      </c>
    </row>
    <row r="3160" spans="1:11">
      <c r="A3160" s="12">
        <v>2022</v>
      </c>
      <c r="B3160" s="15" t="s">
        <v>440</v>
      </c>
      <c r="C3160" s="15" t="s">
        <v>466</v>
      </c>
      <c r="D3160" s="15" t="s">
        <v>467</v>
      </c>
      <c r="E3160" s="19">
        <v>91998</v>
      </c>
      <c r="F3160" s="19">
        <v>54455</v>
      </c>
      <c r="G3160" s="20">
        <f t="shared" si="49"/>
        <v>0.37182577345633072</v>
      </c>
      <c r="H3160" s="24" t="s">
        <v>603</v>
      </c>
      <c r="I3160" s="24" t="s">
        <v>610</v>
      </c>
      <c r="J3160" s="24" t="s">
        <v>611</v>
      </c>
      <c r="K3160" s="24" t="s">
        <v>612</v>
      </c>
    </row>
    <row r="3161" spans="1:11">
      <c r="A3161" s="12">
        <v>2022</v>
      </c>
      <c r="B3161" s="15" t="s">
        <v>440</v>
      </c>
      <c r="C3161" s="15" t="s">
        <v>468</v>
      </c>
      <c r="D3161" s="15" t="s">
        <v>469</v>
      </c>
      <c r="E3161" s="19">
        <v>85373</v>
      </c>
      <c r="F3161" s="19">
        <v>68060</v>
      </c>
      <c r="G3161" s="20">
        <f t="shared" si="49"/>
        <v>0.44358123741307282</v>
      </c>
      <c r="H3161" s="24" t="s">
        <v>603</v>
      </c>
      <c r="I3161" s="24" t="s">
        <v>610</v>
      </c>
      <c r="J3161" s="24" t="s">
        <v>611</v>
      </c>
      <c r="K3161" s="24" t="s">
        <v>612</v>
      </c>
    </row>
    <row r="3162" spans="1:11">
      <c r="A3162" s="12">
        <v>2022</v>
      </c>
      <c r="B3162" s="15" t="s">
        <v>440</v>
      </c>
      <c r="C3162" s="15" t="s">
        <v>470</v>
      </c>
      <c r="D3162" s="15" t="s">
        <v>471</v>
      </c>
      <c r="E3162" s="19">
        <v>45641</v>
      </c>
      <c r="F3162" s="19">
        <v>42981</v>
      </c>
      <c r="G3162" s="20">
        <f t="shared" si="49"/>
        <v>0.484992439800501</v>
      </c>
      <c r="H3162" s="24" t="s">
        <v>603</v>
      </c>
      <c r="I3162" s="24" t="s">
        <v>610</v>
      </c>
      <c r="J3162" s="24" t="s">
        <v>611</v>
      </c>
      <c r="K3162" s="24" t="s">
        <v>612</v>
      </c>
    </row>
    <row r="3163" spans="1:11">
      <c r="A3163" s="12">
        <v>2022</v>
      </c>
      <c r="B3163" s="15" t="s">
        <v>440</v>
      </c>
      <c r="C3163" s="15" t="s">
        <v>472</v>
      </c>
      <c r="D3163" s="15" t="s">
        <v>473</v>
      </c>
      <c r="E3163" s="19">
        <v>5158</v>
      </c>
      <c r="F3163" s="19">
        <v>7557</v>
      </c>
      <c r="G3163" s="20">
        <f t="shared" si="49"/>
        <v>0.59433739677546205</v>
      </c>
      <c r="H3163" s="24" t="s">
        <v>603</v>
      </c>
      <c r="I3163" s="24" t="s">
        <v>610</v>
      </c>
      <c r="J3163" s="24" t="s">
        <v>611</v>
      </c>
      <c r="K3163" s="24" t="s">
        <v>612</v>
      </c>
    </row>
    <row r="3164" spans="1:11">
      <c r="A3164" s="12">
        <v>2022</v>
      </c>
      <c r="B3164" s="15" t="s">
        <v>440</v>
      </c>
      <c r="C3164" s="15" t="s">
        <v>474</v>
      </c>
      <c r="D3164" s="15" t="s">
        <v>475</v>
      </c>
      <c r="E3164" s="19">
        <v>40407</v>
      </c>
      <c r="F3164" s="19">
        <v>32329</v>
      </c>
      <c r="G3164" s="20">
        <f t="shared" si="49"/>
        <v>0.44447041355037398</v>
      </c>
      <c r="H3164" s="24" t="s">
        <v>603</v>
      </c>
      <c r="I3164" s="24" t="s">
        <v>610</v>
      </c>
      <c r="J3164" s="24" t="s">
        <v>611</v>
      </c>
      <c r="K3164" s="24" t="s">
        <v>612</v>
      </c>
    </row>
    <row r="3165" spans="1:11">
      <c r="A3165" s="12">
        <v>2022</v>
      </c>
      <c r="B3165" s="15" t="s">
        <v>440</v>
      </c>
      <c r="C3165" s="15" t="s">
        <v>476</v>
      </c>
      <c r="D3165" s="15" t="s">
        <v>477</v>
      </c>
      <c r="E3165" s="19">
        <v>40276</v>
      </c>
      <c r="F3165" s="19">
        <v>40295</v>
      </c>
      <c r="G3165" s="20">
        <f t="shared" si="49"/>
        <v>0.50011790842859094</v>
      </c>
      <c r="H3165" s="24" t="s">
        <v>603</v>
      </c>
      <c r="I3165" s="24" t="s">
        <v>610</v>
      </c>
      <c r="J3165" s="24" t="s">
        <v>611</v>
      </c>
      <c r="K3165" s="24" t="s">
        <v>612</v>
      </c>
    </row>
    <row r="3166" spans="1:11">
      <c r="A3166" s="12">
        <v>2022</v>
      </c>
      <c r="B3166" s="15" t="s">
        <v>440</v>
      </c>
      <c r="C3166" s="15" t="s">
        <v>478</v>
      </c>
      <c r="D3166" s="15" t="s">
        <v>479</v>
      </c>
      <c r="E3166" s="19">
        <v>32008</v>
      </c>
      <c r="F3166" s="19">
        <v>33765</v>
      </c>
      <c r="G3166" s="20">
        <f t="shared" si="49"/>
        <v>0.51335654447873746</v>
      </c>
      <c r="H3166" s="24" t="s">
        <v>603</v>
      </c>
      <c r="I3166" s="24" t="s">
        <v>610</v>
      </c>
      <c r="J3166" s="24" t="s">
        <v>611</v>
      </c>
      <c r="K3166" s="24" t="s">
        <v>612</v>
      </c>
    </row>
    <row r="3167" spans="1:11">
      <c r="A3167" s="12">
        <v>2022</v>
      </c>
      <c r="B3167" s="15" t="s">
        <v>440</v>
      </c>
      <c r="C3167" s="15" t="s">
        <v>480</v>
      </c>
      <c r="D3167" s="15" t="s">
        <v>481</v>
      </c>
      <c r="E3167" s="19">
        <v>18873</v>
      </c>
      <c r="F3167" s="19">
        <v>20581</v>
      </c>
      <c r="G3167" s="20">
        <f t="shared" si="49"/>
        <v>0.52164546053632077</v>
      </c>
      <c r="H3167" s="24" t="s">
        <v>603</v>
      </c>
      <c r="I3167" s="24" t="s">
        <v>610</v>
      </c>
      <c r="J3167" s="24" t="s">
        <v>611</v>
      </c>
      <c r="K3167" s="24" t="s">
        <v>612</v>
      </c>
    </row>
    <row r="3168" spans="1:11">
      <c r="A3168" s="12">
        <v>2022</v>
      </c>
      <c r="B3168" s="15" t="s">
        <v>440</v>
      </c>
      <c r="C3168" s="15" t="s">
        <v>482</v>
      </c>
      <c r="D3168" s="15" t="s">
        <v>483</v>
      </c>
      <c r="E3168" s="19">
        <v>91097</v>
      </c>
      <c r="F3168" s="19">
        <v>88245</v>
      </c>
      <c r="G3168" s="20">
        <f t="shared" si="49"/>
        <v>0.49204871140056428</v>
      </c>
      <c r="H3168" s="24" t="s">
        <v>603</v>
      </c>
      <c r="I3168" s="24" t="s">
        <v>610</v>
      </c>
      <c r="J3168" s="24" t="s">
        <v>611</v>
      </c>
      <c r="K3168" s="24" t="s">
        <v>612</v>
      </c>
    </row>
    <row r="3169" spans="1:11">
      <c r="A3169" s="12">
        <v>2022</v>
      </c>
      <c r="B3169" s="15" t="s">
        <v>440</v>
      </c>
      <c r="C3169" s="15" t="s">
        <v>484</v>
      </c>
      <c r="D3169" s="15" t="s">
        <v>485</v>
      </c>
      <c r="E3169" s="19">
        <v>203599</v>
      </c>
      <c r="F3169" s="19">
        <v>150156</v>
      </c>
      <c r="G3169" s="20">
        <f t="shared" si="49"/>
        <v>0.42446325846984495</v>
      </c>
      <c r="H3169" s="24" t="s">
        <v>603</v>
      </c>
      <c r="I3169" s="24" t="s">
        <v>604</v>
      </c>
      <c r="J3169" s="24" t="s">
        <v>605</v>
      </c>
      <c r="K3169" s="24" t="s">
        <v>612</v>
      </c>
    </row>
    <row r="3170" spans="1:11">
      <c r="A3170" s="12">
        <v>2022</v>
      </c>
      <c r="B3170" s="15" t="s">
        <v>440</v>
      </c>
      <c r="C3170" s="15" t="s">
        <v>486</v>
      </c>
      <c r="D3170" s="15" t="s">
        <v>487</v>
      </c>
      <c r="E3170" s="19">
        <v>241429</v>
      </c>
      <c r="F3170" s="19">
        <v>178430</v>
      </c>
      <c r="G3170" s="20">
        <f t="shared" si="49"/>
        <v>0.42497600384891115</v>
      </c>
      <c r="H3170" s="24" t="s">
        <v>603</v>
      </c>
      <c r="I3170" s="24" t="s">
        <v>604</v>
      </c>
      <c r="J3170" s="24" t="s">
        <v>605</v>
      </c>
      <c r="K3170" s="24" t="s">
        <v>612</v>
      </c>
    </row>
    <row r="3171" spans="1:11">
      <c r="A3171" s="12">
        <v>2022</v>
      </c>
      <c r="B3171" s="15" t="s">
        <v>488</v>
      </c>
      <c r="C3171" s="15" t="s">
        <v>22</v>
      </c>
      <c r="D3171" s="15" t="s">
        <v>488</v>
      </c>
      <c r="E3171" s="19">
        <v>3097858</v>
      </c>
      <c r="F3171" s="19">
        <v>969482</v>
      </c>
      <c r="G3171" s="20">
        <f t="shared" si="49"/>
        <v>0.23835774732380377</v>
      </c>
      <c r="H3171" s="24" t="s">
        <v>603</v>
      </c>
      <c r="I3171" s="24" t="s">
        <v>610</v>
      </c>
      <c r="J3171" s="24" t="s">
        <v>611</v>
      </c>
      <c r="K3171" s="24" t="s">
        <v>612</v>
      </c>
    </row>
    <row r="3172" spans="1:11">
      <c r="A3172" s="12">
        <v>2022</v>
      </c>
      <c r="B3172" s="15" t="s">
        <v>488</v>
      </c>
      <c r="C3172" s="15" t="s">
        <v>489</v>
      </c>
      <c r="D3172" s="15" t="s">
        <v>490</v>
      </c>
      <c r="E3172" s="19">
        <v>218316</v>
      </c>
      <c r="F3172" s="19">
        <v>110529</v>
      </c>
      <c r="G3172" s="20">
        <f t="shared" si="49"/>
        <v>0.33611275829037995</v>
      </c>
      <c r="H3172" s="24" t="s">
        <v>603</v>
      </c>
      <c r="I3172" s="24" t="s">
        <v>610</v>
      </c>
      <c r="J3172" s="24" t="s">
        <v>611</v>
      </c>
      <c r="K3172" s="24" t="s">
        <v>612</v>
      </c>
    </row>
    <row r="3173" spans="1:11">
      <c r="A3173" s="12">
        <v>2022</v>
      </c>
      <c r="B3173" s="15" t="s">
        <v>488</v>
      </c>
      <c r="C3173" s="15" t="s">
        <v>491</v>
      </c>
      <c r="D3173" s="15" t="s">
        <v>492</v>
      </c>
      <c r="E3173" s="19">
        <v>54318</v>
      </c>
      <c r="F3173" s="19">
        <v>36301</v>
      </c>
      <c r="G3173" s="20">
        <f t="shared" si="49"/>
        <v>0.40058928039373642</v>
      </c>
      <c r="H3173" s="24" t="s">
        <v>603</v>
      </c>
      <c r="I3173" s="24" t="s">
        <v>610</v>
      </c>
      <c r="J3173" s="24" t="s">
        <v>611</v>
      </c>
      <c r="K3173" s="24" t="s">
        <v>612</v>
      </c>
    </row>
    <row r="3174" spans="1:11">
      <c r="A3174" s="12">
        <v>2022</v>
      </c>
      <c r="B3174" s="15" t="s">
        <v>488</v>
      </c>
      <c r="C3174" s="15" t="s">
        <v>260</v>
      </c>
      <c r="D3174" s="15" t="s">
        <v>493</v>
      </c>
      <c r="E3174" s="19">
        <v>39294</v>
      </c>
      <c r="F3174" s="19">
        <v>38336</v>
      </c>
      <c r="G3174" s="20">
        <f t="shared" si="49"/>
        <v>0.49382970501094936</v>
      </c>
      <c r="H3174" s="24" t="s">
        <v>603</v>
      </c>
      <c r="I3174" s="24" t="s">
        <v>610</v>
      </c>
      <c r="J3174" s="24" t="s">
        <v>611</v>
      </c>
      <c r="K3174" s="24" t="s">
        <v>612</v>
      </c>
    </row>
    <row r="3175" spans="1:11">
      <c r="A3175" s="12">
        <v>2022</v>
      </c>
      <c r="B3175" s="15" t="s">
        <v>488</v>
      </c>
      <c r="C3175" s="15" t="s">
        <v>494</v>
      </c>
      <c r="D3175" s="15" t="s">
        <v>495</v>
      </c>
      <c r="E3175" s="19">
        <v>498891</v>
      </c>
      <c r="F3175" s="19">
        <v>270470</v>
      </c>
      <c r="G3175" s="20">
        <f t="shared" si="49"/>
        <v>0.35155148233404082</v>
      </c>
      <c r="H3175" s="24" t="s">
        <v>603</v>
      </c>
      <c r="I3175" s="24" t="s">
        <v>610</v>
      </c>
      <c r="J3175" s="24" t="s">
        <v>611</v>
      </c>
      <c r="K3175" s="24" t="s">
        <v>612</v>
      </c>
    </row>
    <row r="3176" spans="1:11">
      <c r="A3176" s="12">
        <v>2022</v>
      </c>
      <c r="B3176" s="15" t="s">
        <v>488</v>
      </c>
      <c r="C3176" s="15" t="s">
        <v>496</v>
      </c>
      <c r="D3176" s="15" t="s">
        <v>497</v>
      </c>
      <c r="E3176" s="19">
        <v>34418</v>
      </c>
      <c r="F3176" s="19">
        <v>32791</v>
      </c>
      <c r="G3176" s="20">
        <f t="shared" si="49"/>
        <v>0.48789596631403531</v>
      </c>
      <c r="H3176" s="24" t="s">
        <v>603</v>
      </c>
      <c r="I3176" s="24" t="s">
        <v>610</v>
      </c>
      <c r="J3176" s="24" t="s">
        <v>611</v>
      </c>
      <c r="K3176" s="24" t="s">
        <v>612</v>
      </c>
    </row>
    <row r="3177" spans="1:11">
      <c r="A3177" s="12">
        <v>2022</v>
      </c>
      <c r="B3177" s="15" t="s">
        <v>488</v>
      </c>
      <c r="C3177" s="15" t="s">
        <v>498</v>
      </c>
      <c r="D3177" s="15" t="s">
        <v>499</v>
      </c>
      <c r="E3177" s="19">
        <v>89714</v>
      </c>
      <c r="F3177" s="19">
        <v>62409</v>
      </c>
      <c r="G3177" s="20">
        <f t="shared" si="49"/>
        <v>0.41025354482885562</v>
      </c>
      <c r="H3177" s="24" t="s">
        <v>603</v>
      </c>
      <c r="I3177" s="24" t="s">
        <v>610</v>
      </c>
      <c r="J3177" s="24" t="s">
        <v>611</v>
      </c>
      <c r="K3177" s="24" t="s">
        <v>612</v>
      </c>
    </row>
    <row r="3178" spans="1:11">
      <c r="A3178" s="12">
        <v>2022</v>
      </c>
      <c r="B3178" s="15" t="s">
        <v>488</v>
      </c>
      <c r="C3178" s="15" t="s">
        <v>500</v>
      </c>
      <c r="D3178" s="15" t="s">
        <v>501</v>
      </c>
      <c r="E3178" s="19">
        <v>97239</v>
      </c>
      <c r="F3178" s="19">
        <v>69816</v>
      </c>
      <c r="G3178" s="20">
        <f t="shared" si="49"/>
        <v>0.41792224117805515</v>
      </c>
      <c r="H3178" s="24" t="s">
        <v>603</v>
      </c>
      <c r="I3178" s="24" t="s">
        <v>610</v>
      </c>
      <c r="J3178" s="24" t="s">
        <v>611</v>
      </c>
      <c r="K3178" s="24" t="s">
        <v>612</v>
      </c>
    </row>
    <row r="3179" spans="1:11">
      <c r="A3179" s="12">
        <v>2022</v>
      </c>
      <c r="B3179" s="15" t="s">
        <v>488</v>
      </c>
      <c r="C3179" s="15" t="s">
        <v>502</v>
      </c>
      <c r="D3179" s="15" t="s">
        <v>503</v>
      </c>
      <c r="E3179" s="19">
        <v>25578</v>
      </c>
      <c r="F3179" s="19">
        <v>30230</v>
      </c>
      <c r="G3179" s="20">
        <f t="shared" si="49"/>
        <v>0.54167861238532111</v>
      </c>
      <c r="H3179" s="24" t="s">
        <v>603</v>
      </c>
      <c r="I3179" s="24" t="s">
        <v>610</v>
      </c>
      <c r="J3179" s="24" t="s">
        <v>611</v>
      </c>
      <c r="K3179" s="24" t="s">
        <v>612</v>
      </c>
    </row>
    <row r="3180" spans="1:11">
      <c r="A3180" s="12">
        <v>2022</v>
      </c>
      <c r="B3180" s="15" t="s">
        <v>488</v>
      </c>
      <c r="C3180" s="15" t="s">
        <v>504</v>
      </c>
      <c r="D3180" s="15" t="s">
        <v>505</v>
      </c>
      <c r="E3180" s="19">
        <v>323522</v>
      </c>
      <c r="F3180" s="19">
        <v>174376</v>
      </c>
      <c r="G3180" s="20">
        <f t="shared" si="49"/>
        <v>0.35022434313855449</v>
      </c>
      <c r="H3180" s="24" t="s">
        <v>603</v>
      </c>
      <c r="I3180" s="24" t="s">
        <v>610</v>
      </c>
      <c r="J3180" s="24" t="s">
        <v>611</v>
      </c>
      <c r="K3180" s="24" t="s">
        <v>612</v>
      </c>
    </row>
    <row r="3181" spans="1:11">
      <c r="A3181" s="12">
        <v>2022</v>
      </c>
      <c r="B3181" s="15" t="s">
        <v>488</v>
      </c>
      <c r="C3181" s="15" t="s">
        <v>506</v>
      </c>
      <c r="D3181" s="15" t="s">
        <v>507</v>
      </c>
      <c r="E3181" s="19">
        <v>19754</v>
      </c>
      <c r="F3181" s="19">
        <v>22097</v>
      </c>
      <c r="G3181" s="20">
        <f t="shared" si="49"/>
        <v>0.52799216267233762</v>
      </c>
      <c r="H3181" s="24" t="s">
        <v>603</v>
      </c>
      <c r="I3181" s="24" t="s">
        <v>610</v>
      </c>
      <c r="J3181" s="24" t="s">
        <v>611</v>
      </c>
      <c r="K3181" s="24" t="s">
        <v>612</v>
      </c>
    </row>
    <row r="3182" spans="1:11">
      <c r="A3182" s="12">
        <v>2022</v>
      </c>
      <c r="B3182" s="15" t="s">
        <v>488</v>
      </c>
      <c r="C3182" s="15" t="s">
        <v>508</v>
      </c>
      <c r="D3182" s="15" t="s">
        <v>509</v>
      </c>
      <c r="E3182" s="19">
        <v>321337</v>
      </c>
      <c r="F3182" s="19">
        <v>101539</v>
      </c>
      <c r="G3182" s="20">
        <f t="shared" si="49"/>
        <v>0.24011530566880127</v>
      </c>
      <c r="H3182" s="24" t="s">
        <v>603</v>
      </c>
      <c r="I3182" s="24" t="s">
        <v>610</v>
      </c>
      <c r="J3182" s="24" t="s">
        <v>611</v>
      </c>
      <c r="K3182" s="24" t="s">
        <v>612</v>
      </c>
    </row>
    <row r="3183" spans="1:11">
      <c r="A3183" s="12">
        <v>2022</v>
      </c>
      <c r="B3183" s="15" t="s">
        <v>488</v>
      </c>
      <c r="C3183" s="15" t="s">
        <v>510</v>
      </c>
      <c r="D3183" s="15" t="s">
        <v>511</v>
      </c>
      <c r="E3183" s="19">
        <v>48529</v>
      </c>
      <c r="F3183" s="19">
        <v>45505</v>
      </c>
      <c r="G3183" s="20">
        <f t="shared" si="49"/>
        <v>0.48392070953059529</v>
      </c>
      <c r="H3183" s="24" t="s">
        <v>603</v>
      </c>
      <c r="I3183" s="24" t="s">
        <v>610</v>
      </c>
      <c r="J3183" s="24" t="s">
        <v>611</v>
      </c>
      <c r="K3183" s="24" t="s">
        <v>612</v>
      </c>
    </row>
    <row r="3184" spans="1:11">
      <c r="A3184" s="12">
        <v>2022</v>
      </c>
      <c r="B3184" s="15" t="s">
        <v>488</v>
      </c>
      <c r="C3184" s="15" t="s">
        <v>512</v>
      </c>
      <c r="D3184" s="15" t="s">
        <v>513</v>
      </c>
      <c r="E3184" s="19">
        <v>154622</v>
      </c>
      <c r="F3184" s="19">
        <v>130723</v>
      </c>
      <c r="G3184" s="20">
        <f t="shared" si="49"/>
        <v>0.45812262349086191</v>
      </c>
      <c r="H3184" s="24" t="s">
        <v>603</v>
      </c>
      <c r="I3184" s="24" t="s">
        <v>610</v>
      </c>
      <c r="J3184" s="24" t="s">
        <v>611</v>
      </c>
      <c r="K3184" s="24" t="s">
        <v>612</v>
      </c>
    </row>
    <row r="3185" spans="1:11">
      <c r="A3185" s="12">
        <v>2022</v>
      </c>
      <c r="B3185" s="15" t="s">
        <v>488</v>
      </c>
      <c r="C3185" s="15" t="s">
        <v>514</v>
      </c>
      <c r="D3185" s="15" t="s">
        <v>515</v>
      </c>
      <c r="E3185" s="19">
        <v>160970</v>
      </c>
      <c r="F3185" s="19">
        <v>130669</v>
      </c>
      <c r="G3185" s="20">
        <f t="shared" si="49"/>
        <v>0.44805050079036068</v>
      </c>
      <c r="H3185" s="24" t="s">
        <v>603</v>
      </c>
      <c r="I3185" s="24" t="s">
        <v>610</v>
      </c>
      <c r="J3185" s="24" t="s">
        <v>611</v>
      </c>
      <c r="K3185" s="24" t="s">
        <v>612</v>
      </c>
    </row>
    <row r="3186" spans="1:11">
      <c r="A3186" s="12">
        <v>2022</v>
      </c>
      <c r="B3186" s="15" t="s">
        <v>488</v>
      </c>
      <c r="C3186" s="15" t="s">
        <v>516</v>
      </c>
      <c r="D3186" s="15" t="s">
        <v>517</v>
      </c>
      <c r="E3186" s="19">
        <v>218071</v>
      </c>
      <c r="F3186" s="19">
        <v>197070</v>
      </c>
      <c r="G3186" s="20">
        <f t="shared" si="49"/>
        <v>0.47470618416393467</v>
      </c>
      <c r="H3186" s="24" t="s">
        <v>603</v>
      </c>
      <c r="I3186" s="24" t="s">
        <v>610</v>
      </c>
      <c r="J3186" s="24" t="s">
        <v>611</v>
      </c>
      <c r="K3186" s="24" t="s">
        <v>612</v>
      </c>
    </row>
    <row r="3187" spans="1:11">
      <c r="A3187" s="12">
        <v>2022</v>
      </c>
      <c r="B3187" s="15" t="s">
        <v>488</v>
      </c>
      <c r="C3187" s="15" t="s">
        <v>518</v>
      </c>
      <c r="D3187" s="15" t="s">
        <v>519</v>
      </c>
      <c r="E3187" s="19">
        <v>192104</v>
      </c>
      <c r="F3187" s="19">
        <v>156610</v>
      </c>
      <c r="G3187" s="20">
        <f t="shared" si="49"/>
        <v>0.44910729136197569</v>
      </c>
      <c r="H3187" s="24" t="s">
        <v>603</v>
      </c>
      <c r="I3187" s="24" t="s">
        <v>610</v>
      </c>
      <c r="J3187" s="24" t="s">
        <v>611</v>
      </c>
      <c r="K3187" s="24" t="s">
        <v>612</v>
      </c>
    </row>
    <row r="3188" spans="1:11">
      <c r="A3188" s="12">
        <v>2022</v>
      </c>
      <c r="B3188" s="15" t="s">
        <v>488</v>
      </c>
      <c r="C3188" s="15" t="s">
        <v>520</v>
      </c>
      <c r="D3188" s="15" t="s">
        <v>521</v>
      </c>
      <c r="E3188" s="19">
        <v>174213</v>
      </c>
      <c r="F3188" s="19">
        <v>133655</v>
      </c>
      <c r="G3188" s="20">
        <f t="shared" si="49"/>
        <v>0.43413086127821016</v>
      </c>
      <c r="H3188" s="24" t="s">
        <v>603</v>
      </c>
      <c r="I3188" s="24" t="s">
        <v>610</v>
      </c>
      <c r="J3188" s="24" t="s">
        <v>611</v>
      </c>
      <c r="K3188" s="24" t="s">
        <v>612</v>
      </c>
    </row>
    <row r="3189" spans="1:11">
      <c r="A3189" s="12">
        <v>2022</v>
      </c>
      <c r="B3189" s="15" t="s">
        <v>488</v>
      </c>
      <c r="C3189" s="15" t="s">
        <v>522</v>
      </c>
      <c r="D3189" s="15" t="s">
        <v>523</v>
      </c>
      <c r="E3189" s="19">
        <v>112228</v>
      </c>
      <c r="F3189" s="19">
        <v>60271</v>
      </c>
      <c r="G3189" s="20">
        <f t="shared" si="49"/>
        <v>0.34939912695146058</v>
      </c>
      <c r="H3189" s="24" t="s">
        <v>603</v>
      </c>
      <c r="I3189" s="24" t="s">
        <v>610</v>
      </c>
      <c r="J3189" s="24" t="s">
        <v>611</v>
      </c>
      <c r="K3189" s="24" t="s">
        <v>612</v>
      </c>
    </row>
    <row r="3190" spans="1:11">
      <c r="A3190" s="12">
        <v>2022</v>
      </c>
      <c r="B3190" s="15" t="s">
        <v>488</v>
      </c>
      <c r="C3190" s="15" t="s">
        <v>524</v>
      </c>
      <c r="D3190" s="15" t="s">
        <v>525</v>
      </c>
      <c r="E3190" s="19">
        <v>33067</v>
      </c>
      <c r="F3190" s="19">
        <v>34427</v>
      </c>
      <c r="G3190" s="20">
        <f t="shared" si="49"/>
        <v>0.51007496962692978</v>
      </c>
      <c r="H3190" s="24" t="s">
        <v>603</v>
      </c>
      <c r="I3190" s="24" t="s">
        <v>610</v>
      </c>
      <c r="J3190" s="24" t="s">
        <v>611</v>
      </c>
      <c r="K3190" s="24" t="s">
        <v>612</v>
      </c>
    </row>
    <row r="3191" spans="1:11">
      <c r="A3191" s="12">
        <v>2022</v>
      </c>
      <c r="B3191" s="15" t="s">
        <v>488</v>
      </c>
      <c r="C3191" s="15" t="s">
        <v>526</v>
      </c>
      <c r="D3191" s="15" t="s">
        <v>527</v>
      </c>
      <c r="E3191" s="19">
        <v>47882</v>
      </c>
      <c r="F3191" s="19">
        <v>51905</v>
      </c>
      <c r="G3191" s="20">
        <f t="shared" si="49"/>
        <v>0.52015793640454167</v>
      </c>
      <c r="H3191" s="24" t="s">
        <v>603</v>
      </c>
      <c r="I3191" s="24" t="s">
        <v>610</v>
      </c>
      <c r="J3191" s="24" t="s">
        <v>611</v>
      </c>
      <c r="K3191" s="24" t="s">
        <v>612</v>
      </c>
    </row>
    <row r="3192" spans="1:11">
      <c r="A3192" s="12">
        <v>2022</v>
      </c>
      <c r="B3192" s="15" t="s">
        <v>488</v>
      </c>
      <c r="C3192" s="15" t="s">
        <v>528</v>
      </c>
      <c r="D3192" s="15" t="s">
        <v>529</v>
      </c>
      <c r="E3192" s="19">
        <v>31978</v>
      </c>
      <c r="F3192" s="19">
        <v>28466</v>
      </c>
      <c r="G3192" s="20">
        <f t="shared" si="49"/>
        <v>0.4709483157964397</v>
      </c>
      <c r="H3192" s="24" t="s">
        <v>603</v>
      </c>
      <c r="I3192" s="24" t="s">
        <v>610</v>
      </c>
      <c r="J3192" s="24" t="s">
        <v>611</v>
      </c>
      <c r="K3192" s="24" t="s">
        <v>612</v>
      </c>
    </row>
    <row r="3193" spans="1:11">
      <c r="A3193" s="12">
        <v>2022</v>
      </c>
      <c r="B3193" s="15" t="s">
        <v>488</v>
      </c>
      <c r="C3193" s="15" t="s">
        <v>530</v>
      </c>
      <c r="D3193" s="15" t="s">
        <v>531</v>
      </c>
      <c r="E3193" s="19">
        <v>33243</v>
      </c>
      <c r="F3193" s="19">
        <v>32588</v>
      </c>
      <c r="G3193" s="20">
        <f t="shared" si="49"/>
        <v>0.49502514013154897</v>
      </c>
      <c r="H3193" s="24" t="s">
        <v>603</v>
      </c>
      <c r="I3193" s="24" t="s">
        <v>610</v>
      </c>
      <c r="J3193" s="24" t="s">
        <v>611</v>
      </c>
      <c r="K3193" s="24" t="s">
        <v>612</v>
      </c>
    </row>
    <row r="3194" spans="1:11">
      <c r="A3194" s="12">
        <v>2022</v>
      </c>
      <c r="B3194" s="15" t="s">
        <v>532</v>
      </c>
      <c r="C3194" s="15" t="s">
        <v>22</v>
      </c>
      <c r="D3194" s="15" t="s">
        <v>532</v>
      </c>
      <c r="E3194" s="19">
        <v>638314</v>
      </c>
      <c r="F3194" s="19">
        <v>141021</v>
      </c>
      <c r="G3194" s="20">
        <f t="shared" si="49"/>
        <v>0.18095042568343522</v>
      </c>
      <c r="H3194" s="24" t="s">
        <v>583</v>
      </c>
      <c r="I3194" s="24" t="s">
        <v>606</v>
      </c>
      <c r="J3194" s="24" t="s">
        <v>607</v>
      </c>
      <c r="K3194" s="24" t="s">
        <v>612</v>
      </c>
    </row>
    <row r="3195" spans="1:11">
      <c r="A3195" s="12">
        <v>2022</v>
      </c>
      <c r="B3195" s="15" t="s">
        <v>532</v>
      </c>
      <c r="C3195" s="15" t="s">
        <v>533</v>
      </c>
      <c r="D3195" s="15" t="s">
        <v>534</v>
      </c>
      <c r="E3195" s="19">
        <v>160460</v>
      </c>
      <c r="F3195" s="19">
        <v>113505</v>
      </c>
      <c r="G3195" s="20">
        <f t="shared" si="49"/>
        <v>0.41430474695672803</v>
      </c>
      <c r="H3195" s="24" t="s">
        <v>583</v>
      </c>
      <c r="I3195" s="24" t="s">
        <v>606</v>
      </c>
      <c r="J3195" s="24" t="s">
        <v>607</v>
      </c>
      <c r="K3195" s="24" t="s">
        <v>612</v>
      </c>
    </row>
    <row r="3196" spans="1:11">
      <c r="A3196" s="12">
        <v>2022</v>
      </c>
      <c r="B3196" s="15" t="s">
        <v>532</v>
      </c>
      <c r="C3196" s="15" t="s">
        <v>535</v>
      </c>
      <c r="D3196" s="15" t="s">
        <v>536</v>
      </c>
      <c r="E3196" s="19">
        <v>464462</v>
      </c>
      <c r="F3196" s="19">
        <v>116088</v>
      </c>
      <c r="G3196" s="20">
        <f t="shared" si="49"/>
        <v>0.19996210490052535</v>
      </c>
      <c r="H3196" s="24" t="s">
        <v>583</v>
      </c>
      <c r="I3196" s="24" t="s">
        <v>606</v>
      </c>
      <c r="J3196" s="24" t="s">
        <v>607</v>
      </c>
      <c r="K3196" s="24" t="s">
        <v>612</v>
      </c>
    </row>
    <row r="3197" spans="1:11">
      <c r="A3197" s="12">
        <v>2023</v>
      </c>
      <c r="B3197" s="15" t="s">
        <v>21</v>
      </c>
      <c r="C3197" s="15" t="s">
        <v>22</v>
      </c>
      <c r="D3197" s="15" t="s">
        <v>21</v>
      </c>
      <c r="E3197" s="19">
        <v>8869972</v>
      </c>
      <c r="F3197" s="19">
        <v>2385043</v>
      </c>
      <c r="G3197" s="20">
        <f t="shared" si="49"/>
        <v>0.21190935773963873</v>
      </c>
      <c r="H3197" s="24" t="s">
        <v>589</v>
      </c>
      <c r="I3197" s="24" t="s">
        <v>596</v>
      </c>
      <c r="J3197" s="24" t="s">
        <v>597</v>
      </c>
      <c r="K3197" s="24" t="s">
        <v>613</v>
      </c>
    </row>
    <row r="3198" spans="1:11">
      <c r="A3198" s="12">
        <v>2023</v>
      </c>
      <c r="B3198" s="15" t="s">
        <v>21</v>
      </c>
      <c r="C3198" s="15" t="s">
        <v>23</v>
      </c>
      <c r="D3198" s="15" t="s">
        <v>24</v>
      </c>
      <c r="E3198" s="19">
        <v>462442</v>
      </c>
      <c r="F3198" s="19">
        <v>396096</v>
      </c>
      <c r="G3198" s="20">
        <f t="shared" si="49"/>
        <v>0.46136105798462035</v>
      </c>
      <c r="H3198" s="24" t="s">
        <v>589</v>
      </c>
      <c r="I3198" s="24" t="s">
        <v>596</v>
      </c>
      <c r="J3198" s="24" t="s">
        <v>597</v>
      </c>
      <c r="K3198" s="24" t="s">
        <v>613</v>
      </c>
    </row>
    <row r="3199" spans="1:11">
      <c r="A3199" s="12">
        <v>2023</v>
      </c>
      <c r="B3199" s="15" t="s">
        <v>21</v>
      </c>
      <c r="C3199" s="15" t="s">
        <v>25</v>
      </c>
      <c r="D3199" s="15" t="s">
        <v>26</v>
      </c>
      <c r="E3199" s="19">
        <v>400916</v>
      </c>
      <c r="F3199" s="19">
        <v>289135</v>
      </c>
      <c r="G3199" s="20">
        <f t="shared" si="49"/>
        <v>0.41900526192991533</v>
      </c>
      <c r="H3199" s="24" t="s">
        <v>589</v>
      </c>
      <c r="I3199" s="24" t="s">
        <v>596</v>
      </c>
      <c r="J3199" s="24" t="s">
        <v>597</v>
      </c>
      <c r="K3199" s="24" t="s">
        <v>613</v>
      </c>
    </row>
    <row r="3200" spans="1:11">
      <c r="A3200" s="12">
        <v>2023</v>
      </c>
      <c r="B3200" s="15" t="s">
        <v>21</v>
      </c>
      <c r="C3200" s="15" t="s">
        <v>27</v>
      </c>
      <c r="D3200" s="15" t="s">
        <v>28</v>
      </c>
      <c r="E3200" s="19">
        <v>239501</v>
      </c>
      <c r="F3200" s="19">
        <v>210245</v>
      </c>
      <c r="G3200" s="20">
        <f t="shared" si="49"/>
        <v>0.46747497476353317</v>
      </c>
      <c r="H3200" s="24" t="s">
        <v>589</v>
      </c>
      <c r="I3200" s="24" t="s">
        <v>596</v>
      </c>
      <c r="J3200" s="24" t="s">
        <v>597</v>
      </c>
      <c r="K3200" s="24" t="s">
        <v>613</v>
      </c>
    </row>
    <row r="3201" spans="1:11">
      <c r="A3201" s="12">
        <v>2023</v>
      </c>
      <c r="B3201" s="15" t="s">
        <v>21</v>
      </c>
      <c r="C3201" s="15" t="s">
        <v>29</v>
      </c>
      <c r="D3201" s="15" t="s">
        <v>30</v>
      </c>
      <c r="E3201" s="19">
        <v>484931</v>
      </c>
      <c r="F3201" s="19">
        <v>372883</v>
      </c>
      <c r="G3201" s="20">
        <f t="shared" si="49"/>
        <v>0.43468980454970424</v>
      </c>
      <c r="H3201" s="24" t="s">
        <v>589</v>
      </c>
      <c r="I3201" s="24" t="s">
        <v>596</v>
      </c>
      <c r="J3201" s="24" t="s">
        <v>597</v>
      </c>
      <c r="K3201" s="24" t="s">
        <v>613</v>
      </c>
    </row>
    <row r="3202" spans="1:11">
      <c r="A3202" s="12">
        <v>2023</v>
      </c>
      <c r="B3202" s="15" t="s">
        <v>21</v>
      </c>
      <c r="C3202" s="15" t="s">
        <v>31</v>
      </c>
      <c r="D3202" s="15" t="s">
        <v>32</v>
      </c>
      <c r="E3202" s="19">
        <v>393999</v>
      </c>
      <c r="F3202" s="19">
        <v>360863</v>
      </c>
      <c r="G3202" s="20">
        <f t="shared" si="49"/>
        <v>0.47805161738172008</v>
      </c>
      <c r="H3202" s="24" t="s">
        <v>589</v>
      </c>
      <c r="I3202" s="24" t="s">
        <v>596</v>
      </c>
      <c r="J3202" s="24" t="s">
        <v>597</v>
      </c>
      <c r="K3202" s="24" t="s">
        <v>613</v>
      </c>
    </row>
    <row r="3203" spans="1:11">
      <c r="A3203" s="12">
        <v>2023</v>
      </c>
      <c r="B3203" s="15" t="s">
        <v>21</v>
      </c>
      <c r="C3203" s="15" t="s">
        <v>33</v>
      </c>
      <c r="D3203" s="15" t="s">
        <v>34</v>
      </c>
      <c r="E3203" s="19">
        <v>287420</v>
      </c>
      <c r="F3203" s="19">
        <v>235168</v>
      </c>
      <c r="G3203" s="20">
        <f t="shared" si="49"/>
        <v>0.45000650608127246</v>
      </c>
      <c r="H3203" s="24" t="s">
        <v>589</v>
      </c>
      <c r="I3203" s="24" t="s">
        <v>596</v>
      </c>
      <c r="J3203" s="24" t="s">
        <v>597</v>
      </c>
      <c r="K3203" s="24" t="s">
        <v>613</v>
      </c>
    </row>
    <row r="3204" spans="1:11">
      <c r="A3204" s="12">
        <v>2023</v>
      </c>
      <c r="B3204" s="15" t="s">
        <v>21</v>
      </c>
      <c r="C3204" s="15" t="s">
        <v>35</v>
      </c>
      <c r="D3204" s="15" t="s">
        <v>36</v>
      </c>
      <c r="E3204" s="19">
        <v>343280</v>
      </c>
      <c r="F3204" s="19">
        <v>300257</v>
      </c>
      <c r="G3204" s="20">
        <f t="shared" si="49"/>
        <v>0.46657301755765401</v>
      </c>
      <c r="H3204" s="24" t="s">
        <v>589</v>
      </c>
      <c r="I3204" s="24" t="s">
        <v>596</v>
      </c>
      <c r="J3204" s="24" t="s">
        <v>597</v>
      </c>
      <c r="K3204" s="24" t="s">
        <v>613</v>
      </c>
    </row>
    <row r="3205" spans="1:11">
      <c r="A3205" s="12">
        <v>2023</v>
      </c>
      <c r="B3205" s="15" t="s">
        <v>21</v>
      </c>
      <c r="C3205" s="15" t="s">
        <v>37</v>
      </c>
      <c r="D3205" s="15" t="s">
        <v>38</v>
      </c>
      <c r="E3205" s="19">
        <v>194951</v>
      </c>
      <c r="F3205" s="19">
        <v>180442</v>
      </c>
      <c r="G3205" s="20">
        <f t="shared" si="49"/>
        <v>0.48067491935118661</v>
      </c>
      <c r="H3205" s="24" t="s">
        <v>589</v>
      </c>
      <c r="I3205" s="24" t="s">
        <v>596</v>
      </c>
      <c r="J3205" s="24" t="s">
        <v>597</v>
      </c>
      <c r="K3205" s="24" t="s">
        <v>613</v>
      </c>
    </row>
    <row r="3206" spans="1:11">
      <c r="A3206" s="12">
        <v>2023</v>
      </c>
      <c r="B3206" s="15" t="s">
        <v>21</v>
      </c>
      <c r="C3206" s="15" t="s">
        <v>39</v>
      </c>
      <c r="D3206" s="15" t="s">
        <v>40</v>
      </c>
      <c r="E3206" s="19">
        <v>427086</v>
      </c>
      <c r="F3206" s="19">
        <v>317041</v>
      </c>
      <c r="G3206" s="20">
        <f t="shared" ref="G3206:G3269" si="50">IFERROR(F3206/(E3206+F3206),"")</f>
        <v>0.42605764876156893</v>
      </c>
      <c r="H3206" s="24" t="s">
        <v>589</v>
      </c>
      <c r="I3206" s="24" t="s">
        <v>596</v>
      </c>
      <c r="J3206" s="24" t="s">
        <v>597</v>
      </c>
      <c r="K3206" s="24" t="s">
        <v>613</v>
      </c>
    </row>
    <row r="3207" spans="1:11">
      <c r="A3207" s="12">
        <v>2023</v>
      </c>
      <c r="B3207" s="15" t="s">
        <v>21</v>
      </c>
      <c r="C3207" s="15" t="s">
        <v>41</v>
      </c>
      <c r="D3207" s="15" t="s">
        <v>42</v>
      </c>
      <c r="E3207" s="19">
        <v>250466</v>
      </c>
      <c r="F3207" s="19">
        <v>230631</v>
      </c>
      <c r="G3207" s="20">
        <f t="shared" si="50"/>
        <v>0.47938565403650407</v>
      </c>
      <c r="H3207" s="24" t="s">
        <v>589</v>
      </c>
      <c r="I3207" s="24" t="s">
        <v>596</v>
      </c>
      <c r="J3207" s="24" t="s">
        <v>597</v>
      </c>
      <c r="K3207" s="24" t="s">
        <v>613</v>
      </c>
    </row>
    <row r="3208" spans="1:11">
      <c r="A3208" s="12">
        <v>2023</v>
      </c>
      <c r="B3208" s="15" t="s">
        <v>21</v>
      </c>
      <c r="C3208" s="15" t="s">
        <v>43</v>
      </c>
      <c r="D3208" s="15" t="s">
        <v>44</v>
      </c>
      <c r="E3208" s="19">
        <v>284205</v>
      </c>
      <c r="F3208" s="19">
        <v>248677</v>
      </c>
      <c r="G3208" s="20">
        <f t="shared" si="50"/>
        <v>0.46666428965512063</v>
      </c>
      <c r="H3208" s="24" t="s">
        <v>589</v>
      </c>
      <c r="I3208" s="24" t="s">
        <v>596</v>
      </c>
      <c r="J3208" s="24" t="s">
        <v>597</v>
      </c>
      <c r="K3208" s="24" t="s">
        <v>613</v>
      </c>
    </row>
    <row r="3209" spans="1:11">
      <c r="A3209" s="12">
        <v>2023</v>
      </c>
      <c r="B3209" s="15" t="s">
        <v>21</v>
      </c>
      <c r="C3209" s="15" t="s">
        <v>45</v>
      </c>
      <c r="D3209" s="15" t="s">
        <v>46</v>
      </c>
      <c r="E3209" s="19">
        <v>300676</v>
      </c>
      <c r="F3209" s="19">
        <v>299269</v>
      </c>
      <c r="G3209" s="20">
        <f t="shared" si="50"/>
        <v>0.49882739251098018</v>
      </c>
      <c r="H3209" s="24" t="s">
        <v>589</v>
      </c>
      <c r="I3209" s="24" t="s">
        <v>596</v>
      </c>
      <c r="J3209" s="24" t="s">
        <v>597</v>
      </c>
      <c r="K3209" s="24" t="s">
        <v>613</v>
      </c>
    </row>
    <row r="3210" spans="1:11">
      <c r="A3210" s="12">
        <v>2023</v>
      </c>
      <c r="B3210" s="15" t="s">
        <v>21</v>
      </c>
      <c r="C3210" s="15" t="s">
        <v>47</v>
      </c>
      <c r="D3210" s="15" t="s">
        <v>48</v>
      </c>
      <c r="E3210" s="19">
        <v>301961</v>
      </c>
      <c r="F3210" s="19">
        <v>282672</v>
      </c>
      <c r="G3210" s="20">
        <f t="shared" si="50"/>
        <v>0.48350332601820289</v>
      </c>
      <c r="H3210" s="24" t="s">
        <v>589</v>
      </c>
      <c r="I3210" s="24" t="s">
        <v>596</v>
      </c>
      <c r="J3210" s="24" t="s">
        <v>597</v>
      </c>
      <c r="K3210" s="24" t="s">
        <v>613</v>
      </c>
    </row>
    <row r="3211" spans="1:11">
      <c r="A3211" s="12">
        <v>2023</v>
      </c>
      <c r="B3211" s="15" t="s">
        <v>21</v>
      </c>
      <c r="C3211" s="15" t="s">
        <v>49</v>
      </c>
      <c r="D3211" s="15" t="s">
        <v>50</v>
      </c>
      <c r="E3211" s="19">
        <v>244160</v>
      </c>
      <c r="F3211" s="19">
        <v>244081</v>
      </c>
      <c r="G3211" s="20">
        <f t="shared" si="50"/>
        <v>0.49991909733103118</v>
      </c>
      <c r="H3211" s="24" t="s">
        <v>589</v>
      </c>
      <c r="I3211" s="24" t="s">
        <v>596</v>
      </c>
      <c r="J3211" s="24" t="s">
        <v>597</v>
      </c>
      <c r="K3211" s="24" t="s">
        <v>613</v>
      </c>
    </row>
    <row r="3212" spans="1:11">
      <c r="A3212" s="12">
        <v>2023</v>
      </c>
      <c r="B3212" s="15" t="s">
        <v>21</v>
      </c>
      <c r="C3212" s="15" t="s">
        <v>51</v>
      </c>
      <c r="D3212" s="15" t="s">
        <v>52</v>
      </c>
      <c r="E3212" s="19">
        <v>333004</v>
      </c>
      <c r="F3212" s="19">
        <v>319849</v>
      </c>
      <c r="G3212" s="20">
        <f t="shared" si="50"/>
        <v>0.48992499077127621</v>
      </c>
      <c r="H3212" s="24" t="s">
        <v>589</v>
      </c>
      <c r="I3212" s="24" t="s">
        <v>596</v>
      </c>
      <c r="J3212" s="24" t="s">
        <v>597</v>
      </c>
      <c r="K3212" s="24" t="s">
        <v>613</v>
      </c>
    </row>
    <row r="3213" spans="1:11">
      <c r="A3213" s="12">
        <v>2023</v>
      </c>
      <c r="B3213" s="15" t="s">
        <v>21</v>
      </c>
      <c r="C3213" s="15" t="s">
        <v>53</v>
      </c>
      <c r="D3213" s="15" t="s">
        <v>54</v>
      </c>
      <c r="E3213" s="19">
        <v>222510</v>
      </c>
      <c r="F3213" s="19">
        <v>218715</v>
      </c>
      <c r="G3213" s="20">
        <f t="shared" si="50"/>
        <v>0.49569947305796364</v>
      </c>
      <c r="H3213" s="24" t="s">
        <v>589</v>
      </c>
      <c r="I3213" s="24" t="s">
        <v>596</v>
      </c>
      <c r="J3213" s="24" t="s">
        <v>597</v>
      </c>
      <c r="K3213" s="24" t="s">
        <v>613</v>
      </c>
    </row>
    <row r="3214" spans="1:11">
      <c r="A3214" s="12">
        <v>2023</v>
      </c>
      <c r="B3214" s="15" t="s">
        <v>21</v>
      </c>
      <c r="C3214" s="15" t="s">
        <v>55</v>
      </c>
      <c r="D3214" s="15" t="s">
        <v>56</v>
      </c>
      <c r="E3214" s="19">
        <v>346798</v>
      </c>
      <c r="F3214" s="19">
        <v>325238</v>
      </c>
      <c r="G3214" s="20">
        <f t="shared" si="50"/>
        <v>0.48395919266229787</v>
      </c>
      <c r="H3214" s="24" t="s">
        <v>589</v>
      </c>
      <c r="I3214" s="24" t="s">
        <v>596</v>
      </c>
      <c r="J3214" s="24" t="s">
        <v>597</v>
      </c>
      <c r="K3214" s="24" t="s">
        <v>613</v>
      </c>
    </row>
    <row r="3215" spans="1:11">
      <c r="A3215" s="12">
        <v>2023</v>
      </c>
      <c r="B3215" s="15" t="s">
        <v>21</v>
      </c>
      <c r="C3215" s="15" t="s">
        <v>57</v>
      </c>
      <c r="D3215" s="15" t="s">
        <v>58</v>
      </c>
      <c r="E3215" s="19">
        <v>560755</v>
      </c>
      <c r="F3215" s="19">
        <v>450623</v>
      </c>
      <c r="G3215" s="20">
        <f t="shared" si="50"/>
        <v>0.44555349236388375</v>
      </c>
      <c r="H3215" s="24" t="s">
        <v>589</v>
      </c>
      <c r="I3215" s="24" t="s">
        <v>596</v>
      </c>
      <c r="J3215" s="24" t="s">
        <v>597</v>
      </c>
      <c r="K3215" s="24" t="s">
        <v>613</v>
      </c>
    </row>
    <row r="3216" spans="1:11">
      <c r="A3216" s="12">
        <v>2023</v>
      </c>
      <c r="B3216" s="15" t="s">
        <v>21</v>
      </c>
      <c r="C3216" s="15" t="s">
        <v>59</v>
      </c>
      <c r="D3216" s="15" t="s">
        <v>60</v>
      </c>
      <c r="E3216" s="19">
        <v>363138</v>
      </c>
      <c r="F3216" s="19">
        <v>324441</v>
      </c>
      <c r="G3216" s="20">
        <f t="shared" si="50"/>
        <v>0.47185996081904769</v>
      </c>
      <c r="H3216" s="24" t="s">
        <v>589</v>
      </c>
      <c r="I3216" s="24" t="s">
        <v>596</v>
      </c>
      <c r="J3216" s="24" t="s">
        <v>597</v>
      </c>
      <c r="K3216" s="24" t="s">
        <v>613</v>
      </c>
    </row>
    <row r="3217" spans="1:11">
      <c r="A3217" s="12">
        <v>2023</v>
      </c>
      <c r="B3217" s="15" t="s">
        <v>21</v>
      </c>
      <c r="C3217" s="15" t="s">
        <v>61</v>
      </c>
      <c r="D3217" s="15" t="s">
        <v>62</v>
      </c>
      <c r="E3217" s="19">
        <v>329438</v>
      </c>
      <c r="F3217" s="19">
        <v>293760</v>
      </c>
      <c r="G3217" s="20">
        <f t="shared" si="50"/>
        <v>0.47137506859778111</v>
      </c>
      <c r="H3217" s="24" t="s">
        <v>589</v>
      </c>
      <c r="I3217" s="24" t="s">
        <v>596</v>
      </c>
      <c r="J3217" s="24" t="s">
        <v>597</v>
      </c>
      <c r="K3217" s="24" t="s">
        <v>613</v>
      </c>
    </row>
    <row r="3218" spans="1:11">
      <c r="A3218" s="12">
        <v>2023</v>
      </c>
      <c r="B3218" s="15" t="s">
        <v>21</v>
      </c>
      <c r="C3218" s="15" t="s">
        <v>63</v>
      </c>
      <c r="D3218" s="15" t="s">
        <v>64</v>
      </c>
      <c r="E3218" s="19">
        <v>159221</v>
      </c>
      <c r="F3218" s="19">
        <v>175216</v>
      </c>
      <c r="G3218" s="20">
        <f t="shared" si="50"/>
        <v>0.52391332298758808</v>
      </c>
      <c r="H3218" s="24" t="s">
        <v>589</v>
      </c>
      <c r="I3218" s="24" t="s">
        <v>596</v>
      </c>
      <c r="J3218" s="24" t="s">
        <v>597</v>
      </c>
      <c r="K3218" s="24" t="s">
        <v>613</v>
      </c>
    </row>
    <row r="3219" spans="1:11">
      <c r="A3219" s="12">
        <v>2023</v>
      </c>
      <c r="B3219" s="15" t="s">
        <v>21</v>
      </c>
      <c r="C3219" s="15" t="s">
        <v>65</v>
      </c>
      <c r="D3219" s="15" t="s">
        <v>66</v>
      </c>
      <c r="E3219" s="19">
        <v>396553</v>
      </c>
      <c r="F3219" s="19">
        <v>302763</v>
      </c>
      <c r="G3219" s="20">
        <f t="shared" si="50"/>
        <v>0.43294161723741487</v>
      </c>
      <c r="H3219" s="24" t="s">
        <v>589</v>
      </c>
      <c r="I3219" s="24" t="s">
        <v>596</v>
      </c>
      <c r="J3219" s="24" t="s">
        <v>597</v>
      </c>
      <c r="K3219" s="24" t="s">
        <v>613</v>
      </c>
    </row>
    <row r="3220" spans="1:11">
      <c r="A3220" s="12">
        <v>2023</v>
      </c>
      <c r="B3220" s="15" t="s">
        <v>21</v>
      </c>
      <c r="C3220" s="15" t="s">
        <v>67</v>
      </c>
      <c r="D3220" s="15" t="s">
        <v>68</v>
      </c>
      <c r="E3220" s="19">
        <v>110723</v>
      </c>
      <c r="F3220" s="19">
        <v>114749</v>
      </c>
      <c r="G3220" s="20">
        <f t="shared" si="50"/>
        <v>0.50892793783707069</v>
      </c>
      <c r="H3220" s="24" t="s">
        <v>589</v>
      </c>
      <c r="I3220" s="24" t="s">
        <v>596</v>
      </c>
      <c r="J3220" s="24" t="s">
        <v>597</v>
      </c>
      <c r="K3220" s="24" t="s">
        <v>613</v>
      </c>
    </row>
    <row r="3221" spans="1:11">
      <c r="A3221" s="12">
        <v>2023</v>
      </c>
      <c r="B3221" s="15" t="s">
        <v>21</v>
      </c>
      <c r="C3221" s="15" t="s">
        <v>69</v>
      </c>
      <c r="D3221" s="15" t="s">
        <v>70</v>
      </c>
      <c r="E3221" s="19">
        <v>97634</v>
      </c>
      <c r="F3221" s="19">
        <v>104852</v>
      </c>
      <c r="G3221" s="20">
        <f t="shared" si="50"/>
        <v>0.51782345446104916</v>
      </c>
      <c r="H3221" s="24" t="s">
        <v>589</v>
      </c>
      <c r="I3221" s="24" t="s">
        <v>596</v>
      </c>
      <c r="J3221" s="24" t="s">
        <v>597</v>
      </c>
      <c r="K3221" s="24" t="s">
        <v>613</v>
      </c>
    </row>
    <row r="3222" spans="1:11">
      <c r="A3222" s="12">
        <v>2023</v>
      </c>
      <c r="B3222" s="15" t="s">
        <v>21</v>
      </c>
      <c r="C3222" s="15" t="s">
        <v>71</v>
      </c>
      <c r="D3222" s="15" t="s">
        <v>72</v>
      </c>
      <c r="E3222" s="19">
        <v>321647</v>
      </c>
      <c r="F3222" s="19">
        <v>268619</v>
      </c>
      <c r="G3222" s="20">
        <f t="shared" si="50"/>
        <v>0.45508126844507391</v>
      </c>
      <c r="H3222" s="24" t="s">
        <v>589</v>
      </c>
      <c r="I3222" s="24" t="s">
        <v>596</v>
      </c>
      <c r="J3222" s="24" t="s">
        <v>597</v>
      </c>
      <c r="K3222" s="24" t="s">
        <v>613</v>
      </c>
    </row>
    <row r="3223" spans="1:11">
      <c r="A3223" s="12">
        <v>2023</v>
      </c>
      <c r="B3223" s="15" t="s">
        <v>73</v>
      </c>
      <c r="C3223" s="15" t="s">
        <v>22</v>
      </c>
      <c r="D3223" s="15" t="s">
        <v>73</v>
      </c>
      <c r="E3223" s="19">
        <v>3102524</v>
      </c>
      <c r="F3223" s="19">
        <v>673785</v>
      </c>
      <c r="G3223" s="20">
        <f t="shared" si="50"/>
        <v>0.17842422322961388</v>
      </c>
      <c r="H3223" s="24" t="s">
        <v>603</v>
      </c>
      <c r="I3223" s="24" t="s">
        <v>604</v>
      </c>
      <c r="J3223" s="24" t="s">
        <v>605</v>
      </c>
      <c r="K3223" s="24" t="s">
        <v>613</v>
      </c>
    </row>
    <row r="3224" spans="1:11">
      <c r="A3224" s="12">
        <v>2023</v>
      </c>
      <c r="B3224" s="15" t="s">
        <v>73</v>
      </c>
      <c r="C3224" s="15" t="s">
        <v>29</v>
      </c>
      <c r="D3224" s="15" t="s">
        <v>74</v>
      </c>
      <c r="E3224" s="19">
        <v>115179</v>
      </c>
      <c r="F3224" s="19">
        <v>111101</v>
      </c>
      <c r="G3224" s="20">
        <f t="shared" si="50"/>
        <v>0.49098904012727596</v>
      </c>
      <c r="H3224" s="24" t="s">
        <v>603</v>
      </c>
      <c r="I3224" s="24" t="s">
        <v>604</v>
      </c>
      <c r="J3224" s="24" t="s">
        <v>605</v>
      </c>
      <c r="K3224" s="24" t="s">
        <v>613</v>
      </c>
    </row>
    <row r="3225" spans="1:11">
      <c r="A3225" s="12">
        <v>2023</v>
      </c>
      <c r="B3225" s="15" t="s">
        <v>73</v>
      </c>
      <c r="C3225" s="15" t="s">
        <v>75</v>
      </c>
      <c r="D3225" s="15" t="s">
        <v>76</v>
      </c>
      <c r="E3225" s="19">
        <v>182418</v>
      </c>
      <c r="F3225" s="19">
        <v>163814</v>
      </c>
      <c r="G3225" s="20">
        <f t="shared" si="50"/>
        <v>0.47313362138681575</v>
      </c>
      <c r="H3225" s="24" t="s">
        <v>603</v>
      </c>
      <c r="I3225" s="24" t="s">
        <v>604</v>
      </c>
      <c r="J3225" s="24" t="s">
        <v>605</v>
      </c>
      <c r="K3225" s="24" t="s">
        <v>613</v>
      </c>
    </row>
    <row r="3226" spans="1:11">
      <c r="A3226" s="12">
        <v>2023</v>
      </c>
      <c r="B3226" s="15" t="s">
        <v>73</v>
      </c>
      <c r="C3226" s="15" t="s">
        <v>77</v>
      </c>
      <c r="D3226" s="15" t="s">
        <v>78</v>
      </c>
      <c r="E3226" s="19">
        <v>152775</v>
      </c>
      <c r="F3226" s="19">
        <v>120192</v>
      </c>
      <c r="G3226" s="20">
        <f t="shared" si="50"/>
        <v>0.44031696139093734</v>
      </c>
      <c r="H3226" s="24" t="s">
        <v>603</v>
      </c>
      <c r="I3226" s="24" t="s">
        <v>604</v>
      </c>
      <c r="J3226" s="24" t="s">
        <v>605</v>
      </c>
      <c r="K3226" s="24" t="s">
        <v>613</v>
      </c>
    </row>
    <row r="3227" spans="1:11">
      <c r="A3227" s="12">
        <v>2023</v>
      </c>
      <c r="B3227" s="15" t="s">
        <v>73</v>
      </c>
      <c r="C3227" s="15" t="s">
        <v>79</v>
      </c>
      <c r="D3227" s="15" t="s">
        <v>80</v>
      </c>
      <c r="E3227" s="19">
        <v>214283</v>
      </c>
      <c r="F3227" s="19">
        <v>189248</v>
      </c>
      <c r="G3227" s="20">
        <f t="shared" si="50"/>
        <v>0.4689800783582922</v>
      </c>
      <c r="H3227" s="24" t="s">
        <v>603</v>
      </c>
      <c r="I3227" s="24" t="s">
        <v>604</v>
      </c>
      <c r="J3227" s="24" t="s">
        <v>605</v>
      </c>
      <c r="K3227" s="24" t="s">
        <v>613</v>
      </c>
    </row>
    <row r="3228" spans="1:11">
      <c r="A3228" s="12">
        <v>2023</v>
      </c>
      <c r="B3228" s="15" t="s">
        <v>73</v>
      </c>
      <c r="C3228" s="15" t="s">
        <v>81</v>
      </c>
      <c r="D3228" s="15" t="s">
        <v>82</v>
      </c>
      <c r="E3228" s="19">
        <v>69390</v>
      </c>
      <c r="F3228" s="19">
        <v>70194</v>
      </c>
      <c r="G3228" s="20">
        <f t="shared" si="50"/>
        <v>0.50287998624484187</v>
      </c>
      <c r="H3228" s="24" t="s">
        <v>603</v>
      </c>
      <c r="I3228" s="24" t="s">
        <v>604</v>
      </c>
      <c r="J3228" s="24" t="s">
        <v>605</v>
      </c>
      <c r="K3228" s="24" t="s">
        <v>613</v>
      </c>
    </row>
    <row r="3229" spans="1:11">
      <c r="A3229" s="12">
        <v>2023</v>
      </c>
      <c r="B3229" s="15" t="s">
        <v>73</v>
      </c>
      <c r="C3229" s="15" t="s">
        <v>83</v>
      </c>
      <c r="D3229" s="15" t="s">
        <v>84</v>
      </c>
      <c r="E3229" s="19">
        <v>231224</v>
      </c>
      <c r="F3229" s="19">
        <v>200671</v>
      </c>
      <c r="G3229" s="20">
        <f t="shared" si="50"/>
        <v>0.46462913439609166</v>
      </c>
      <c r="H3229" s="24" t="s">
        <v>603</v>
      </c>
      <c r="I3229" s="24" t="s">
        <v>604</v>
      </c>
      <c r="J3229" s="24" t="s">
        <v>605</v>
      </c>
      <c r="K3229" s="24" t="s">
        <v>613</v>
      </c>
    </row>
    <row r="3230" spans="1:11">
      <c r="A3230" s="12">
        <v>2023</v>
      </c>
      <c r="B3230" s="15" t="s">
        <v>73</v>
      </c>
      <c r="C3230" s="15" t="s">
        <v>85</v>
      </c>
      <c r="D3230" s="15" t="s">
        <v>86</v>
      </c>
      <c r="E3230" s="19">
        <v>306498</v>
      </c>
      <c r="F3230" s="19">
        <v>245546</v>
      </c>
      <c r="G3230" s="20">
        <f t="shared" si="50"/>
        <v>0.44479425553035629</v>
      </c>
      <c r="H3230" s="24" t="s">
        <v>603</v>
      </c>
      <c r="I3230" s="24" t="s">
        <v>604</v>
      </c>
      <c r="J3230" s="24" t="s">
        <v>605</v>
      </c>
      <c r="K3230" s="24" t="s">
        <v>613</v>
      </c>
    </row>
    <row r="3231" spans="1:11">
      <c r="A3231" s="12">
        <v>2023</v>
      </c>
      <c r="B3231" s="15" t="s">
        <v>73</v>
      </c>
      <c r="C3231" s="15" t="s">
        <v>87</v>
      </c>
      <c r="D3231" s="15" t="s">
        <v>88</v>
      </c>
      <c r="E3231" s="19">
        <v>239979</v>
      </c>
      <c r="F3231" s="19">
        <v>174142</v>
      </c>
      <c r="G3231" s="20">
        <f t="shared" si="50"/>
        <v>0.42050994757570853</v>
      </c>
      <c r="H3231" s="24" t="s">
        <v>603</v>
      </c>
      <c r="I3231" s="24" t="s">
        <v>604</v>
      </c>
      <c r="J3231" s="24" t="s">
        <v>605</v>
      </c>
      <c r="K3231" s="24" t="s">
        <v>613</v>
      </c>
    </row>
    <row r="3232" spans="1:11">
      <c r="A3232" s="12">
        <v>2023</v>
      </c>
      <c r="B3232" s="15" t="s">
        <v>73</v>
      </c>
      <c r="C3232" s="15" t="s">
        <v>89</v>
      </c>
      <c r="D3232" s="15" t="s">
        <v>90</v>
      </c>
      <c r="E3232" s="19">
        <v>167123</v>
      </c>
      <c r="F3232" s="19">
        <v>155884</v>
      </c>
      <c r="G3232" s="20">
        <f t="shared" si="50"/>
        <v>0.48260254421730797</v>
      </c>
      <c r="H3232" s="24" t="s">
        <v>603</v>
      </c>
      <c r="I3232" s="24" t="s">
        <v>604</v>
      </c>
      <c r="J3232" s="24" t="s">
        <v>605</v>
      </c>
      <c r="K3232" s="24" t="s">
        <v>613</v>
      </c>
    </row>
    <row r="3233" spans="1:11">
      <c r="A3233" s="12">
        <v>2023</v>
      </c>
      <c r="B3233" s="15" t="s">
        <v>73</v>
      </c>
      <c r="C3233" s="15" t="s">
        <v>91</v>
      </c>
      <c r="D3233" s="15" t="s">
        <v>92</v>
      </c>
      <c r="E3233" s="19">
        <v>260677</v>
      </c>
      <c r="F3233" s="19">
        <v>195572</v>
      </c>
      <c r="G3233" s="20">
        <f t="shared" si="50"/>
        <v>0.4286518984151198</v>
      </c>
      <c r="H3233" s="24" t="s">
        <v>603</v>
      </c>
      <c r="I3233" s="24" t="s">
        <v>604</v>
      </c>
      <c r="J3233" s="24" t="s">
        <v>605</v>
      </c>
      <c r="K3233" s="24" t="s">
        <v>613</v>
      </c>
    </row>
    <row r="3234" spans="1:11">
      <c r="A3234" s="12">
        <v>2023</v>
      </c>
      <c r="B3234" s="15" t="s">
        <v>73</v>
      </c>
      <c r="C3234" s="15" t="s">
        <v>93</v>
      </c>
      <c r="D3234" s="15" t="s">
        <v>94</v>
      </c>
      <c r="E3234" s="19">
        <v>85299</v>
      </c>
      <c r="F3234" s="19">
        <v>82291</v>
      </c>
      <c r="G3234" s="20">
        <f t="shared" si="50"/>
        <v>0.49102571752491198</v>
      </c>
      <c r="H3234" s="24" t="s">
        <v>603</v>
      </c>
      <c r="I3234" s="24" t="s">
        <v>604</v>
      </c>
      <c r="J3234" s="24" t="s">
        <v>605</v>
      </c>
      <c r="K3234" s="24" t="s">
        <v>613</v>
      </c>
    </row>
    <row r="3235" spans="1:11">
      <c r="A3235" s="12">
        <v>2023</v>
      </c>
      <c r="B3235" s="15" t="s">
        <v>73</v>
      </c>
      <c r="C3235" s="15" t="s">
        <v>95</v>
      </c>
      <c r="D3235" s="15" t="s">
        <v>96</v>
      </c>
      <c r="E3235" s="19">
        <v>141343</v>
      </c>
      <c r="F3235" s="19">
        <v>133621</v>
      </c>
      <c r="G3235" s="20">
        <f t="shared" si="50"/>
        <v>0.48595816179572598</v>
      </c>
      <c r="H3235" s="24" t="s">
        <v>603</v>
      </c>
      <c r="I3235" s="24" t="s">
        <v>604</v>
      </c>
      <c r="J3235" s="24" t="s">
        <v>605</v>
      </c>
      <c r="K3235" s="24" t="s">
        <v>613</v>
      </c>
    </row>
    <row r="3236" spans="1:11">
      <c r="A3236" s="12">
        <v>2023</v>
      </c>
      <c r="B3236" s="15" t="s">
        <v>73</v>
      </c>
      <c r="C3236" s="15" t="s">
        <v>97</v>
      </c>
      <c r="D3236" s="15" t="s">
        <v>98</v>
      </c>
      <c r="E3236" s="19">
        <v>164837</v>
      </c>
      <c r="F3236" s="19">
        <v>167386</v>
      </c>
      <c r="G3236" s="20">
        <f t="shared" si="50"/>
        <v>0.50383627864416369</v>
      </c>
      <c r="H3236" s="24" t="s">
        <v>603</v>
      </c>
      <c r="I3236" s="24" t="s">
        <v>604</v>
      </c>
      <c r="J3236" s="24" t="s">
        <v>605</v>
      </c>
      <c r="K3236" s="24" t="s">
        <v>613</v>
      </c>
    </row>
    <row r="3237" spans="1:11">
      <c r="A3237" s="12">
        <v>2023</v>
      </c>
      <c r="B3237" s="15" t="s">
        <v>73</v>
      </c>
      <c r="C3237" s="15" t="s">
        <v>99</v>
      </c>
      <c r="D3237" s="15" t="s">
        <v>100</v>
      </c>
      <c r="E3237" s="19">
        <v>91149</v>
      </c>
      <c r="F3237" s="19">
        <v>75871</v>
      </c>
      <c r="G3237" s="20">
        <f t="shared" si="50"/>
        <v>0.45426296251945875</v>
      </c>
      <c r="H3237" s="24" t="s">
        <v>603</v>
      </c>
      <c r="I3237" s="24" t="s">
        <v>604</v>
      </c>
      <c r="J3237" s="24" t="s">
        <v>605</v>
      </c>
      <c r="K3237" s="24" t="s">
        <v>613</v>
      </c>
    </row>
    <row r="3238" spans="1:11">
      <c r="A3238" s="12">
        <v>2023</v>
      </c>
      <c r="B3238" s="15" t="s">
        <v>73</v>
      </c>
      <c r="C3238" s="15" t="s">
        <v>69</v>
      </c>
      <c r="D3238" s="15" t="s">
        <v>101</v>
      </c>
      <c r="E3238" s="19">
        <v>29244</v>
      </c>
      <c r="F3238" s="19">
        <v>31664</v>
      </c>
      <c r="G3238" s="20">
        <f t="shared" si="50"/>
        <v>0.51986602745123789</v>
      </c>
      <c r="H3238" s="24" t="s">
        <v>603</v>
      </c>
      <c r="I3238" s="24" t="s">
        <v>604</v>
      </c>
      <c r="J3238" s="24" t="s">
        <v>605</v>
      </c>
      <c r="K3238" s="24" t="s">
        <v>613</v>
      </c>
    </row>
    <row r="3239" spans="1:11">
      <c r="A3239" s="12">
        <v>2023</v>
      </c>
      <c r="B3239" s="15" t="s">
        <v>73</v>
      </c>
      <c r="C3239" s="15" t="s">
        <v>102</v>
      </c>
      <c r="D3239" s="15" t="s">
        <v>103</v>
      </c>
      <c r="E3239" s="19">
        <v>330332</v>
      </c>
      <c r="F3239" s="19">
        <v>249329</v>
      </c>
      <c r="G3239" s="20">
        <f t="shared" si="50"/>
        <v>0.43012898918505815</v>
      </c>
      <c r="H3239" s="24" t="s">
        <v>603</v>
      </c>
      <c r="I3239" s="24" t="s">
        <v>604</v>
      </c>
      <c r="J3239" s="24" t="s">
        <v>605</v>
      </c>
      <c r="K3239" s="24" t="s">
        <v>613</v>
      </c>
    </row>
    <row r="3240" spans="1:11">
      <c r="A3240" s="12">
        <v>2023</v>
      </c>
      <c r="B3240" s="15" t="s">
        <v>104</v>
      </c>
      <c r="C3240" s="15" t="s">
        <v>22</v>
      </c>
      <c r="D3240" s="15" t="s">
        <v>104</v>
      </c>
      <c r="E3240" s="19">
        <v>2248022</v>
      </c>
      <c r="F3240" s="19">
        <v>464224</v>
      </c>
      <c r="G3240" s="20">
        <f t="shared" si="50"/>
        <v>0.17115851585733743</v>
      </c>
      <c r="H3240" s="24" t="s">
        <v>603</v>
      </c>
      <c r="I3240" s="24" t="s">
        <v>604</v>
      </c>
      <c r="J3240" s="24" t="s">
        <v>605</v>
      </c>
      <c r="K3240" s="24" t="s">
        <v>613</v>
      </c>
    </row>
    <row r="3241" spans="1:11">
      <c r="A3241" s="12">
        <v>2023</v>
      </c>
      <c r="B3241" s="15" t="s">
        <v>104</v>
      </c>
      <c r="C3241" s="15" t="s">
        <v>105</v>
      </c>
      <c r="D3241" s="15" t="s">
        <v>106</v>
      </c>
      <c r="E3241" s="19">
        <v>15368</v>
      </c>
      <c r="F3241" s="19">
        <v>20519</v>
      </c>
      <c r="G3241" s="20">
        <f t="shared" si="50"/>
        <v>0.57176693510184751</v>
      </c>
      <c r="H3241" s="24" t="s">
        <v>603</v>
      </c>
      <c r="I3241" s="24" t="s">
        <v>604</v>
      </c>
      <c r="J3241" s="24" t="s">
        <v>605</v>
      </c>
      <c r="K3241" s="24" t="s">
        <v>613</v>
      </c>
    </row>
    <row r="3242" spans="1:11">
      <c r="A3242" s="12">
        <v>2023</v>
      </c>
      <c r="B3242" s="15" t="s">
        <v>104</v>
      </c>
      <c r="C3242" s="15" t="s">
        <v>79</v>
      </c>
      <c r="D3242" s="15" t="s">
        <v>107</v>
      </c>
      <c r="E3242" s="19">
        <v>107723</v>
      </c>
      <c r="F3242" s="19">
        <v>114376</v>
      </c>
      <c r="G3242" s="20">
        <f t="shared" si="50"/>
        <v>0.51497755505427756</v>
      </c>
      <c r="H3242" s="24" t="s">
        <v>603</v>
      </c>
      <c r="I3242" s="24" t="s">
        <v>604</v>
      </c>
      <c r="J3242" s="24" t="s">
        <v>605</v>
      </c>
      <c r="K3242" s="24" t="s">
        <v>613</v>
      </c>
    </row>
    <row r="3243" spans="1:11">
      <c r="A3243" s="12">
        <v>2023</v>
      </c>
      <c r="B3243" s="15" t="s">
        <v>104</v>
      </c>
      <c r="C3243" s="15" t="s">
        <v>108</v>
      </c>
      <c r="D3243" s="15" t="s">
        <v>109</v>
      </c>
      <c r="E3243" s="19">
        <v>470918</v>
      </c>
      <c r="F3243" s="19">
        <v>349288</v>
      </c>
      <c r="G3243" s="20">
        <f t="shared" si="50"/>
        <v>0.4258539927774242</v>
      </c>
      <c r="H3243" s="24" t="s">
        <v>603</v>
      </c>
      <c r="I3243" s="24" t="s">
        <v>604</v>
      </c>
      <c r="J3243" s="24" t="s">
        <v>605</v>
      </c>
      <c r="K3243" s="24" t="s">
        <v>613</v>
      </c>
    </row>
    <row r="3244" spans="1:11">
      <c r="A3244" s="12">
        <v>2023</v>
      </c>
      <c r="B3244" s="15" t="s">
        <v>104</v>
      </c>
      <c r="C3244" s="15" t="s">
        <v>110</v>
      </c>
      <c r="D3244" s="15" t="s">
        <v>111</v>
      </c>
      <c r="E3244" s="19">
        <v>222726</v>
      </c>
      <c r="F3244" s="19">
        <v>200229</v>
      </c>
      <c r="G3244" s="20">
        <f t="shared" si="50"/>
        <v>0.47340497216015887</v>
      </c>
      <c r="H3244" s="24" t="s">
        <v>603</v>
      </c>
      <c r="I3244" s="24" t="s">
        <v>604</v>
      </c>
      <c r="J3244" s="24" t="s">
        <v>605</v>
      </c>
      <c r="K3244" s="24" t="s">
        <v>613</v>
      </c>
    </row>
    <row r="3245" spans="1:11">
      <c r="A3245" s="12">
        <v>2023</v>
      </c>
      <c r="B3245" s="15" t="s">
        <v>104</v>
      </c>
      <c r="C3245" s="15" t="s">
        <v>81</v>
      </c>
      <c r="D3245" s="15" t="s">
        <v>112</v>
      </c>
      <c r="E3245" s="19">
        <v>291202</v>
      </c>
      <c r="F3245" s="19">
        <v>246656</v>
      </c>
      <c r="G3245" s="20">
        <f t="shared" si="50"/>
        <v>0.45858944182293465</v>
      </c>
      <c r="H3245" s="24" t="s">
        <v>603</v>
      </c>
      <c r="I3245" s="24" t="s">
        <v>604</v>
      </c>
      <c r="J3245" s="24" t="s">
        <v>605</v>
      </c>
      <c r="K3245" s="24" t="s">
        <v>613</v>
      </c>
    </row>
    <row r="3246" spans="1:11">
      <c r="A3246" s="12">
        <v>2023</v>
      </c>
      <c r="B3246" s="15" t="s">
        <v>104</v>
      </c>
      <c r="C3246" s="15" t="s">
        <v>87</v>
      </c>
      <c r="D3246" s="15" t="s">
        <v>113</v>
      </c>
      <c r="E3246" s="19">
        <v>367445</v>
      </c>
      <c r="F3246" s="19">
        <v>280816</v>
      </c>
      <c r="G3246" s="20">
        <f t="shared" si="50"/>
        <v>0.4331835479845309</v>
      </c>
      <c r="H3246" s="24" t="s">
        <v>603</v>
      </c>
      <c r="I3246" s="24" t="s">
        <v>604</v>
      </c>
      <c r="J3246" s="24" t="s">
        <v>605</v>
      </c>
      <c r="K3246" s="24" t="s">
        <v>613</v>
      </c>
    </row>
    <row r="3247" spans="1:11">
      <c r="A3247" s="12">
        <v>2023</v>
      </c>
      <c r="B3247" s="15" t="s">
        <v>104</v>
      </c>
      <c r="C3247" s="15" t="s">
        <v>93</v>
      </c>
      <c r="D3247" s="15" t="s">
        <v>114</v>
      </c>
      <c r="E3247" s="19">
        <v>127444</v>
      </c>
      <c r="F3247" s="19">
        <v>135269</v>
      </c>
      <c r="G3247" s="20">
        <f t="shared" si="50"/>
        <v>0.51489267756068413</v>
      </c>
      <c r="H3247" s="24" t="s">
        <v>603</v>
      </c>
      <c r="I3247" s="24" t="s">
        <v>604</v>
      </c>
      <c r="J3247" s="24" t="s">
        <v>605</v>
      </c>
      <c r="K3247" s="24" t="s">
        <v>613</v>
      </c>
    </row>
    <row r="3248" spans="1:11">
      <c r="A3248" s="12">
        <v>2023</v>
      </c>
      <c r="B3248" s="15" t="s">
        <v>104</v>
      </c>
      <c r="C3248" s="15" t="s">
        <v>115</v>
      </c>
      <c r="D3248" s="15" t="s">
        <v>116</v>
      </c>
      <c r="E3248" s="19">
        <v>354320</v>
      </c>
      <c r="F3248" s="19">
        <v>295294</v>
      </c>
      <c r="G3248" s="20">
        <f t="shared" si="50"/>
        <v>0.45456840523757186</v>
      </c>
      <c r="H3248" s="24" t="s">
        <v>603</v>
      </c>
      <c r="I3248" s="24" t="s">
        <v>604</v>
      </c>
      <c r="J3248" s="24" t="s">
        <v>605</v>
      </c>
      <c r="K3248" s="24" t="s">
        <v>613</v>
      </c>
    </row>
    <row r="3249" spans="1:11">
      <c r="A3249" s="12">
        <v>2023</v>
      </c>
      <c r="B3249" s="15" t="s">
        <v>104</v>
      </c>
      <c r="C3249" s="15" t="s">
        <v>69</v>
      </c>
      <c r="D3249" s="15" t="s">
        <v>117</v>
      </c>
      <c r="E3249" s="19">
        <v>70581</v>
      </c>
      <c r="F3249" s="19">
        <v>72382</v>
      </c>
      <c r="G3249" s="20">
        <f t="shared" si="50"/>
        <v>0.50629883256506925</v>
      </c>
      <c r="H3249" s="24" t="s">
        <v>603</v>
      </c>
      <c r="I3249" s="24" t="s">
        <v>604</v>
      </c>
      <c r="J3249" s="24" t="s">
        <v>605</v>
      </c>
      <c r="K3249" s="24" t="s">
        <v>613</v>
      </c>
    </row>
    <row r="3250" spans="1:11">
      <c r="A3250" s="12">
        <v>2023</v>
      </c>
      <c r="B3250" s="15" t="s">
        <v>118</v>
      </c>
      <c r="C3250" s="15" t="s">
        <v>22</v>
      </c>
      <c r="D3250" s="15" t="s">
        <v>118</v>
      </c>
      <c r="E3250" s="19">
        <v>2779248</v>
      </c>
      <c r="F3250" s="19">
        <v>1116885</v>
      </c>
      <c r="G3250" s="20">
        <f t="shared" si="50"/>
        <v>0.28666500861238564</v>
      </c>
      <c r="H3250" s="24" t="s">
        <v>589</v>
      </c>
      <c r="I3250" s="24" t="s">
        <v>596</v>
      </c>
      <c r="J3250" s="24" t="s">
        <v>597</v>
      </c>
      <c r="K3250" s="24" t="s">
        <v>613</v>
      </c>
    </row>
    <row r="3251" spans="1:11">
      <c r="A3251" s="12">
        <v>2023</v>
      </c>
      <c r="B3251" s="15" t="s">
        <v>118</v>
      </c>
      <c r="C3251" s="15" t="s">
        <v>119</v>
      </c>
      <c r="D3251" s="15" t="s">
        <v>120</v>
      </c>
      <c r="E3251" s="19">
        <v>53472</v>
      </c>
      <c r="F3251" s="19">
        <v>50900</v>
      </c>
      <c r="G3251" s="20">
        <f t="shared" si="50"/>
        <v>0.48767868777066647</v>
      </c>
      <c r="H3251" s="24" t="s">
        <v>589</v>
      </c>
      <c r="I3251" s="24" t="s">
        <v>596</v>
      </c>
      <c r="J3251" s="24" t="s">
        <v>597</v>
      </c>
      <c r="K3251" s="24" t="s">
        <v>613</v>
      </c>
    </row>
    <row r="3252" spans="1:11">
      <c r="A3252" s="12">
        <v>2023</v>
      </c>
      <c r="B3252" s="15" t="s">
        <v>118</v>
      </c>
      <c r="C3252" s="15" t="s">
        <v>121</v>
      </c>
      <c r="D3252" s="15" t="s">
        <v>122</v>
      </c>
      <c r="E3252" s="19">
        <v>241985</v>
      </c>
      <c r="F3252" s="19">
        <v>174827</v>
      </c>
      <c r="G3252" s="20">
        <f t="shared" si="50"/>
        <v>0.41943849985125187</v>
      </c>
      <c r="H3252" s="24" t="s">
        <v>589</v>
      </c>
      <c r="I3252" s="24" t="s">
        <v>596</v>
      </c>
      <c r="J3252" s="24" t="s">
        <v>597</v>
      </c>
      <c r="K3252" s="24" t="s">
        <v>613</v>
      </c>
    </row>
    <row r="3253" spans="1:11">
      <c r="A3253" s="12">
        <v>2023</v>
      </c>
      <c r="B3253" s="15" t="s">
        <v>118</v>
      </c>
      <c r="C3253" s="15" t="s">
        <v>124</v>
      </c>
      <c r="D3253" s="15" t="s">
        <v>125</v>
      </c>
      <c r="E3253" s="19">
        <v>435742</v>
      </c>
      <c r="F3253" s="19">
        <v>310190</v>
      </c>
      <c r="G3253" s="20">
        <f t="shared" si="50"/>
        <v>0.41584219473088702</v>
      </c>
      <c r="H3253" s="24" t="s">
        <v>589</v>
      </c>
      <c r="I3253" s="24" t="s">
        <v>596</v>
      </c>
      <c r="J3253" s="24" t="s">
        <v>597</v>
      </c>
      <c r="K3253" s="24" t="s">
        <v>613</v>
      </c>
    </row>
    <row r="3254" spans="1:11">
      <c r="A3254" s="12">
        <v>2023</v>
      </c>
      <c r="B3254" s="15" t="s">
        <v>118</v>
      </c>
      <c r="C3254" s="15" t="s">
        <v>81</v>
      </c>
      <c r="D3254" s="15" t="s">
        <v>126</v>
      </c>
      <c r="E3254" s="19">
        <v>46839</v>
      </c>
      <c r="F3254" s="19">
        <v>48620</v>
      </c>
      <c r="G3254" s="20">
        <f t="shared" si="50"/>
        <v>0.50932861228380766</v>
      </c>
      <c r="H3254" s="24" t="s">
        <v>589</v>
      </c>
      <c r="I3254" s="24" t="s">
        <v>596</v>
      </c>
      <c r="J3254" s="24" t="s">
        <v>597</v>
      </c>
      <c r="K3254" s="24" t="s">
        <v>613</v>
      </c>
    </row>
    <row r="3255" spans="1:11">
      <c r="A3255" s="12">
        <v>2023</v>
      </c>
      <c r="B3255" s="15" t="s">
        <v>118</v>
      </c>
      <c r="C3255" s="15" t="s">
        <v>127</v>
      </c>
      <c r="D3255" s="15" t="s">
        <v>128</v>
      </c>
      <c r="E3255" s="19">
        <v>339275</v>
      </c>
      <c r="F3255" s="19">
        <v>293876</v>
      </c>
      <c r="G3255" s="20">
        <f t="shared" si="50"/>
        <v>0.46414836271284415</v>
      </c>
      <c r="H3255" s="24" t="s">
        <v>589</v>
      </c>
      <c r="I3255" s="24" t="s">
        <v>596</v>
      </c>
      <c r="J3255" s="24" t="s">
        <v>597</v>
      </c>
      <c r="K3255" s="24" t="s">
        <v>613</v>
      </c>
    </row>
    <row r="3256" spans="1:11">
      <c r="A3256" s="12">
        <v>2023</v>
      </c>
      <c r="B3256" s="15" t="s">
        <v>118</v>
      </c>
      <c r="C3256" s="15" t="s">
        <v>129</v>
      </c>
      <c r="D3256" s="15" t="s">
        <v>130</v>
      </c>
      <c r="E3256" s="19">
        <v>429144</v>
      </c>
      <c r="F3256" s="19">
        <v>329191</v>
      </c>
      <c r="G3256" s="20">
        <f t="shared" si="50"/>
        <v>0.43409706791853203</v>
      </c>
      <c r="H3256" s="24" t="s">
        <v>589</v>
      </c>
      <c r="I3256" s="24" t="s">
        <v>596</v>
      </c>
      <c r="J3256" s="24" t="s">
        <v>597</v>
      </c>
      <c r="K3256" s="24" t="s">
        <v>613</v>
      </c>
    </row>
    <row r="3257" spans="1:11">
      <c r="A3257" s="12">
        <v>2023</v>
      </c>
      <c r="B3257" s="15" t="s">
        <v>118</v>
      </c>
      <c r="C3257" s="15" t="s">
        <v>93</v>
      </c>
      <c r="D3257" s="15" t="s">
        <v>131</v>
      </c>
      <c r="E3257" s="19">
        <v>548245</v>
      </c>
      <c r="F3257" s="19">
        <v>389305</v>
      </c>
      <c r="G3257" s="20">
        <f t="shared" si="50"/>
        <v>0.415236520718895</v>
      </c>
      <c r="H3257" s="24" t="s">
        <v>589</v>
      </c>
      <c r="I3257" s="24" t="s">
        <v>596</v>
      </c>
      <c r="J3257" s="24" t="s">
        <v>597</v>
      </c>
      <c r="K3257" s="24" t="s">
        <v>613</v>
      </c>
    </row>
    <row r="3258" spans="1:11">
      <c r="A3258" s="12">
        <v>2023</v>
      </c>
      <c r="B3258" s="15" t="s">
        <v>118</v>
      </c>
      <c r="C3258" s="15" t="s">
        <v>132</v>
      </c>
      <c r="D3258" s="15" t="s">
        <v>133</v>
      </c>
      <c r="E3258" s="19">
        <v>349057</v>
      </c>
      <c r="F3258" s="19">
        <v>260549</v>
      </c>
      <c r="G3258" s="20">
        <f t="shared" si="50"/>
        <v>0.42740557015514941</v>
      </c>
      <c r="H3258" s="24" t="s">
        <v>589</v>
      </c>
      <c r="I3258" s="24" t="s">
        <v>596</v>
      </c>
      <c r="J3258" s="24" t="s">
        <v>597</v>
      </c>
      <c r="K3258" s="24" t="s">
        <v>613</v>
      </c>
    </row>
    <row r="3259" spans="1:11">
      <c r="A3259" s="12">
        <v>2023</v>
      </c>
      <c r="B3259" s="15" t="s">
        <v>118</v>
      </c>
      <c r="C3259" s="15" t="s">
        <v>134</v>
      </c>
      <c r="D3259" s="15" t="s">
        <v>135</v>
      </c>
      <c r="E3259" s="19">
        <v>12248</v>
      </c>
      <c r="F3259" s="19">
        <v>18522</v>
      </c>
      <c r="G3259" s="20">
        <f t="shared" si="50"/>
        <v>0.60194995125121875</v>
      </c>
      <c r="H3259" s="24" t="s">
        <v>589</v>
      </c>
      <c r="I3259" s="24" t="s">
        <v>596</v>
      </c>
      <c r="J3259" s="24" t="s">
        <v>597</v>
      </c>
      <c r="K3259" s="24" t="s">
        <v>613</v>
      </c>
    </row>
    <row r="3260" spans="1:11">
      <c r="A3260" s="12">
        <v>2023</v>
      </c>
      <c r="B3260" s="15" t="s">
        <v>118</v>
      </c>
      <c r="C3260" s="15" t="s">
        <v>69</v>
      </c>
      <c r="D3260" s="15" t="s">
        <v>136</v>
      </c>
      <c r="E3260" s="19">
        <v>129460</v>
      </c>
      <c r="F3260" s="19">
        <v>114244</v>
      </c>
      <c r="G3260" s="20">
        <f t="shared" si="50"/>
        <v>0.46878180087319044</v>
      </c>
      <c r="H3260" s="24" t="s">
        <v>589</v>
      </c>
      <c r="I3260" s="24" t="s">
        <v>596</v>
      </c>
      <c r="J3260" s="24" t="s">
        <v>597</v>
      </c>
      <c r="K3260" s="24" t="s">
        <v>613</v>
      </c>
    </row>
    <row r="3261" spans="1:11">
      <c r="A3261" s="12">
        <v>2023</v>
      </c>
      <c r="B3261" s="15" t="s">
        <v>137</v>
      </c>
      <c r="C3261" s="15" t="s">
        <v>22</v>
      </c>
      <c r="D3261" s="15" t="s">
        <v>137</v>
      </c>
      <c r="E3261" s="19">
        <v>1346374</v>
      </c>
      <c r="F3261" s="19">
        <v>333422</v>
      </c>
      <c r="G3261" s="20">
        <f t="shared" si="50"/>
        <v>0.19848957849643648</v>
      </c>
      <c r="H3261" s="24" t="s">
        <v>583</v>
      </c>
      <c r="I3261" s="24" t="s">
        <v>606</v>
      </c>
      <c r="J3261" s="24" t="s">
        <v>607</v>
      </c>
      <c r="K3261" s="24" t="s">
        <v>613</v>
      </c>
    </row>
    <row r="3262" spans="1:11">
      <c r="A3262" s="12">
        <v>2023</v>
      </c>
      <c r="B3262" s="15" t="s">
        <v>137</v>
      </c>
      <c r="C3262" s="15" t="s">
        <v>138</v>
      </c>
      <c r="D3262" s="15" t="s">
        <v>139</v>
      </c>
      <c r="E3262" s="19">
        <v>362047</v>
      </c>
      <c r="F3262" s="19">
        <v>239839</v>
      </c>
      <c r="G3262" s="20">
        <f t="shared" si="50"/>
        <v>0.39847911398504038</v>
      </c>
      <c r="H3262" s="24" t="s">
        <v>583</v>
      </c>
      <c r="I3262" s="24" t="s">
        <v>606</v>
      </c>
      <c r="J3262" s="24" t="s">
        <v>607</v>
      </c>
      <c r="K3262" s="24" t="s">
        <v>613</v>
      </c>
    </row>
    <row r="3263" spans="1:11">
      <c r="A3263" s="12">
        <v>2023</v>
      </c>
      <c r="B3263" s="15" t="s">
        <v>137</v>
      </c>
      <c r="C3263" s="15" t="s">
        <v>79</v>
      </c>
      <c r="D3263" s="15" t="s">
        <v>140</v>
      </c>
      <c r="E3263" s="19">
        <v>177125</v>
      </c>
      <c r="F3263" s="19">
        <v>157501</v>
      </c>
      <c r="G3263" s="20">
        <f t="shared" si="50"/>
        <v>0.47067771183350965</v>
      </c>
      <c r="H3263" s="24" t="s">
        <v>583</v>
      </c>
      <c r="I3263" s="24" t="s">
        <v>606</v>
      </c>
      <c r="J3263" s="24" t="s">
        <v>607</v>
      </c>
      <c r="K3263" s="24" t="s">
        <v>613</v>
      </c>
    </row>
    <row r="3264" spans="1:11">
      <c r="A3264" s="12">
        <v>2023</v>
      </c>
      <c r="B3264" s="15" t="s">
        <v>137</v>
      </c>
      <c r="C3264" s="15" t="s">
        <v>81</v>
      </c>
      <c r="D3264" s="15" t="s">
        <v>141</v>
      </c>
      <c r="E3264" s="19">
        <v>85964</v>
      </c>
      <c r="F3264" s="19">
        <v>88094</v>
      </c>
      <c r="G3264" s="20">
        <f t="shared" si="50"/>
        <v>0.50611865010513735</v>
      </c>
      <c r="H3264" s="24" t="s">
        <v>583</v>
      </c>
      <c r="I3264" s="24" t="s">
        <v>606</v>
      </c>
      <c r="J3264" s="24" t="s">
        <v>607</v>
      </c>
      <c r="K3264" s="24" t="s">
        <v>613</v>
      </c>
    </row>
    <row r="3265" spans="1:11">
      <c r="A3265" s="12">
        <v>2023</v>
      </c>
      <c r="B3265" s="15" t="s">
        <v>137</v>
      </c>
      <c r="C3265" s="15" t="s">
        <v>87</v>
      </c>
      <c r="D3265" s="15" t="s">
        <v>142</v>
      </c>
      <c r="E3265" s="19">
        <v>365145</v>
      </c>
      <c r="F3265" s="19">
        <v>291208</v>
      </c>
      <c r="G3265" s="20">
        <f t="shared" si="50"/>
        <v>0.4436758878225589</v>
      </c>
      <c r="H3265" s="24" t="s">
        <v>583</v>
      </c>
      <c r="I3265" s="24" t="s">
        <v>606</v>
      </c>
      <c r="J3265" s="24" t="s">
        <v>607</v>
      </c>
      <c r="K3265" s="24" t="s">
        <v>613</v>
      </c>
    </row>
    <row r="3266" spans="1:11">
      <c r="A3266" s="12">
        <v>2023</v>
      </c>
      <c r="B3266" s="15" t="s">
        <v>137</v>
      </c>
      <c r="C3266" s="15" t="s">
        <v>93</v>
      </c>
      <c r="D3266" s="15" t="s">
        <v>143</v>
      </c>
      <c r="E3266" s="19">
        <v>247955</v>
      </c>
      <c r="F3266" s="19">
        <v>198216</v>
      </c>
      <c r="G3266" s="20">
        <f t="shared" si="50"/>
        <v>0.44426016034211097</v>
      </c>
      <c r="H3266" s="24" t="s">
        <v>583</v>
      </c>
      <c r="I3266" s="24" t="s">
        <v>606</v>
      </c>
      <c r="J3266" s="24" t="s">
        <v>607</v>
      </c>
      <c r="K3266" s="24" t="s">
        <v>613</v>
      </c>
    </row>
    <row r="3267" spans="1:11">
      <c r="A3267" s="12">
        <v>2023</v>
      </c>
      <c r="B3267" s="15" t="s">
        <v>144</v>
      </c>
      <c r="C3267" s="15" t="s">
        <v>22</v>
      </c>
      <c r="D3267" s="15" t="s">
        <v>144</v>
      </c>
      <c r="E3267" s="19">
        <v>1359966</v>
      </c>
      <c r="F3267" s="19">
        <v>360862</v>
      </c>
      <c r="G3267" s="20">
        <f t="shared" si="50"/>
        <v>0.20970253854539792</v>
      </c>
      <c r="H3267" s="24" t="s">
        <v>586</v>
      </c>
      <c r="I3267" s="24" t="s">
        <v>608</v>
      </c>
      <c r="J3267" s="24" t="s">
        <v>609</v>
      </c>
      <c r="K3267" s="24" t="s">
        <v>613</v>
      </c>
    </row>
    <row r="3268" spans="1:11">
      <c r="A3268" s="12">
        <v>2023</v>
      </c>
      <c r="B3268" s="15" t="s">
        <v>144</v>
      </c>
      <c r="C3268" s="15" t="s">
        <v>145</v>
      </c>
      <c r="D3268" s="15" t="s">
        <v>146</v>
      </c>
      <c r="E3268" s="19">
        <v>143700</v>
      </c>
      <c r="F3268" s="19">
        <v>132204</v>
      </c>
      <c r="G3268" s="20">
        <f t="shared" si="50"/>
        <v>0.47916666666666669</v>
      </c>
      <c r="H3268" s="24" t="s">
        <v>586</v>
      </c>
      <c r="I3268" s="24" t="s">
        <v>608</v>
      </c>
      <c r="J3268" s="24" t="s">
        <v>609</v>
      </c>
      <c r="K3268" s="24" t="s">
        <v>613</v>
      </c>
    </row>
    <row r="3269" spans="1:11">
      <c r="A3269" s="12">
        <v>2023</v>
      </c>
      <c r="B3269" s="15" t="s">
        <v>144</v>
      </c>
      <c r="C3269" s="15" t="s">
        <v>81</v>
      </c>
      <c r="D3269" s="15" t="s">
        <v>147</v>
      </c>
      <c r="E3269" s="19">
        <v>181728</v>
      </c>
      <c r="F3269" s="19">
        <v>175714</v>
      </c>
      <c r="G3269" s="20">
        <f t="shared" si="50"/>
        <v>0.49158744635493312</v>
      </c>
      <c r="H3269" s="24" t="s">
        <v>586</v>
      </c>
      <c r="I3269" s="24" t="s">
        <v>608</v>
      </c>
      <c r="J3269" s="24" t="s">
        <v>609</v>
      </c>
      <c r="K3269" s="24" t="s">
        <v>613</v>
      </c>
    </row>
    <row r="3270" spans="1:11">
      <c r="A3270" s="12">
        <v>2023</v>
      </c>
      <c r="B3270" s="15" t="s">
        <v>144</v>
      </c>
      <c r="C3270" s="15" t="s">
        <v>93</v>
      </c>
      <c r="D3270" s="15" t="s">
        <v>148</v>
      </c>
      <c r="E3270" s="19">
        <v>417670</v>
      </c>
      <c r="F3270" s="19">
        <v>292306</v>
      </c>
      <c r="G3270" s="20">
        <f t="shared" ref="G3270:G3333" si="51">IFERROR(F3270/(E3270+F3270),"")</f>
        <v>0.41171250859183972</v>
      </c>
      <c r="H3270" s="24" t="s">
        <v>586</v>
      </c>
      <c r="I3270" s="24" t="s">
        <v>608</v>
      </c>
      <c r="J3270" s="24" t="s">
        <v>609</v>
      </c>
      <c r="K3270" s="24" t="s">
        <v>613</v>
      </c>
    </row>
    <row r="3271" spans="1:11">
      <c r="A3271" s="12">
        <v>2023</v>
      </c>
      <c r="B3271" s="15" t="s">
        <v>144</v>
      </c>
      <c r="C3271" s="15" t="s">
        <v>149</v>
      </c>
      <c r="D3271" s="15" t="s">
        <v>150</v>
      </c>
      <c r="E3271" s="19">
        <v>318131</v>
      </c>
      <c r="F3271" s="19">
        <v>272902</v>
      </c>
      <c r="G3271" s="20">
        <f t="shared" si="51"/>
        <v>0.46173733107965209</v>
      </c>
      <c r="H3271" s="24" t="s">
        <v>586</v>
      </c>
      <c r="I3271" s="24" t="s">
        <v>608</v>
      </c>
      <c r="J3271" s="24" t="s">
        <v>609</v>
      </c>
      <c r="K3271" s="24" t="s">
        <v>613</v>
      </c>
    </row>
    <row r="3272" spans="1:11">
      <c r="A3272" s="12">
        <v>2023</v>
      </c>
      <c r="B3272" s="15" t="s">
        <v>144</v>
      </c>
      <c r="C3272" s="15" t="s">
        <v>69</v>
      </c>
      <c r="D3272" s="15" t="s">
        <v>151</v>
      </c>
      <c r="E3272" s="19">
        <v>189830</v>
      </c>
      <c r="F3272" s="19">
        <v>169864</v>
      </c>
      <c r="G3272" s="20">
        <f t="shared" si="51"/>
        <v>0.47224585341985131</v>
      </c>
      <c r="H3272" s="24" t="s">
        <v>586</v>
      </c>
      <c r="I3272" s="24" t="s">
        <v>608</v>
      </c>
      <c r="J3272" s="24" t="s">
        <v>609</v>
      </c>
      <c r="K3272" s="24" t="s">
        <v>613</v>
      </c>
    </row>
    <row r="3273" spans="1:11">
      <c r="A3273" s="12">
        <v>2023</v>
      </c>
      <c r="B3273" s="15" t="s">
        <v>152</v>
      </c>
      <c r="C3273" s="15" t="s">
        <v>22</v>
      </c>
      <c r="D3273" s="15" t="s">
        <v>152</v>
      </c>
      <c r="E3273" s="19">
        <v>1044763</v>
      </c>
      <c r="F3273" s="19">
        <v>266538</v>
      </c>
      <c r="G3273" s="20">
        <f t="shared" si="51"/>
        <v>0.20326225633931491</v>
      </c>
      <c r="H3273" s="24" t="s">
        <v>603</v>
      </c>
      <c r="I3273" s="24" t="s">
        <v>604</v>
      </c>
      <c r="J3273" s="24" t="s">
        <v>605</v>
      </c>
      <c r="K3273" s="24" t="s">
        <v>613</v>
      </c>
    </row>
    <row r="3274" spans="1:11">
      <c r="A3274" s="12">
        <v>2023</v>
      </c>
      <c r="B3274" s="15" t="s">
        <v>152</v>
      </c>
      <c r="C3274" s="15" t="s">
        <v>79</v>
      </c>
      <c r="D3274" s="15" t="s">
        <v>153</v>
      </c>
      <c r="E3274" s="19">
        <v>281195</v>
      </c>
      <c r="F3274" s="19">
        <v>167185</v>
      </c>
      <c r="G3274" s="20">
        <f t="shared" si="51"/>
        <v>0.37286453454658997</v>
      </c>
      <c r="H3274" s="24" t="s">
        <v>603</v>
      </c>
      <c r="I3274" s="24" t="s">
        <v>604</v>
      </c>
      <c r="J3274" s="24" t="s">
        <v>605</v>
      </c>
      <c r="K3274" s="24" t="s">
        <v>613</v>
      </c>
    </row>
    <row r="3275" spans="1:11">
      <c r="A3275" s="12">
        <v>2023</v>
      </c>
      <c r="B3275" s="15" t="s">
        <v>152</v>
      </c>
      <c r="C3275" s="15" t="s">
        <v>81</v>
      </c>
      <c r="D3275" s="15" t="s">
        <v>154</v>
      </c>
      <c r="E3275" s="19">
        <v>140802</v>
      </c>
      <c r="F3275" s="19">
        <v>85913</v>
      </c>
      <c r="G3275" s="20">
        <f t="shared" si="51"/>
        <v>0.3789471362724125</v>
      </c>
      <c r="H3275" s="24" t="s">
        <v>603</v>
      </c>
      <c r="I3275" s="24" t="s">
        <v>604</v>
      </c>
      <c r="J3275" s="24" t="s">
        <v>605</v>
      </c>
      <c r="K3275" s="24" t="s">
        <v>613</v>
      </c>
    </row>
    <row r="3276" spans="1:11">
      <c r="A3276" s="12">
        <v>2023</v>
      </c>
      <c r="B3276" s="15" t="s">
        <v>152</v>
      </c>
      <c r="C3276" s="15" t="s">
        <v>87</v>
      </c>
      <c r="D3276" s="15" t="s">
        <v>155</v>
      </c>
      <c r="E3276" s="19">
        <v>186387</v>
      </c>
      <c r="F3276" s="19">
        <v>157315</v>
      </c>
      <c r="G3276" s="20">
        <f t="shared" si="51"/>
        <v>0.45770754898138505</v>
      </c>
      <c r="H3276" s="24" t="s">
        <v>603</v>
      </c>
      <c r="I3276" s="24" t="s">
        <v>604</v>
      </c>
      <c r="J3276" s="24" t="s">
        <v>605</v>
      </c>
      <c r="K3276" s="24" t="s">
        <v>613</v>
      </c>
    </row>
    <row r="3277" spans="1:11">
      <c r="A3277" s="12">
        <v>2023</v>
      </c>
      <c r="B3277" s="15" t="s">
        <v>152</v>
      </c>
      <c r="C3277" s="15" t="s">
        <v>156</v>
      </c>
      <c r="D3277" s="15" t="s">
        <v>157</v>
      </c>
      <c r="E3277" s="19">
        <v>174001</v>
      </c>
      <c r="F3277" s="19">
        <v>175788</v>
      </c>
      <c r="G3277" s="20">
        <f t="shared" si="51"/>
        <v>0.5025543970793821</v>
      </c>
      <c r="H3277" s="24" t="s">
        <v>603</v>
      </c>
      <c r="I3277" s="24" t="s">
        <v>604</v>
      </c>
      <c r="J3277" s="24" t="s">
        <v>605</v>
      </c>
      <c r="K3277" s="24" t="s">
        <v>613</v>
      </c>
    </row>
    <row r="3278" spans="1:11">
      <c r="A3278" s="12">
        <v>2023</v>
      </c>
      <c r="B3278" s="15" t="s">
        <v>152</v>
      </c>
      <c r="C3278" s="15" t="s">
        <v>69</v>
      </c>
      <c r="D3278" s="15" t="s">
        <v>158</v>
      </c>
      <c r="E3278" s="19">
        <v>176330</v>
      </c>
      <c r="F3278" s="19">
        <v>159278</v>
      </c>
      <c r="G3278" s="20">
        <f t="shared" si="51"/>
        <v>0.47459536125479729</v>
      </c>
      <c r="H3278" s="24" t="s">
        <v>603</v>
      </c>
      <c r="I3278" s="24" t="s">
        <v>604</v>
      </c>
      <c r="J3278" s="24" t="s">
        <v>605</v>
      </c>
      <c r="K3278" s="24" t="s">
        <v>613</v>
      </c>
    </row>
    <row r="3279" spans="1:11">
      <c r="A3279" s="12">
        <v>2023</v>
      </c>
      <c r="B3279" s="15" t="s">
        <v>159</v>
      </c>
      <c r="C3279" s="15" t="s">
        <v>22</v>
      </c>
      <c r="D3279" s="15" t="s">
        <v>159</v>
      </c>
      <c r="E3279" s="19">
        <v>345577</v>
      </c>
      <c r="F3279" s="19">
        <v>223100</v>
      </c>
      <c r="G3279" s="20">
        <f t="shared" si="51"/>
        <v>0.39231409042391374</v>
      </c>
      <c r="H3279" s="24" t="s">
        <v>586</v>
      </c>
      <c r="I3279" s="24" t="s">
        <v>608</v>
      </c>
      <c r="J3279" s="24" t="s">
        <v>609</v>
      </c>
      <c r="K3279" s="24" t="s">
        <v>613</v>
      </c>
    </row>
    <row r="3280" spans="1:11">
      <c r="A3280" s="12">
        <v>2023</v>
      </c>
      <c r="B3280" s="15" t="s">
        <v>160</v>
      </c>
      <c r="C3280" s="15" t="s">
        <v>22</v>
      </c>
      <c r="D3280" s="15" t="s">
        <v>160</v>
      </c>
      <c r="E3280" s="19">
        <v>12870957</v>
      </c>
      <c r="F3280" s="19">
        <v>5064030</v>
      </c>
      <c r="G3280" s="20">
        <f t="shared" si="51"/>
        <v>0.28235481854544975</v>
      </c>
      <c r="H3280" s="24" t="s">
        <v>589</v>
      </c>
      <c r="I3280" s="24" t="s">
        <v>596</v>
      </c>
      <c r="J3280" s="24" t="s">
        <v>597</v>
      </c>
      <c r="K3280" s="24" t="s">
        <v>613</v>
      </c>
    </row>
    <row r="3281" spans="1:11">
      <c r="A3281" s="12">
        <v>2023</v>
      </c>
      <c r="B3281" s="15" t="s">
        <v>160</v>
      </c>
      <c r="C3281" s="15" t="s">
        <v>161</v>
      </c>
      <c r="D3281" s="15" t="s">
        <v>162</v>
      </c>
      <c r="E3281" s="19">
        <v>49112</v>
      </c>
      <c r="F3281" s="19">
        <v>48949</v>
      </c>
      <c r="G3281" s="20">
        <f t="shared" si="51"/>
        <v>0.49916888467382547</v>
      </c>
      <c r="H3281" s="24" t="s">
        <v>589</v>
      </c>
      <c r="I3281" s="24" t="s">
        <v>591</v>
      </c>
      <c r="J3281" s="24" t="s">
        <v>592</v>
      </c>
      <c r="K3281" s="24" t="s">
        <v>613</v>
      </c>
    </row>
    <row r="3282" spans="1:11">
      <c r="A3282" s="12">
        <v>2023</v>
      </c>
      <c r="B3282" s="15" t="s">
        <v>160</v>
      </c>
      <c r="C3282" s="15" t="s">
        <v>163</v>
      </c>
      <c r="D3282" s="15" t="s">
        <v>164</v>
      </c>
      <c r="E3282" s="19">
        <v>419401</v>
      </c>
      <c r="F3282" s="19">
        <v>348365</v>
      </c>
      <c r="G3282" s="20">
        <f t="shared" si="51"/>
        <v>0.45373850886858758</v>
      </c>
      <c r="H3282" s="24" t="s">
        <v>589</v>
      </c>
      <c r="I3282" s="24" t="s">
        <v>591</v>
      </c>
      <c r="J3282" s="24" t="s">
        <v>592</v>
      </c>
      <c r="K3282" s="24" t="s">
        <v>613</v>
      </c>
    </row>
    <row r="3283" spans="1:11">
      <c r="A3283" s="12">
        <v>2023</v>
      </c>
      <c r="B3283" s="15" t="s">
        <v>160</v>
      </c>
      <c r="C3283" s="15" t="s">
        <v>167</v>
      </c>
      <c r="D3283" s="15" t="s">
        <v>168</v>
      </c>
      <c r="E3283" s="19">
        <v>240179</v>
      </c>
      <c r="F3283" s="19">
        <v>209304</v>
      </c>
      <c r="G3283" s="20">
        <f t="shared" si="51"/>
        <v>0.46565498583928649</v>
      </c>
      <c r="H3283" s="24" t="s">
        <v>589</v>
      </c>
      <c r="I3283" s="24" t="s">
        <v>591</v>
      </c>
      <c r="J3283" s="24" t="s">
        <v>592</v>
      </c>
      <c r="K3283" s="24" t="s">
        <v>613</v>
      </c>
    </row>
    <row r="3284" spans="1:11">
      <c r="A3284" s="12">
        <v>2023</v>
      </c>
      <c r="B3284" s="15" t="s">
        <v>160</v>
      </c>
      <c r="C3284" s="15" t="s">
        <v>169</v>
      </c>
      <c r="D3284" s="15" t="s">
        <v>170</v>
      </c>
      <c r="E3284" s="19">
        <v>242775</v>
      </c>
      <c r="F3284" s="19">
        <v>212273</v>
      </c>
      <c r="G3284" s="20">
        <f t="shared" si="51"/>
        <v>0.46648485434503612</v>
      </c>
      <c r="H3284" s="24" t="s">
        <v>589</v>
      </c>
      <c r="I3284" s="24" t="s">
        <v>591</v>
      </c>
      <c r="J3284" s="24" t="s">
        <v>592</v>
      </c>
      <c r="K3284" s="24" t="s">
        <v>613</v>
      </c>
    </row>
    <row r="3285" spans="1:11">
      <c r="A3285" s="12">
        <v>2023</v>
      </c>
      <c r="B3285" s="15" t="s">
        <v>160</v>
      </c>
      <c r="C3285" s="15" t="s">
        <v>171</v>
      </c>
      <c r="D3285" s="15" t="s">
        <v>172</v>
      </c>
      <c r="E3285" s="19">
        <v>64337</v>
      </c>
      <c r="F3285" s="19">
        <v>67480</v>
      </c>
      <c r="G3285" s="20">
        <f t="shared" si="51"/>
        <v>0.51192183102331257</v>
      </c>
      <c r="H3285" s="24" t="s">
        <v>589</v>
      </c>
      <c r="I3285" s="24" t="s">
        <v>591</v>
      </c>
      <c r="J3285" s="24" t="s">
        <v>592</v>
      </c>
      <c r="K3285" s="24" t="s">
        <v>613</v>
      </c>
    </row>
    <row r="3286" spans="1:11">
      <c r="A3286" s="12">
        <v>2023</v>
      </c>
      <c r="B3286" s="15" t="s">
        <v>160</v>
      </c>
      <c r="C3286" s="15" t="s">
        <v>173</v>
      </c>
      <c r="D3286" s="15" t="s">
        <v>174</v>
      </c>
      <c r="E3286" s="19">
        <v>249254</v>
      </c>
      <c r="F3286" s="19">
        <v>173660</v>
      </c>
      <c r="G3286" s="20">
        <f t="shared" si="51"/>
        <v>0.41062721971842975</v>
      </c>
      <c r="H3286" s="24" t="s">
        <v>589</v>
      </c>
      <c r="I3286" s="24" t="s">
        <v>591</v>
      </c>
      <c r="J3286" s="24" t="s">
        <v>592</v>
      </c>
      <c r="K3286" s="24" t="s">
        <v>613</v>
      </c>
    </row>
    <row r="3287" spans="1:11">
      <c r="A3287" s="12">
        <v>2023</v>
      </c>
      <c r="B3287" s="15" t="s">
        <v>160</v>
      </c>
      <c r="C3287" s="15" t="s">
        <v>175</v>
      </c>
      <c r="D3287" s="15" t="s">
        <v>176</v>
      </c>
      <c r="E3287" s="19">
        <v>323834</v>
      </c>
      <c r="F3287" s="19">
        <v>274863</v>
      </c>
      <c r="G3287" s="20">
        <f t="shared" si="51"/>
        <v>0.45910201654593225</v>
      </c>
      <c r="H3287" s="24" t="s">
        <v>589</v>
      </c>
      <c r="I3287" s="24" t="s">
        <v>591</v>
      </c>
      <c r="J3287" s="24" t="s">
        <v>592</v>
      </c>
      <c r="K3287" s="24" t="s">
        <v>613</v>
      </c>
    </row>
    <row r="3288" spans="1:11">
      <c r="A3288" s="12">
        <v>2023</v>
      </c>
      <c r="B3288" s="15" t="s">
        <v>160</v>
      </c>
      <c r="C3288" s="15" t="s">
        <v>177</v>
      </c>
      <c r="D3288" s="15" t="s">
        <v>178</v>
      </c>
      <c r="E3288" s="19">
        <v>160913</v>
      </c>
      <c r="F3288" s="19">
        <v>122470</v>
      </c>
      <c r="G3288" s="20">
        <f t="shared" si="51"/>
        <v>0.43217130173651913</v>
      </c>
      <c r="H3288" s="24" t="s">
        <v>589</v>
      </c>
      <c r="I3288" s="24" t="s">
        <v>591</v>
      </c>
      <c r="J3288" s="24" t="s">
        <v>592</v>
      </c>
      <c r="K3288" s="24" t="s">
        <v>613</v>
      </c>
    </row>
    <row r="3289" spans="1:11">
      <c r="A3289" s="12">
        <v>2023</v>
      </c>
      <c r="B3289" s="15" t="s">
        <v>160</v>
      </c>
      <c r="C3289" s="15" t="s">
        <v>179</v>
      </c>
      <c r="D3289" s="15" t="s">
        <v>180</v>
      </c>
      <c r="E3289" s="19">
        <v>230116</v>
      </c>
      <c r="F3289" s="19">
        <v>171473</v>
      </c>
      <c r="G3289" s="20">
        <f t="shared" si="51"/>
        <v>0.426986296935424</v>
      </c>
      <c r="H3289" s="24" t="s">
        <v>589</v>
      </c>
      <c r="I3289" s="24" t="s">
        <v>591</v>
      </c>
      <c r="J3289" s="24" t="s">
        <v>592</v>
      </c>
      <c r="K3289" s="24" t="s">
        <v>613</v>
      </c>
    </row>
    <row r="3290" spans="1:11">
      <c r="A3290" s="12">
        <v>2023</v>
      </c>
      <c r="B3290" s="15" t="s">
        <v>160</v>
      </c>
      <c r="C3290" s="15" t="s">
        <v>181</v>
      </c>
      <c r="D3290" s="15" t="s">
        <v>182</v>
      </c>
      <c r="E3290" s="19">
        <v>439848</v>
      </c>
      <c r="F3290" s="19">
        <v>292558</v>
      </c>
      <c r="G3290" s="20">
        <f t="shared" si="51"/>
        <v>0.39944784723227283</v>
      </c>
      <c r="H3290" s="24" t="s">
        <v>589</v>
      </c>
      <c r="I3290" s="24" t="s">
        <v>591</v>
      </c>
      <c r="J3290" s="24" t="s">
        <v>592</v>
      </c>
      <c r="K3290" s="24" t="s">
        <v>613</v>
      </c>
    </row>
    <row r="3291" spans="1:11">
      <c r="A3291" s="12">
        <v>2023</v>
      </c>
      <c r="B3291" s="15" t="s">
        <v>160</v>
      </c>
      <c r="C3291" s="15" t="s">
        <v>183</v>
      </c>
      <c r="D3291" s="15" t="s">
        <v>184</v>
      </c>
      <c r="E3291" s="19">
        <v>636260</v>
      </c>
      <c r="F3291" s="19">
        <v>469966</v>
      </c>
      <c r="G3291" s="20">
        <f t="shared" si="51"/>
        <v>0.42483723940677581</v>
      </c>
      <c r="H3291" s="24" t="s">
        <v>589</v>
      </c>
      <c r="I3291" s="24" t="s">
        <v>591</v>
      </c>
      <c r="J3291" s="24" t="s">
        <v>592</v>
      </c>
      <c r="K3291" s="24" t="s">
        <v>613</v>
      </c>
    </row>
    <row r="3292" spans="1:11">
      <c r="A3292" s="12">
        <v>2023</v>
      </c>
      <c r="B3292" s="15" t="s">
        <v>160</v>
      </c>
      <c r="C3292" s="15" t="s">
        <v>185</v>
      </c>
      <c r="D3292" s="15" t="s">
        <v>186</v>
      </c>
      <c r="E3292" s="19">
        <v>76211</v>
      </c>
      <c r="F3292" s="19">
        <v>58377</v>
      </c>
      <c r="G3292" s="20">
        <f t="shared" si="51"/>
        <v>0.43374595060480875</v>
      </c>
      <c r="H3292" s="24" t="s">
        <v>589</v>
      </c>
      <c r="I3292" s="24" t="s">
        <v>591</v>
      </c>
      <c r="J3292" s="24" t="s">
        <v>592</v>
      </c>
      <c r="K3292" s="24" t="s">
        <v>613</v>
      </c>
    </row>
    <row r="3293" spans="1:11">
      <c r="A3293" s="12">
        <v>2023</v>
      </c>
      <c r="B3293" s="15" t="s">
        <v>160</v>
      </c>
      <c r="C3293" s="15" t="s">
        <v>187</v>
      </c>
      <c r="D3293" s="15" t="s">
        <v>188</v>
      </c>
      <c r="E3293" s="19">
        <v>713371</v>
      </c>
      <c r="F3293" s="19">
        <v>396248</v>
      </c>
      <c r="G3293" s="20">
        <f t="shared" si="51"/>
        <v>0.35710275328738966</v>
      </c>
      <c r="H3293" s="24" t="s">
        <v>589</v>
      </c>
      <c r="I3293" s="24" t="s">
        <v>596</v>
      </c>
      <c r="J3293" s="24" t="s">
        <v>597</v>
      </c>
      <c r="K3293" s="24" t="s">
        <v>613</v>
      </c>
    </row>
    <row r="3294" spans="1:11">
      <c r="A3294" s="12">
        <v>2023</v>
      </c>
      <c r="B3294" s="15" t="s">
        <v>160</v>
      </c>
      <c r="C3294" s="15" t="s">
        <v>195</v>
      </c>
      <c r="D3294" s="15" t="s">
        <v>196</v>
      </c>
      <c r="E3294" s="19">
        <v>420845</v>
      </c>
      <c r="F3294" s="19">
        <v>275161</v>
      </c>
      <c r="G3294" s="20">
        <f t="shared" si="51"/>
        <v>0.39534285623974508</v>
      </c>
      <c r="H3294" s="24" t="s">
        <v>589</v>
      </c>
      <c r="I3294" s="24" t="s">
        <v>596</v>
      </c>
      <c r="J3294" s="24" t="s">
        <v>597</v>
      </c>
      <c r="K3294" s="24" t="s">
        <v>613</v>
      </c>
    </row>
    <row r="3295" spans="1:11">
      <c r="A3295" s="12">
        <v>2023</v>
      </c>
      <c r="B3295" s="15" t="s">
        <v>160</v>
      </c>
      <c r="C3295" s="15" t="s">
        <v>197</v>
      </c>
      <c r="D3295" s="15" t="s">
        <v>198</v>
      </c>
      <c r="E3295" s="19">
        <v>185933</v>
      </c>
      <c r="F3295" s="19">
        <v>188453</v>
      </c>
      <c r="G3295" s="20">
        <f t="shared" si="51"/>
        <v>0.50336551046246392</v>
      </c>
      <c r="H3295" s="24" t="s">
        <v>589</v>
      </c>
      <c r="I3295" s="24" t="s">
        <v>596</v>
      </c>
      <c r="J3295" s="24" t="s">
        <v>597</v>
      </c>
      <c r="K3295" s="24" t="s">
        <v>613</v>
      </c>
    </row>
    <row r="3296" spans="1:11">
      <c r="A3296" s="12">
        <v>2023</v>
      </c>
      <c r="B3296" s="15" t="s">
        <v>160</v>
      </c>
      <c r="C3296" s="15" t="s">
        <v>199</v>
      </c>
      <c r="D3296" s="15" t="s">
        <v>200</v>
      </c>
      <c r="E3296" s="19">
        <v>163234</v>
      </c>
      <c r="F3296" s="19">
        <v>176722</v>
      </c>
      <c r="G3296" s="20">
        <f t="shared" si="51"/>
        <v>0.51983786137029497</v>
      </c>
      <c r="H3296" s="24" t="s">
        <v>589</v>
      </c>
      <c r="I3296" s="24" t="s">
        <v>596</v>
      </c>
      <c r="J3296" s="24" t="s">
        <v>597</v>
      </c>
      <c r="K3296" s="24" t="s">
        <v>613</v>
      </c>
    </row>
    <row r="3297" spans="1:11">
      <c r="A3297" s="12">
        <v>2023</v>
      </c>
      <c r="B3297" s="15" t="s">
        <v>160</v>
      </c>
      <c r="C3297" s="15" t="s">
        <v>201</v>
      </c>
      <c r="D3297" s="15" t="s">
        <v>202</v>
      </c>
      <c r="E3297" s="19">
        <v>302600</v>
      </c>
      <c r="F3297" s="19">
        <v>286520</v>
      </c>
      <c r="G3297" s="20">
        <f t="shared" si="51"/>
        <v>0.48635252580119498</v>
      </c>
      <c r="H3297" s="24" t="s">
        <v>589</v>
      </c>
      <c r="I3297" s="24" t="s">
        <v>596</v>
      </c>
      <c r="J3297" s="24" t="s">
        <v>597</v>
      </c>
      <c r="K3297" s="24" t="s">
        <v>613</v>
      </c>
    </row>
    <row r="3298" spans="1:11">
      <c r="A3298" s="12">
        <v>2023</v>
      </c>
      <c r="B3298" s="15" t="s">
        <v>160</v>
      </c>
      <c r="C3298" s="15" t="s">
        <v>203</v>
      </c>
      <c r="D3298" s="15" t="s">
        <v>204</v>
      </c>
      <c r="E3298" s="19">
        <v>313783</v>
      </c>
      <c r="F3298" s="19">
        <v>268952</v>
      </c>
      <c r="G3298" s="20">
        <f t="shared" si="51"/>
        <v>0.46153397341844921</v>
      </c>
      <c r="H3298" s="24" t="s">
        <v>589</v>
      </c>
      <c r="I3298" s="24" t="s">
        <v>596</v>
      </c>
      <c r="J3298" s="24" t="s">
        <v>597</v>
      </c>
      <c r="K3298" s="24" t="s">
        <v>613</v>
      </c>
    </row>
    <row r="3299" spans="1:11">
      <c r="A3299" s="12">
        <v>2023</v>
      </c>
      <c r="B3299" s="15" t="s">
        <v>160</v>
      </c>
      <c r="C3299" s="15" t="s">
        <v>205</v>
      </c>
      <c r="D3299" s="15" t="s">
        <v>206</v>
      </c>
      <c r="E3299" s="19">
        <v>230023</v>
      </c>
      <c r="F3299" s="19">
        <v>200909</v>
      </c>
      <c r="G3299" s="20">
        <f t="shared" si="51"/>
        <v>0.46621972840262499</v>
      </c>
      <c r="H3299" s="24" t="s">
        <v>589</v>
      </c>
      <c r="I3299" s="24" t="s">
        <v>596</v>
      </c>
      <c r="J3299" s="24" t="s">
        <v>597</v>
      </c>
      <c r="K3299" s="24" t="s">
        <v>613</v>
      </c>
    </row>
    <row r="3300" spans="1:11">
      <c r="A3300" s="12">
        <v>2023</v>
      </c>
      <c r="B3300" s="15" t="s">
        <v>160</v>
      </c>
      <c r="C3300" s="15" t="s">
        <v>207</v>
      </c>
      <c r="D3300" s="15" t="s">
        <v>208</v>
      </c>
      <c r="E3300" s="19">
        <v>166159</v>
      </c>
      <c r="F3300" s="19">
        <v>160521</v>
      </c>
      <c r="G3300" s="20">
        <f t="shared" si="51"/>
        <v>0.49137076037712746</v>
      </c>
      <c r="H3300" s="24" t="s">
        <v>589</v>
      </c>
      <c r="I3300" s="24" t="s">
        <v>596</v>
      </c>
      <c r="J3300" s="24" t="s">
        <v>597</v>
      </c>
      <c r="K3300" s="24" t="s">
        <v>613</v>
      </c>
    </row>
    <row r="3301" spans="1:11">
      <c r="A3301" s="12">
        <v>2023</v>
      </c>
      <c r="B3301" s="15" t="s">
        <v>160</v>
      </c>
      <c r="C3301" s="15" t="s">
        <v>209</v>
      </c>
      <c r="D3301" s="15" t="s">
        <v>210</v>
      </c>
      <c r="E3301" s="19">
        <v>481368</v>
      </c>
      <c r="F3301" s="19">
        <v>333677</v>
      </c>
      <c r="G3301" s="20">
        <f t="shared" si="51"/>
        <v>0.40939702715800969</v>
      </c>
      <c r="H3301" s="24" t="s">
        <v>589</v>
      </c>
      <c r="I3301" s="24" t="s">
        <v>591</v>
      </c>
      <c r="J3301" s="24" t="s">
        <v>592</v>
      </c>
      <c r="K3301" s="24" t="s">
        <v>613</v>
      </c>
    </row>
    <row r="3302" spans="1:11">
      <c r="A3302" s="12">
        <v>2023</v>
      </c>
      <c r="B3302" s="15" t="s">
        <v>160</v>
      </c>
      <c r="C3302" s="15" t="s">
        <v>211</v>
      </c>
      <c r="D3302" s="15" t="s">
        <v>212</v>
      </c>
      <c r="E3302" s="19">
        <v>291523</v>
      </c>
      <c r="F3302" s="19">
        <v>187869</v>
      </c>
      <c r="G3302" s="20">
        <f t="shared" si="51"/>
        <v>0.39189014418263135</v>
      </c>
      <c r="H3302" s="24" t="s">
        <v>589</v>
      </c>
      <c r="I3302" s="24" t="s">
        <v>591</v>
      </c>
      <c r="J3302" s="24" t="s">
        <v>592</v>
      </c>
      <c r="K3302" s="24" t="s">
        <v>613</v>
      </c>
    </row>
    <row r="3303" spans="1:11">
      <c r="A3303" s="12">
        <v>2023</v>
      </c>
      <c r="B3303" s="15" t="s">
        <v>160</v>
      </c>
      <c r="C3303" s="15" t="s">
        <v>213</v>
      </c>
      <c r="D3303" s="15" t="s">
        <v>214</v>
      </c>
      <c r="E3303" s="19">
        <v>273127</v>
      </c>
      <c r="F3303" s="19">
        <v>261263</v>
      </c>
      <c r="G3303" s="20">
        <f t="shared" si="51"/>
        <v>0.48889949287973206</v>
      </c>
      <c r="H3303" s="24" t="s">
        <v>589</v>
      </c>
      <c r="I3303" s="24" t="s">
        <v>591</v>
      </c>
      <c r="J3303" s="24" t="s">
        <v>592</v>
      </c>
      <c r="K3303" s="24" t="s">
        <v>613</v>
      </c>
    </row>
    <row r="3304" spans="1:11">
      <c r="A3304" s="12">
        <v>2023</v>
      </c>
      <c r="B3304" s="15" t="s">
        <v>160</v>
      </c>
      <c r="C3304" s="15" t="s">
        <v>215</v>
      </c>
      <c r="D3304" s="15" t="s">
        <v>216</v>
      </c>
      <c r="E3304" s="19">
        <v>168349</v>
      </c>
      <c r="F3304" s="19">
        <v>128268</v>
      </c>
      <c r="G3304" s="20">
        <f t="shared" si="51"/>
        <v>0.43243644160651612</v>
      </c>
      <c r="H3304" s="24" t="s">
        <v>589</v>
      </c>
      <c r="I3304" s="24" t="s">
        <v>591</v>
      </c>
      <c r="J3304" s="24" t="s">
        <v>592</v>
      </c>
      <c r="K3304" s="24" t="s">
        <v>613</v>
      </c>
    </row>
    <row r="3305" spans="1:11">
      <c r="A3305" s="12">
        <v>2023</v>
      </c>
      <c r="B3305" s="15" t="s">
        <v>160</v>
      </c>
      <c r="C3305" s="15" t="s">
        <v>217</v>
      </c>
      <c r="D3305" s="15" t="s">
        <v>218</v>
      </c>
      <c r="E3305" s="19">
        <v>277066</v>
      </c>
      <c r="F3305" s="19">
        <v>206476</v>
      </c>
      <c r="G3305" s="20">
        <f t="shared" si="51"/>
        <v>0.42700737474717809</v>
      </c>
      <c r="H3305" s="24" t="s">
        <v>589</v>
      </c>
      <c r="I3305" s="24" t="s">
        <v>596</v>
      </c>
      <c r="J3305" s="24" t="s">
        <v>597</v>
      </c>
      <c r="K3305" s="24" t="s">
        <v>613</v>
      </c>
    </row>
    <row r="3306" spans="1:11">
      <c r="A3306" s="12">
        <v>2023</v>
      </c>
      <c r="B3306" s="15" t="s">
        <v>160</v>
      </c>
      <c r="C3306" s="15" t="s">
        <v>219</v>
      </c>
      <c r="D3306" s="15" t="s">
        <v>220</v>
      </c>
      <c r="E3306" s="19">
        <v>191124</v>
      </c>
      <c r="F3306" s="19">
        <v>176194</v>
      </c>
      <c r="G3306" s="20">
        <f t="shared" si="51"/>
        <v>0.47967701011112984</v>
      </c>
      <c r="H3306" s="24" t="s">
        <v>589</v>
      </c>
      <c r="I3306" s="24" t="s">
        <v>596</v>
      </c>
      <c r="J3306" s="24" t="s">
        <v>597</v>
      </c>
      <c r="K3306" s="24" t="s">
        <v>613</v>
      </c>
    </row>
    <row r="3307" spans="1:11">
      <c r="A3307" s="12">
        <v>2023</v>
      </c>
      <c r="B3307" s="15" t="s">
        <v>160</v>
      </c>
      <c r="C3307" s="15" t="s">
        <v>221</v>
      </c>
      <c r="D3307" s="15" t="s">
        <v>222</v>
      </c>
      <c r="E3307" s="19">
        <v>219096</v>
      </c>
      <c r="F3307" s="19">
        <v>196706</v>
      </c>
      <c r="G3307" s="20">
        <f t="shared" si="51"/>
        <v>0.47307612757995393</v>
      </c>
      <c r="H3307" s="24" t="s">
        <v>589</v>
      </c>
      <c r="I3307" s="24" t="s">
        <v>591</v>
      </c>
      <c r="J3307" s="24" t="s">
        <v>592</v>
      </c>
      <c r="K3307" s="24" t="s">
        <v>613</v>
      </c>
    </row>
    <row r="3308" spans="1:11">
      <c r="A3308" s="12">
        <v>2023</v>
      </c>
      <c r="B3308" s="15" t="s">
        <v>160</v>
      </c>
      <c r="C3308" s="15" t="s">
        <v>223</v>
      </c>
      <c r="D3308" s="15" t="s">
        <v>224</v>
      </c>
      <c r="E3308" s="19">
        <v>95714</v>
      </c>
      <c r="F3308" s="19">
        <v>89826</v>
      </c>
      <c r="G3308" s="20">
        <f t="shared" si="51"/>
        <v>0.48413280155222593</v>
      </c>
      <c r="H3308" s="24" t="s">
        <v>589</v>
      </c>
      <c r="I3308" s="24" t="s">
        <v>591</v>
      </c>
      <c r="J3308" s="24" t="s">
        <v>592</v>
      </c>
      <c r="K3308" s="24" t="s">
        <v>613</v>
      </c>
    </row>
    <row r="3309" spans="1:11">
      <c r="A3309" s="12">
        <v>2023</v>
      </c>
      <c r="B3309" s="15" t="s">
        <v>160</v>
      </c>
      <c r="C3309" s="15" t="s">
        <v>227</v>
      </c>
      <c r="D3309" s="15" t="s">
        <v>228</v>
      </c>
      <c r="E3309" s="19">
        <v>93080</v>
      </c>
      <c r="F3309" s="19">
        <v>77061</v>
      </c>
      <c r="G3309" s="20">
        <f t="shared" si="51"/>
        <v>0.45292433922452552</v>
      </c>
      <c r="H3309" s="24" t="s">
        <v>589</v>
      </c>
      <c r="I3309" s="24" t="s">
        <v>591</v>
      </c>
      <c r="J3309" s="24" t="s">
        <v>592</v>
      </c>
      <c r="K3309" s="24" t="s">
        <v>613</v>
      </c>
    </row>
    <row r="3310" spans="1:11">
      <c r="A3310" s="12">
        <v>2023</v>
      </c>
      <c r="B3310" s="15" t="s">
        <v>160</v>
      </c>
      <c r="C3310" s="15" t="s">
        <v>229</v>
      </c>
      <c r="D3310" s="15" t="s">
        <v>230</v>
      </c>
      <c r="E3310" s="19">
        <v>32102</v>
      </c>
      <c r="F3310" s="19">
        <v>32324</v>
      </c>
      <c r="G3310" s="20">
        <f t="shared" si="51"/>
        <v>0.50172290690094057</v>
      </c>
      <c r="H3310" s="24" t="s">
        <v>589</v>
      </c>
      <c r="I3310" s="24" t="s">
        <v>591</v>
      </c>
      <c r="J3310" s="24" t="s">
        <v>592</v>
      </c>
      <c r="K3310" s="24" t="s">
        <v>613</v>
      </c>
    </row>
    <row r="3311" spans="1:11">
      <c r="A3311" s="12">
        <v>2023</v>
      </c>
      <c r="B3311" s="15" t="s">
        <v>160</v>
      </c>
      <c r="C3311" s="15" t="s">
        <v>231</v>
      </c>
      <c r="D3311" s="15" t="s">
        <v>232</v>
      </c>
      <c r="E3311" s="19">
        <v>203889</v>
      </c>
      <c r="F3311" s="19">
        <v>148300</v>
      </c>
      <c r="G3311" s="20">
        <f t="shared" si="51"/>
        <v>0.4210807265417148</v>
      </c>
      <c r="H3311" s="24" t="s">
        <v>589</v>
      </c>
      <c r="I3311" s="24" t="s">
        <v>591</v>
      </c>
      <c r="J3311" s="24" t="s">
        <v>592</v>
      </c>
      <c r="K3311" s="24" t="s">
        <v>613</v>
      </c>
    </row>
    <row r="3312" spans="1:11">
      <c r="A3312" s="12">
        <v>2023</v>
      </c>
      <c r="B3312" s="15" t="s">
        <v>160</v>
      </c>
      <c r="C3312" s="15" t="s">
        <v>235</v>
      </c>
      <c r="D3312" s="15" t="s">
        <v>236</v>
      </c>
      <c r="E3312" s="19">
        <v>358746</v>
      </c>
      <c r="F3312" s="19">
        <v>325152</v>
      </c>
      <c r="G3312" s="20">
        <f t="shared" si="51"/>
        <v>0.47543931989858135</v>
      </c>
      <c r="H3312" s="24" t="s">
        <v>589</v>
      </c>
      <c r="I3312" s="24" t="s">
        <v>591</v>
      </c>
      <c r="J3312" s="24" t="s">
        <v>592</v>
      </c>
      <c r="K3312" s="24" t="s">
        <v>613</v>
      </c>
    </row>
    <row r="3313" spans="1:11">
      <c r="A3313" s="12">
        <v>2023</v>
      </c>
      <c r="B3313" s="15" t="s">
        <v>160</v>
      </c>
      <c r="C3313" s="15" t="s">
        <v>237</v>
      </c>
      <c r="D3313" s="15" t="s">
        <v>238</v>
      </c>
      <c r="E3313" s="19">
        <v>308840</v>
      </c>
      <c r="F3313" s="19">
        <v>297431</v>
      </c>
      <c r="G3313" s="20">
        <f t="shared" si="51"/>
        <v>0.49059084138941167</v>
      </c>
      <c r="H3313" s="24" t="s">
        <v>589</v>
      </c>
      <c r="I3313" s="24" t="s">
        <v>591</v>
      </c>
      <c r="J3313" s="24" t="s">
        <v>592</v>
      </c>
      <c r="K3313" s="24" t="s">
        <v>613</v>
      </c>
    </row>
    <row r="3314" spans="1:11">
      <c r="A3314" s="12">
        <v>2023</v>
      </c>
      <c r="B3314" s="15" t="s">
        <v>160</v>
      </c>
      <c r="C3314" s="15" t="s">
        <v>239</v>
      </c>
      <c r="D3314" s="15" t="s">
        <v>240</v>
      </c>
      <c r="E3314" s="19">
        <v>219408</v>
      </c>
      <c r="F3314" s="19">
        <v>179512</v>
      </c>
      <c r="G3314" s="20">
        <f t="shared" si="51"/>
        <v>0.44999498646345132</v>
      </c>
      <c r="H3314" s="24" t="s">
        <v>589</v>
      </c>
      <c r="I3314" s="24" t="s">
        <v>591</v>
      </c>
      <c r="J3314" s="24" t="s">
        <v>592</v>
      </c>
      <c r="K3314" s="24" t="s">
        <v>613</v>
      </c>
    </row>
    <row r="3315" spans="1:11">
      <c r="A3315" s="12">
        <v>2023</v>
      </c>
      <c r="B3315" s="15" t="s">
        <v>160</v>
      </c>
      <c r="C3315" s="15" t="s">
        <v>241</v>
      </c>
      <c r="D3315" s="15" t="s">
        <v>242</v>
      </c>
      <c r="E3315" s="19">
        <v>119577</v>
      </c>
      <c r="F3315" s="19">
        <v>138313</v>
      </c>
      <c r="G3315" s="20">
        <f t="shared" si="51"/>
        <v>0.53632556516344176</v>
      </c>
      <c r="H3315" s="24" t="s">
        <v>589</v>
      </c>
      <c r="I3315" s="24" t="s">
        <v>591</v>
      </c>
      <c r="J3315" s="24" t="s">
        <v>592</v>
      </c>
      <c r="K3315" s="24" t="s">
        <v>613</v>
      </c>
    </row>
    <row r="3316" spans="1:11">
      <c r="A3316" s="12">
        <v>2023</v>
      </c>
      <c r="B3316" s="15" t="s">
        <v>160</v>
      </c>
      <c r="C3316" s="15" t="s">
        <v>243</v>
      </c>
      <c r="D3316" s="15" t="s">
        <v>244</v>
      </c>
      <c r="E3316" s="19">
        <v>410246</v>
      </c>
      <c r="F3316" s="19">
        <v>243436</v>
      </c>
      <c r="G3316" s="20">
        <f t="shared" si="51"/>
        <v>0.37240737851126388</v>
      </c>
      <c r="H3316" s="24" t="s">
        <v>589</v>
      </c>
      <c r="I3316" s="24" t="s">
        <v>596</v>
      </c>
      <c r="J3316" s="24" t="s">
        <v>597</v>
      </c>
      <c r="K3316" s="24" t="s">
        <v>613</v>
      </c>
    </row>
    <row r="3317" spans="1:11">
      <c r="A3317" s="12">
        <v>2023</v>
      </c>
      <c r="B3317" s="15" t="s">
        <v>160</v>
      </c>
      <c r="C3317" s="15" t="s">
        <v>245</v>
      </c>
      <c r="D3317" s="15" t="s">
        <v>246</v>
      </c>
      <c r="E3317" s="19">
        <v>198038</v>
      </c>
      <c r="F3317" s="19">
        <v>123742</v>
      </c>
      <c r="G3317" s="20">
        <f t="shared" si="51"/>
        <v>0.38455466467773014</v>
      </c>
      <c r="H3317" s="24" t="s">
        <v>589</v>
      </c>
      <c r="I3317" s="24" t="s">
        <v>591</v>
      </c>
      <c r="J3317" s="24" t="s">
        <v>592</v>
      </c>
      <c r="K3317" s="24" t="s">
        <v>613</v>
      </c>
    </row>
    <row r="3318" spans="1:11">
      <c r="A3318" s="12">
        <v>2023</v>
      </c>
      <c r="B3318" s="15" t="s">
        <v>160</v>
      </c>
      <c r="C3318" s="15" t="s">
        <v>247</v>
      </c>
      <c r="D3318" s="15" t="s">
        <v>248</v>
      </c>
      <c r="E3318" s="19">
        <v>438366</v>
      </c>
      <c r="F3318" s="19">
        <v>306943</v>
      </c>
      <c r="G3318" s="20">
        <f t="shared" si="51"/>
        <v>0.41183321280167018</v>
      </c>
      <c r="H3318" s="24" t="s">
        <v>589</v>
      </c>
      <c r="I3318" s="24" t="s">
        <v>591</v>
      </c>
      <c r="J3318" s="24" t="s">
        <v>592</v>
      </c>
      <c r="K3318" s="24" t="s">
        <v>613</v>
      </c>
    </row>
    <row r="3319" spans="1:11">
      <c r="A3319" s="12">
        <v>2023</v>
      </c>
      <c r="B3319" s="15" t="s">
        <v>160</v>
      </c>
      <c r="C3319" s="15" t="s">
        <v>249</v>
      </c>
      <c r="D3319" s="15" t="s">
        <v>250</v>
      </c>
      <c r="E3319" s="19">
        <v>538013</v>
      </c>
      <c r="F3319" s="19">
        <v>309906</v>
      </c>
      <c r="G3319" s="20">
        <f t="shared" si="51"/>
        <v>0.36549009987982345</v>
      </c>
      <c r="H3319" s="24" t="s">
        <v>589</v>
      </c>
      <c r="I3319" s="24" t="s">
        <v>591</v>
      </c>
      <c r="J3319" s="24" t="s">
        <v>592</v>
      </c>
      <c r="K3319" s="24" t="s">
        <v>613</v>
      </c>
    </row>
    <row r="3320" spans="1:11">
      <c r="A3320" s="12">
        <v>2023</v>
      </c>
      <c r="B3320" s="15" t="s">
        <v>160</v>
      </c>
      <c r="C3320" s="15" t="s">
        <v>251</v>
      </c>
      <c r="D3320" s="15" t="s">
        <v>252</v>
      </c>
      <c r="E3320" s="19">
        <v>123392</v>
      </c>
      <c r="F3320" s="19">
        <v>95321</v>
      </c>
      <c r="G3320" s="20">
        <f t="shared" si="51"/>
        <v>0.43582685985743874</v>
      </c>
      <c r="H3320" s="24" t="s">
        <v>589</v>
      </c>
      <c r="I3320" s="24" t="s">
        <v>591</v>
      </c>
      <c r="J3320" s="24" t="s">
        <v>592</v>
      </c>
      <c r="K3320" s="24" t="s">
        <v>613</v>
      </c>
    </row>
    <row r="3321" spans="1:11">
      <c r="A3321" s="12">
        <v>2023</v>
      </c>
      <c r="B3321" s="15" t="s">
        <v>160</v>
      </c>
      <c r="C3321" s="15" t="s">
        <v>253</v>
      </c>
      <c r="D3321" s="15" t="s">
        <v>254</v>
      </c>
      <c r="E3321" s="19">
        <v>265238</v>
      </c>
      <c r="F3321" s="19">
        <v>241229</v>
      </c>
      <c r="G3321" s="20">
        <f t="shared" si="51"/>
        <v>0.47629756726499456</v>
      </c>
      <c r="H3321" s="24" t="s">
        <v>589</v>
      </c>
      <c r="I3321" s="24" t="s">
        <v>591</v>
      </c>
      <c r="J3321" s="24" t="s">
        <v>592</v>
      </c>
      <c r="K3321" s="24" t="s">
        <v>613</v>
      </c>
    </row>
    <row r="3322" spans="1:11">
      <c r="A3322" s="12">
        <v>2023</v>
      </c>
      <c r="B3322" s="15" t="s">
        <v>160</v>
      </c>
      <c r="C3322" s="15" t="s">
        <v>255</v>
      </c>
      <c r="D3322" s="15" t="s">
        <v>256</v>
      </c>
      <c r="E3322" s="19">
        <v>848123</v>
      </c>
      <c r="F3322" s="19">
        <v>622466</v>
      </c>
      <c r="G3322" s="20">
        <f t="shared" si="51"/>
        <v>0.42327665989613683</v>
      </c>
      <c r="H3322" s="24" t="s">
        <v>589</v>
      </c>
      <c r="I3322" s="24" t="s">
        <v>591</v>
      </c>
      <c r="J3322" s="24" t="s">
        <v>592</v>
      </c>
      <c r="K3322" s="24" t="s">
        <v>613</v>
      </c>
    </row>
    <row r="3323" spans="1:11">
      <c r="A3323" s="12">
        <v>2023</v>
      </c>
      <c r="B3323" s="15" t="s">
        <v>257</v>
      </c>
      <c r="C3323" s="15" t="s">
        <v>22</v>
      </c>
      <c r="D3323" s="15" t="s">
        <v>257</v>
      </c>
      <c r="E3323" s="19">
        <v>1393726</v>
      </c>
      <c r="F3323" s="19">
        <v>476217</v>
      </c>
      <c r="G3323" s="20">
        <f t="shared" si="51"/>
        <v>0.25466925997209539</v>
      </c>
      <c r="H3323" s="24" t="s">
        <v>589</v>
      </c>
      <c r="I3323" s="24" t="s">
        <v>591</v>
      </c>
      <c r="J3323" s="24" t="s">
        <v>592</v>
      </c>
      <c r="K3323" s="24" t="s">
        <v>613</v>
      </c>
    </row>
    <row r="3324" spans="1:11">
      <c r="A3324" s="12">
        <v>2023</v>
      </c>
      <c r="B3324" s="15" t="s">
        <v>257</v>
      </c>
      <c r="C3324" s="15" t="s">
        <v>258</v>
      </c>
      <c r="D3324" s="15" t="s">
        <v>259</v>
      </c>
      <c r="E3324" s="19">
        <v>191117</v>
      </c>
      <c r="F3324" s="19">
        <v>59836</v>
      </c>
      <c r="G3324" s="20">
        <f t="shared" si="51"/>
        <v>0.23843508545424841</v>
      </c>
      <c r="H3324" s="24" t="s">
        <v>589</v>
      </c>
      <c r="I3324" s="24" t="s">
        <v>591</v>
      </c>
      <c r="J3324" s="24" t="s">
        <v>592</v>
      </c>
      <c r="K3324" s="24" t="s">
        <v>613</v>
      </c>
    </row>
    <row r="3325" spans="1:11">
      <c r="A3325" s="12">
        <v>2023</v>
      </c>
      <c r="B3325" s="15" t="s">
        <v>257</v>
      </c>
      <c r="C3325" s="15" t="s">
        <v>260</v>
      </c>
      <c r="D3325" s="15" t="s">
        <v>261</v>
      </c>
      <c r="E3325" s="19">
        <v>16723</v>
      </c>
      <c r="F3325" s="19">
        <v>24313</v>
      </c>
      <c r="G3325" s="20">
        <f t="shared" si="51"/>
        <v>0.59247977385710104</v>
      </c>
      <c r="H3325" s="24" t="s">
        <v>589</v>
      </c>
      <c r="I3325" s="24" t="s">
        <v>591</v>
      </c>
      <c r="J3325" s="24" t="s">
        <v>592</v>
      </c>
      <c r="K3325" s="24" t="s">
        <v>613</v>
      </c>
    </row>
    <row r="3326" spans="1:11">
      <c r="A3326" s="12">
        <v>2023</v>
      </c>
      <c r="B3326" s="15" t="s">
        <v>257</v>
      </c>
      <c r="C3326" s="15" t="s">
        <v>262</v>
      </c>
      <c r="D3326" s="15" t="s">
        <v>263</v>
      </c>
      <c r="E3326" s="19">
        <v>79813</v>
      </c>
      <c r="F3326" s="19">
        <v>47925</v>
      </c>
      <c r="G3326" s="20">
        <f t="shared" si="51"/>
        <v>0.37518201318323441</v>
      </c>
      <c r="H3326" s="24" t="s">
        <v>589</v>
      </c>
      <c r="I3326" s="24" t="s">
        <v>591</v>
      </c>
      <c r="J3326" s="24" t="s">
        <v>592</v>
      </c>
      <c r="K3326" s="24" t="s">
        <v>613</v>
      </c>
    </row>
    <row r="3327" spans="1:11">
      <c r="A3327" s="12">
        <v>2023</v>
      </c>
      <c r="B3327" s="15" t="s">
        <v>257</v>
      </c>
      <c r="C3327" s="15" t="s">
        <v>264</v>
      </c>
      <c r="D3327" s="15" t="s">
        <v>265</v>
      </c>
      <c r="E3327" s="19">
        <v>53648</v>
      </c>
      <c r="F3327" s="19">
        <v>41153</v>
      </c>
      <c r="G3327" s="20">
        <f t="shared" si="51"/>
        <v>0.43409879642619803</v>
      </c>
      <c r="H3327" s="24" t="s">
        <v>589</v>
      </c>
      <c r="I3327" s="24" t="s">
        <v>591</v>
      </c>
      <c r="J3327" s="24" t="s">
        <v>592</v>
      </c>
      <c r="K3327" s="24" t="s">
        <v>613</v>
      </c>
    </row>
    <row r="3328" spans="1:11">
      <c r="A3328" s="12">
        <v>2023</v>
      </c>
      <c r="B3328" s="15" t="s">
        <v>257</v>
      </c>
      <c r="C3328" s="15" t="s">
        <v>266</v>
      </c>
      <c r="D3328" s="15" t="s">
        <v>267</v>
      </c>
      <c r="E3328" s="19">
        <v>72732</v>
      </c>
      <c r="F3328" s="19">
        <v>41922</v>
      </c>
      <c r="G3328" s="20">
        <f t="shared" si="51"/>
        <v>0.36563922758909412</v>
      </c>
      <c r="H3328" s="24" t="s">
        <v>589</v>
      </c>
      <c r="I3328" s="24" t="s">
        <v>591</v>
      </c>
      <c r="J3328" s="24" t="s">
        <v>592</v>
      </c>
      <c r="K3328" s="24" t="s">
        <v>613</v>
      </c>
    </row>
    <row r="3329" spans="1:11">
      <c r="A3329" s="12">
        <v>2023</v>
      </c>
      <c r="B3329" s="15" t="s">
        <v>257</v>
      </c>
      <c r="C3329" s="15" t="s">
        <v>268</v>
      </c>
      <c r="D3329" s="15" t="s">
        <v>269</v>
      </c>
      <c r="E3329" s="19">
        <v>17287</v>
      </c>
      <c r="F3329" s="19">
        <v>17009</v>
      </c>
      <c r="G3329" s="20">
        <f t="shared" si="51"/>
        <v>0.49594704921856775</v>
      </c>
      <c r="H3329" s="24" t="s">
        <v>589</v>
      </c>
      <c r="I3329" s="24" t="s">
        <v>591</v>
      </c>
      <c r="J3329" s="24" t="s">
        <v>592</v>
      </c>
      <c r="K3329" s="24" t="s">
        <v>613</v>
      </c>
    </row>
    <row r="3330" spans="1:11">
      <c r="A3330" s="12">
        <v>2023</v>
      </c>
      <c r="B3330" s="15" t="s">
        <v>257</v>
      </c>
      <c r="C3330" s="15" t="s">
        <v>270</v>
      </c>
      <c r="D3330" s="15" t="s">
        <v>271</v>
      </c>
      <c r="E3330" s="19">
        <v>18946</v>
      </c>
      <c r="F3330" s="19">
        <v>24001</v>
      </c>
      <c r="G3330" s="20">
        <f t="shared" si="51"/>
        <v>0.55885160779565513</v>
      </c>
      <c r="H3330" s="24" t="s">
        <v>589</v>
      </c>
      <c r="I3330" s="24" t="s">
        <v>591</v>
      </c>
      <c r="J3330" s="24" t="s">
        <v>592</v>
      </c>
      <c r="K3330" s="24" t="s">
        <v>613</v>
      </c>
    </row>
    <row r="3331" spans="1:11">
      <c r="A3331" s="12">
        <v>2023</v>
      </c>
      <c r="B3331" s="15" t="s">
        <v>257</v>
      </c>
      <c r="C3331" s="15" t="s">
        <v>272</v>
      </c>
      <c r="D3331" s="15" t="s">
        <v>273</v>
      </c>
      <c r="E3331" s="19">
        <v>28718</v>
      </c>
      <c r="F3331" s="19">
        <v>29369</v>
      </c>
      <c r="G3331" s="20">
        <f t="shared" si="51"/>
        <v>0.50560366347031183</v>
      </c>
      <c r="H3331" s="24" t="s">
        <v>589</v>
      </c>
      <c r="I3331" s="24" t="s">
        <v>591</v>
      </c>
      <c r="J3331" s="24" t="s">
        <v>592</v>
      </c>
      <c r="K3331" s="24" t="s">
        <v>613</v>
      </c>
    </row>
    <row r="3332" spans="1:11">
      <c r="A3332" s="12">
        <v>2023</v>
      </c>
      <c r="B3332" s="15" t="s">
        <v>257</v>
      </c>
      <c r="C3332" s="15" t="s">
        <v>274</v>
      </c>
      <c r="D3332" s="15" t="s">
        <v>275</v>
      </c>
      <c r="E3332" s="19">
        <v>331888</v>
      </c>
      <c r="F3332" s="19">
        <v>113996</v>
      </c>
      <c r="G3332" s="20">
        <f t="shared" si="51"/>
        <v>0.25566290784150136</v>
      </c>
      <c r="H3332" s="24" t="s">
        <v>589</v>
      </c>
      <c r="I3332" s="24" t="s">
        <v>591</v>
      </c>
      <c r="J3332" s="24" t="s">
        <v>592</v>
      </c>
      <c r="K3332" s="24" t="s">
        <v>613</v>
      </c>
    </row>
    <row r="3333" spans="1:11">
      <c r="A3333" s="12">
        <v>2023</v>
      </c>
      <c r="B3333" s="15" t="s">
        <v>257</v>
      </c>
      <c r="C3333" s="15" t="s">
        <v>276</v>
      </c>
      <c r="D3333" s="15" t="s">
        <v>277</v>
      </c>
      <c r="E3333" s="19">
        <v>24898</v>
      </c>
      <c r="F3333" s="19">
        <v>26140</v>
      </c>
      <c r="G3333" s="20">
        <f t="shared" si="51"/>
        <v>0.51216740467886668</v>
      </c>
      <c r="H3333" s="24" t="s">
        <v>589</v>
      </c>
      <c r="I3333" s="24" t="s">
        <v>591</v>
      </c>
      <c r="J3333" s="24" t="s">
        <v>592</v>
      </c>
      <c r="K3333" s="24" t="s">
        <v>613</v>
      </c>
    </row>
    <row r="3334" spans="1:11">
      <c r="A3334" s="12">
        <v>2023</v>
      </c>
      <c r="B3334" s="15" t="s">
        <v>257</v>
      </c>
      <c r="C3334" s="15" t="s">
        <v>278</v>
      </c>
      <c r="D3334" s="15" t="s">
        <v>279</v>
      </c>
      <c r="E3334" s="19">
        <v>25203</v>
      </c>
      <c r="F3334" s="19">
        <v>28237</v>
      </c>
      <c r="G3334" s="20">
        <f t="shared" ref="G3334:G3397" si="52">IFERROR(F3334/(E3334+F3334),"")</f>
        <v>0.52838697604790419</v>
      </c>
      <c r="H3334" s="24" t="s">
        <v>589</v>
      </c>
      <c r="I3334" s="24" t="s">
        <v>591</v>
      </c>
      <c r="J3334" s="24" t="s">
        <v>592</v>
      </c>
      <c r="K3334" s="24" t="s">
        <v>613</v>
      </c>
    </row>
    <row r="3335" spans="1:11">
      <c r="A3335" s="12">
        <v>2023</v>
      </c>
      <c r="B3335" s="15" t="s">
        <v>257</v>
      </c>
      <c r="C3335" s="15" t="s">
        <v>280</v>
      </c>
      <c r="D3335" s="15" t="s">
        <v>281</v>
      </c>
      <c r="E3335" s="19">
        <v>34717</v>
      </c>
      <c r="F3335" s="19">
        <v>31074</v>
      </c>
      <c r="G3335" s="20">
        <f t="shared" si="52"/>
        <v>0.4723138423188582</v>
      </c>
      <c r="H3335" s="24" t="s">
        <v>589</v>
      </c>
      <c r="I3335" s="24" t="s">
        <v>591</v>
      </c>
      <c r="J3335" s="24" t="s">
        <v>592</v>
      </c>
      <c r="K3335" s="24" t="s">
        <v>613</v>
      </c>
    </row>
    <row r="3336" spans="1:11">
      <c r="A3336" s="12">
        <v>2023</v>
      </c>
      <c r="B3336" s="15" t="s">
        <v>257</v>
      </c>
      <c r="C3336" s="15" t="s">
        <v>282</v>
      </c>
      <c r="D3336" s="15" t="s">
        <v>283</v>
      </c>
      <c r="E3336" s="19">
        <v>264154</v>
      </c>
      <c r="F3336" s="19">
        <v>85205</v>
      </c>
      <c r="G3336" s="20">
        <f t="shared" si="52"/>
        <v>0.24388952338425515</v>
      </c>
      <c r="H3336" s="24" t="s">
        <v>589</v>
      </c>
      <c r="I3336" s="24" t="s">
        <v>591</v>
      </c>
      <c r="J3336" s="24" t="s">
        <v>592</v>
      </c>
      <c r="K3336" s="24" t="s">
        <v>613</v>
      </c>
    </row>
    <row r="3337" spans="1:11">
      <c r="A3337" s="12">
        <v>2023</v>
      </c>
      <c r="B3337" s="15" t="s">
        <v>257</v>
      </c>
      <c r="C3337" s="15" t="s">
        <v>284</v>
      </c>
      <c r="D3337" s="15" t="s">
        <v>285</v>
      </c>
      <c r="E3337" s="19">
        <v>33823</v>
      </c>
      <c r="F3337" s="19">
        <v>25324</v>
      </c>
      <c r="G3337" s="20">
        <f t="shared" si="52"/>
        <v>0.42815358344463794</v>
      </c>
      <c r="H3337" s="24" t="s">
        <v>589</v>
      </c>
      <c r="I3337" s="24" t="s">
        <v>591</v>
      </c>
      <c r="J3337" s="24" t="s">
        <v>592</v>
      </c>
      <c r="K3337" s="24" t="s">
        <v>613</v>
      </c>
    </row>
    <row r="3338" spans="1:11">
      <c r="A3338" s="12">
        <v>2023</v>
      </c>
      <c r="B3338" s="15" t="s">
        <v>257</v>
      </c>
      <c r="C3338" s="15" t="s">
        <v>286</v>
      </c>
      <c r="D3338" s="15" t="s">
        <v>287</v>
      </c>
      <c r="E3338" s="19">
        <v>30697</v>
      </c>
      <c r="F3338" s="19">
        <v>34149</v>
      </c>
      <c r="G3338" s="20">
        <f t="shared" si="52"/>
        <v>0.52661690775067083</v>
      </c>
      <c r="H3338" s="24" t="s">
        <v>589</v>
      </c>
      <c r="I3338" s="24" t="s">
        <v>591</v>
      </c>
      <c r="J3338" s="24" t="s">
        <v>592</v>
      </c>
      <c r="K3338" s="24" t="s">
        <v>613</v>
      </c>
    </row>
    <row r="3339" spans="1:11">
      <c r="A3339" s="12">
        <v>2023</v>
      </c>
      <c r="B3339" s="15" t="s">
        <v>257</v>
      </c>
      <c r="C3339" s="15" t="s">
        <v>288</v>
      </c>
      <c r="D3339" s="15" t="s">
        <v>289</v>
      </c>
      <c r="E3339" s="19">
        <v>54871</v>
      </c>
      <c r="F3339" s="19">
        <v>46364</v>
      </c>
      <c r="G3339" s="20">
        <f t="shared" si="52"/>
        <v>0.45798389884921226</v>
      </c>
      <c r="H3339" s="24" t="s">
        <v>589</v>
      </c>
      <c r="I3339" s="24" t="s">
        <v>591</v>
      </c>
      <c r="J3339" s="24" t="s">
        <v>592</v>
      </c>
      <c r="K3339" s="24" t="s">
        <v>613</v>
      </c>
    </row>
    <row r="3340" spans="1:11">
      <c r="A3340" s="12">
        <v>2023</v>
      </c>
      <c r="B3340" s="15" t="s">
        <v>257</v>
      </c>
      <c r="C3340" s="15" t="s">
        <v>290</v>
      </c>
      <c r="D3340" s="15" t="s">
        <v>291</v>
      </c>
      <c r="E3340" s="19">
        <v>17091</v>
      </c>
      <c r="F3340" s="19">
        <v>19718</v>
      </c>
      <c r="G3340" s="20">
        <f t="shared" si="52"/>
        <v>0.5356842076666033</v>
      </c>
      <c r="H3340" s="24" t="s">
        <v>589</v>
      </c>
      <c r="I3340" s="24" t="s">
        <v>591</v>
      </c>
      <c r="J3340" s="24" t="s">
        <v>592</v>
      </c>
      <c r="K3340" s="24" t="s">
        <v>613</v>
      </c>
    </row>
    <row r="3341" spans="1:11">
      <c r="A3341" s="12">
        <v>2023</v>
      </c>
      <c r="B3341" s="15" t="s">
        <v>257</v>
      </c>
      <c r="C3341" s="15" t="s">
        <v>292</v>
      </c>
      <c r="D3341" s="15" t="s">
        <v>293</v>
      </c>
      <c r="E3341" s="19">
        <v>36119</v>
      </c>
      <c r="F3341" s="19">
        <v>37726</v>
      </c>
      <c r="G3341" s="20">
        <f t="shared" si="52"/>
        <v>0.51088089918071633</v>
      </c>
      <c r="H3341" s="24" t="s">
        <v>589</v>
      </c>
      <c r="I3341" s="24" t="s">
        <v>591</v>
      </c>
      <c r="J3341" s="24" t="s">
        <v>592</v>
      </c>
      <c r="K3341" s="24" t="s">
        <v>613</v>
      </c>
    </row>
    <row r="3342" spans="1:11">
      <c r="A3342" s="12">
        <v>2023</v>
      </c>
      <c r="B3342" s="15" t="s">
        <v>294</v>
      </c>
      <c r="C3342" s="15" t="s">
        <v>22</v>
      </c>
      <c r="D3342" s="15" t="s">
        <v>294</v>
      </c>
      <c r="E3342" s="19">
        <v>1497023</v>
      </c>
      <c r="F3342" s="19">
        <v>534326</v>
      </c>
      <c r="G3342" s="20">
        <f t="shared" si="52"/>
        <v>0.2630399798360597</v>
      </c>
      <c r="H3342" s="24" t="s">
        <v>586</v>
      </c>
      <c r="I3342" s="24" t="s">
        <v>608</v>
      </c>
      <c r="J3342" s="24" t="s">
        <v>609</v>
      </c>
      <c r="K3342" s="24" t="s">
        <v>613</v>
      </c>
    </row>
    <row r="3343" spans="1:11">
      <c r="A3343" s="12">
        <v>2023</v>
      </c>
      <c r="B3343" s="15" t="s">
        <v>294</v>
      </c>
      <c r="C3343" s="15" t="s">
        <v>295</v>
      </c>
      <c r="D3343" s="15" t="s">
        <v>296</v>
      </c>
      <c r="E3343" s="19">
        <v>25162</v>
      </c>
      <c r="F3343" s="19">
        <v>31833</v>
      </c>
      <c r="G3343" s="20">
        <f t="shared" si="52"/>
        <v>0.55852267742784456</v>
      </c>
      <c r="H3343" s="24" t="s">
        <v>586</v>
      </c>
      <c r="I3343" s="24" t="s">
        <v>608</v>
      </c>
      <c r="J3343" s="24" t="s">
        <v>609</v>
      </c>
      <c r="K3343" s="24" t="s">
        <v>613</v>
      </c>
    </row>
    <row r="3344" spans="1:11">
      <c r="A3344" s="12">
        <v>2023</v>
      </c>
      <c r="B3344" s="15" t="s">
        <v>294</v>
      </c>
      <c r="C3344" s="15" t="s">
        <v>297</v>
      </c>
      <c r="D3344" s="15" t="s">
        <v>298</v>
      </c>
      <c r="E3344" s="19">
        <v>21034</v>
      </c>
      <c r="F3344" s="19">
        <v>23576</v>
      </c>
      <c r="G3344" s="20">
        <f t="shared" si="52"/>
        <v>0.52849136964806098</v>
      </c>
      <c r="H3344" s="24" t="s">
        <v>586</v>
      </c>
      <c r="I3344" s="24" t="s">
        <v>608</v>
      </c>
      <c r="J3344" s="24" t="s">
        <v>609</v>
      </c>
      <c r="K3344" s="24" t="s">
        <v>613</v>
      </c>
    </row>
    <row r="3345" spans="1:11">
      <c r="A3345" s="12">
        <v>2023</v>
      </c>
      <c r="B3345" s="15" t="s">
        <v>294</v>
      </c>
      <c r="C3345" s="15" t="s">
        <v>299</v>
      </c>
      <c r="D3345" s="15" t="s">
        <v>300</v>
      </c>
      <c r="E3345" s="19">
        <v>25491</v>
      </c>
      <c r="F3345" s="19">
        <v>23783</v>
      </c>
      <c r="G3345" s="20">
        <f t="shared" si="52"/>
        <v>0.4826683443601088</v>
      </c>
      <c r="H3345" s="24" t="s">
        <v>586</v>
      </c>
      <c r="I3345" s="24" t="s">
        <v>608</v>
      </c>
      <c r="J3345" s="24" t="s">
        <v>609</v>
      </c>
      <c r="K3345" s="24" t="s">
        <v>613</v>
      </c>
    </row>
    <row r="3346" spans="1:11">
      <c r="A3346" s="12">
        <v>2023</v>
      </c>
      <c r="B3346" s="15" t="s">
        <v>294</v>
      </c>
      <c r="C3346" s="15" t="s">
        <v>301</v>
      </c>
      <c r="D3346" s="15" t="s">
        <v>302</v>
      </c>
      <c r="E3346" s="19">
        <v>37243</v>
      </c>
      <c r="F3346" s="19">
        <v>31362</v>
      </c>
      <c r="G3346" s="20">
        <f t="shared" si="52"/>
        <v>0.45713869251512279</v>
      </c>
      <c r="H3346" s="24" t="s">
        <v>586</v>
      </c>
      <c r="I3346" s="24" t="s">
        <v>608</v>
      </c>
      <c r="J3346" s="24" t="s">
        <v>609</v>
      </c>
      <c r="K3346" s="24" t="s">
        <v>613</v>
      </c>
    </row>
    <row r="3347" spans="1:11">
      <c r="A3347" s="12">
        <v>2023</v>
      </c>
      <c r="B3347" s="15" t="s">
        <v>294</v>
      </c>
      <c r="C3347" s="15" t="s">
        <v>303</v>
      </c>
      <c r="D3347" s="15" t="s">
        <v>304</v>
      </c>
      <c r="E3347" s="19">
        <v>41501</v>
      </c>
      <c r="F3347" s="19">
        <v>35803</v>
      </c>
      <c r="G3347" s="20">
        <f t="shared" si="52"/>
        <v>0.46314550346683225</v>
      </c>
      <c r="H3347" s="24" t="s">
        <v>586</v>
      </c>
      <c r="I3347" s="24" t="s">
        <v>608</v>
      </c>
      <c r="J3347" s="24" t="s">
        <v>609</v>
      </c>
      <c r="K3347" s="24" t="s">
        <v>613</v>
      </c>
    </row>
    <row r="3348" spans="1:11">
      <c r="A3348" s="12">
        <v>2023</v>
      </c>
      <c r="B3348" s="15" t="s">
        <v>294</v>
      </c>
      <c r="C3348" s="15" t="s">
        <v>305</v>
      </c>
      <c r="D3348" s="15" t="s">
        <v>306</v>
      </c>
      <c r="E3348" s="19">
        <v>82389</v>
      </c>
      <c r="F3348" s="19">
        <v>74914</v>
      </c>
      <c r="G3348" s="20">
        <f t="shared" si="52"/>
        <v>0.47624012256600318</v>
      </c>
      <c r="H3348" s="24" t="s">
        <v>586</v>
      </c>
      <c r="I3348" s="24" t="s">
        <v>608</v>
      </c>
      <c r="J3348" s="24" t="s">
        <v>609</v>
      </c>
      <c r="K3348" s="24" t="s">
        <v>613</v>
      </c>
    </row>
    <row r="3349" spans="1:11">
      <c r="A3349" s="12">
        <v>2023</v>
      </c>
      <c r="B3349" s="15" t="s">
        <v>294</v>
      </c>
      <c r="C3349" s="15" t="s">
        <v>307</v>
      </c>
      <c r="D3349" s="15" t="s">
        <v>308</v>
      </c>
      <c r="E3349" s="19">
        <v>117827</v>
      </c>
      <c r="F3349" s="19">
        <v>62542</v>
      </c>
      <c r="G3349" s="20">
        <f t="shared" si="52"/>
        <v>0.34674472886138968</v>
      </c>
      <c r="H3349" s="24" t="s">
        <v>586</v>
      </c>
      <c r="I3349" s="24" t="s">
        <v>608</v>
      </c>
      <c r="J3349" s="24" t="s">
        <v>609</v>
      </c>
      <c r="K3349" s="24" t="s">
        <v>613</v>
      </c>
    </row>
    <row r="3350" spans="1:11">
      <c r="A3350" s="12">
        <v>2023</v>
      </c>
      <c r="B3350" s="15" t="s">
        <v>294</v>
      </c>
      <c r="C3350" s="15" t="s">
        <v>309</v>
      </c>
      <c r="D3350" s="15" t="s">
        <v>310</v>
      </c>
      <c r="E3350" s="19">
        <v>31784</v>
      </c>
      <c r="F3350" s="19">
        <v>28485</v>
      </c>
      <c r="G3350" s="20">
        <f t="shared" si="52"/>
        <v>0.47263103751514046</v>
      </c>
      <c r="H3350" s="24" t="s">
        <v>586</v>
      </c>
      <c r="I3350" s="24" t="s">
        <v>608</v>
      </c>
      <c r="J3350" s="24" t="s">
        <v>609</v>
      </c>
      <c r="K3350" s="24" t="s">
        <v>613</v>
      </c>
    </row>
    <row r="3351" spans="1:11">
      <c r="A3351" s="12">
        <v>2023</v>
      </c>
      <c r="B3351" s="15" t="s">
        <v>294</v>
      </c>
      <c r="C3351" s="15" t="s">
        <v>311</v>
      </c>
      <c r="D3351" s="15" t="s">
        <v>312</v>
      </c>
      <c r="E3351" s="19">
        <v>76610</v>
      </c>
      <c r="F3351" s="19">
        <v>66325</v>
      </c>
      <c r="G3351" s="20">
        <f t="shared" si="52"/>
        <v>0.46402210795116661</v>
      </c>
      <c r="H3351" s="24" t="s">
        <v>586</v>
      </c>
      <c r="I3351" s="24" t="s">
        <v>608</v>
      </c>
      <c r="J3351" s="24" t="s">
        <v>609</v>
      </c>
      <c r="K3351" s="24" t="s">
        <v>613</v>
      </c>
    </row>
    <row r="3352" spans="1:11">
      <c r="A3352" s="12">
        <v>2023</v>
      </c>
      <c r="B3352" s="15" t="s">
        <v>294</v>
      </c>
      <c r="C3352" s="15" t="s">
        <v>315</v>
      </c>
      <c r="D3352" s="15" t="s">
        <v>316</v>
      </c>
      <c r="E3352" s="19">
        <v>174429</v>
      </c>
      <c r="F3352" s="19">
        <v>144010</v>
      </c>
      <c r="G3352" s="20">
        <f t="shared" si="52"/>
        <v>0.4522373201774908</v>
      </c>
      <c r="H3352" s="24" t="s">
        <v>586</v>
      </c>
      <c r="I3352" s="24" t="s">
        <v>608</v>
      </c>
      <c r="J3352" s="24" t="s">
        <v>609</v>
      </c>
      <c r="K3352" s="24" t="s">
        <v>613</v>
      </c>
    </row>
    <row r="3353" spans="1:11">
      <c r="A3353" s="12">
        <v>2023</v>
      </c>
      <c r="B3353" s="15" t="s">
        <v>294</v>
      </c>
      <c r="C3353" s="15" t="s">
        <v>317</v>
      </c>
      <c r="D3353" s="15" t="s">
        <v>318</v>
      </c>
      <c r="E3353" s="19">
        <v>155602</v>
      </c>
      <c r="F3353" s="19">
        <v>151915</v>
      </c>
      <c r="G3353" s="20">
        <f t="shared" si="52"/>
        <v>0.49400520946809445</v>
      </c>
      <c r="H3353" s="24" t="s">
        <v>586</v>
      </c>
      <c r="I3353" s="24" t="s">
        <v>608</v>
      </c>
      <c r="J3353" s="24" t="s">
        <v>609</v>
      </c>
      <c r="K3353" s="24" t="s">
        <v>613</v>
      </c>
    </row>
    <row r="3354" spans="1:11">
      <c r="A3354" s="12">
        <v>2023</v>
      </c>
      <c r="B3354" s="15" t="s">
        <v>294</v>
      </c>
      <c r="C3354" s="15" t="s">
        <v>319</v>
      </c>
      <c r="D3354" s="15" t="s">
        <v>320</v>
      </c>
      <c r="E3354" s="19">
        <v>168442</v>
      </c>
      <c r="F3354" s="19">
        <v>131745</v>
      </c>
      <c r="G3354" s="20">
        <f t="shared" si="52"/>
        <v>0.43887643368966678</v>
      </c>
      <c r="H3354" s="24" t="s">
        <v>586</v>
      </c>
      <c r="I3354" s="24" t="s">
        <v>608</v>
      </c>
      <c r="J3354" s="24" t="s">
        <v>609</v>
      </c>
      <c r="K3354" s="24" t="s">
        <v>613</v>
      </c>
    </row>
    <row r="3355" spans="1:11">
      <c r="A3355" s="12">
        <v>2023</v>
      </c>
      <c r="B3355" s="15" t="s">
        <v>294</v>
      </c>
      <c r="C3355" s="15" t="s">
        <v>321</v>
      </c>
      <c r="D3355" s="15" t="s">
        <v>322</v>
      </c>
      <c r="E3355" s="19">
        <v>239975</v>
      </c>
      <c r="F3355" s="19">
        <v>199262</v>
      </c>
      <c r="G3355" s="20">
        <f t="shared" si="52"/>
        <v>0.45365486058779203</v>
      </c>
      <c r="H3355" s="24" t="s">
        <v>586</v>
      </c>
      <c r="I3355" s="24" t="s">
        <v>608</v>
      </c>
      <c r="J3355" s="24" t="s">
        <v>609</v>
      </c>
      <c r="K3355" s="24" t="s">
        <v>613</v>
      </c>
    </row>
    <row r="3356" spans="1:11">
      <c r="A3356" s="12">
        <v>2023</v>
      </c>
      <c r="B3356" s="15" t="s">
        <v>294</v>
      </c>
      <c r="C3356" s="15" t="s">
        <v>323</v>
      </c>
      <c r="D3356" s="15" t="s">
        <v>324</v>
      </c>
      <c r="E3356" s="19">
        <v>192882</v>
      </c>
      <c r="F3356" s="19">
        <v>84724</v>
      </c>
      <c r="G3356" s="20">
        <f t="shared" si="52"/>
        <v>0.30519513267004317</v>
      </c>
      <c r="H3356" s="24" t="s">
        <v>586</v>
      </c>
      <c r="I3356" s="24" t="s">
        <v>608</v>
      </c>
      <c r="J3356" s="24" t="s">
        <v>609</v>
      </c>
      <c r="K3356" s="24" t="s">
        <v>613</v>
      </c>
    </row>
    <row r="3357" spans="1:11">
      <c r="A3357" s="12">
        <v>2023</v>
      </c>
      <c r="B3357" s="15" t="s">
        <v>325</v>
      </c>
      <c r="C3357" s="15" t="s">
        <v>22</v>
      </c>
      <c r="D3357" s="15" t="s">
        <v>325</v>
      </c>
      <c r="E3357" s="19">
        <v>1992174</v>
      </c>
      <c r="F3357" s="19">
        <v>864327</v>
      </c>
      <c r="G3357" s="20">
        <f t="shared" si="52"/>
        <v>0.30258242514180811</v>
      </c>
      <c r="H3357" s="24" t="s">
        <v>586</v>
      </c>
      <c r="I3357" s="24" t="s">
        <v>608</v>
      </c>
      <c r="J3357" s="24" t="s">
        <v>609</v>
      </c>
      <c r="K3357" s="24" t="s">
        <v>613</v>
      </c>
    </row>
    <row r="3358" spans="1:11">
      <c r="A3358" s="12">
        <v>2023</v>
      </c>
      <c r="B3358" s="15" t="s">
        <v>325</v>
      </c>
      <c r="C3358" s="15" t="s">
        <v>326</v>
      </c>
      <c r="D3358" s="15" t="s">
        <v>327</v>
      </c>
      <c r="E3358" s="19">
        <v>37393</v>
      </c>
      <c r="F3358" s="19">
        <v>38534</v>
      </c>
      <c r="G3358" s="20">
        <f t="shared" si="52"/>
        <v>0.50751379614629843</v>
      </c>
      <c r="H3358" s="24" t="s">
        <v>586</v>
      </c>
      <c r="I3358" s="24" t="s">
        <v>608</v>
      </c>
      <c r="J3358" s="24" t="s">
        <v>609</v>
      </c>
      <c r="K3358" s="24" t="s">
        <v>613</v>
      </c>
    </row>
    <row r="3359" spans="1:11">
      <c r="A3359" s="12">
        <v>2023</v>
      </c>
      <c r="B3359" s="15" t="s">
        <v>325</v>
      </c>
      <c r="C3359" s="15" t="s">
        <v>328</v>
      </c>
      <c r="D3359" s="15" t="s">
        <v>329</v>
      </c>
      <c r="E3359" s="19">
        <v>86705</v>
      </c>
      <c r="F3359" s="19">
        <v>69191</v>
      </c>
      <c r="G3359" s="20">
        <f t="shared" si="52"/>
        <v>0.44382793657309999</v>
      </c>
      <c r="H3359" s="24" t="s">
        <v>586</v>
      </c>
      <c r="I3359" s="24" t="s">
        <v>608</v>
      </c>
      <c r="J3359" s="24" t="s">
        <v>609</v>
      </c>
      <c r="K3359" s="24" t="s">
        <v>613</v>
      </c>
    </row>
    <row r="3360" spans="1:11">
      <c r="A3360" s="12">
        <v>2023</v>
      </c>
      <c r="B3360" s="15" t="s">
        <v>325</v>
      </c>
      <c r="C3360" s="15" t="s">
        <v>330</v>
      </c>
      <c r="D3360" s="15" t="s">
        <v>331</v>
      </c>
      <c r="E3360" s="19">
        <v>42058</v>
      </c>
      <c r="F3360" s="19">
        <v>38659</v>
      </c>
      <c r="G3360" s="20">
        <f t="shared" si="52"/>
        <v>0.47894495583334368</v>
      </c>
      <c r="H3360" s="24" t="s">
        <v>586</v>
      </c>
      <c r="I3360" s="24" t="s">
        <v>608</v>
      </c>
      <c r="J3360" s="24" t="s">
        <v>609</v>
      </c>
      <c r="K3360" s="24" t="s">
        <v>613</v>
      </c>
    </row>
    <row r="3361" spans="1:11">
      <c r="A3361" s="12">
        <v>2023</v>
      </c>
      <c r="B3361" s="15" t="s">
        <v>325</v>
      </c>
      <c r="C3361" s="15" t="s">
        <v>332</v>
      </c>
      <c r="D3361" s="15" t="s">
        <v>333</v>
      </c>
      <c r="E3361" s="19">
        <v>99132</v>
      </c>
      <c r="F3361" s="19">
        <v>67579</v>
      </c>
      <c r="G3361" s="20">
        <f t="shared" si="52"/>
        <v>0.40536617259808888</v>
      </c>
      <c r="H3361" s="24" t="s">
        <v>586</v>
      </c>
      <c r="I3361" s="24" t="s">
        <v>608</v>
      </c>
      <c r="J3361" s="24" t="s">
        <v>609</v>
      </c>
      <c r="K3361" s="24" t="s">
        <v>613</v>
      </c>
    </row>
    <row r="3362" spans="1:11">
      <c r="A3362" s="12">
        <v>2023</v>
      </c>
      <c r="B3362" s="15" t="s">
        <v>325</v>
      </c>
      <c r="C3362" s="15" t="s">
        <v>336</v>
      </c>
      <c r="D3362" s="15" t="s">
        <v>337</v>
      </c>
      <c r="E3362" s="19">
        <v>155774</v>
      </c>
      <c r="F3362" s="19">
        <v>94732</v>
      </c>
      <c r="G3362" s="20">
        <f t="shared" si="52"/>
        <v>0.37816259889982673</v>
      </c>
      <c r="H3362" s="24" t="s">
        <v>586</v>
      </c>
      <c r="I3362" s="24" t="s">
        <v>608</v>
      </c>
      <c r="J3362" s="24" t="s">
        <v>609</v>
      </c>
      <c r="K3362" s="24" t="s">
        <v>613</v>
      </c>
    </row>
    <row r="3363" spans="1:11">
      <c r="A3363" s="12">
        <v>2023</v>
      </c>
      <c r="B3363" s="15" t="s">
        <v>325</v>
      </c>
      <c r="C3363" s="15" t="s">
        <v>338</v>
      </c>
      <c r="D3363" s="15" t="s">
        <v>339</v>
      </c>
      <c r="E3363" s="19">
        <v>85897</v>
      </c>
      <c r="F3363" s="19">
        <v>56244</v>
      </c>
      <c r="G3363" s="20">
        <f t="shared" si="52"/>
        <v>0.39569160200083014</v>
      </c>
      <c r="H3363" s="24" t="s">
        <v>586</v>
      </c>
      <c r="I3363" s="24" t="s">
        <v>608</v>
      </c>
      <c r="J3363" s="24" t="s">
        <v>609</v>
      </c>
      <c r="K3363" s="24" t="s">
        <v>613</v>
      </c>
    </row>
    <row r="3364" spans="1:11">
      <c r="A3364" s="12">
        <v>2023</v>
      </c>
      <c r="B3364" s="15" t="s">
        <v>325</v>
      </c>
      <c r="C3364" s="15" t="s">
        <v>340</v>
      </c>
      <c r="D3364" s="15" t="s">
        <v>341</v>
      </c>
      <c r="E3364" s="19">
        <v>51417</v>
      </c>
      <c r="F3364" s="19">
        <v>46648</v>
      </c>
      <c r="G3364" s="20">
        <f t="shared" si="52"/>
        <v>0.47568449497782084</v>
      </c>
      <c r="H3364" s="24" t="s">
        <v>586</v>
      </c>
      <c r="I3364" s="24" t="s">
        <v>608</v>
      </c>
      <c r="J3364" s="24" t="s">
        <v>609</v>
      </c>
      <c r="K3364" s="24" t="s">
        <v>613</v>
      </c>
    </row>
    <row r="3365" spans="1:11">
      <c r="A3365" s="12">
        <v>2023</v>
      </c>
      <c r="B3365" s="15" t="s">
        <v>325</v>
      </c>
      <c r="C3365" s="15" t="s">
        <v>342</v>
      </c>
      <c r="D3365" s="15" t="s">
        <v>343</v>
      </c>
      <c r="E3365" s="19">
        <v>160360</v>
      </c>
      <c r="F3365" s="19">
        <v>91735</v>
      </c>
      <c r="G3365" s="20">
        <f t="shared" si="52"/>
        <v>0.36389059679882585</v>
      </c>
      <c r="H3365" s="24" t="s">
        <v>586</v>
      </c>
      <c r="I3365" s="24" t="s">
        <v>608</v>
      </c>
      <c r="J3365" s="24" t="s">
        <v>609</v>
      </c>
      <c r="K3365" s="24" t="s">
        <v>613</v>
      </c>
    </row>
    <row r="3366" spans="1:11">
      <c r="A3366" s="12">
        <v>2023</v>
      </c>
      <c r="B3366" s="15" t="s">
        <v>325</v>
      </c>
      <c r="C3366" s="15" t="s">
        <v>344</v>
      </c>
      <c r="D3366" s="15" t="s">
        <v>345</v>
      </c>
      <c r="E3366" s="19">
        <v>42732</v>
      </c>
      <c r="F3366" s="19">
        <v>37089</v>
      </c>
      <c r="G3366" s="20">
        <f t="shared" si="52"/>
        <v>0.46465215920622394</v>
      </c>
      <c r="H3366" s="24" t="s">
        <v>586</v>
      </c>
      <c r="I3366" s="24" t="s">
        <v>608</v>
      </c>
      <c r="J3366" s="24" t="s">
        <v>609</v>
      </c>
      <c r="K3366" s="24" t="s">
        <v>613</v>
      </c>
    </row>
    <row r="3367" spans="1:11">
      <c r="A3367" s="12">
        <v>2023</v>
      </c>
      <c r="B3367" s="15" t="s">
        <v>325</v>
      </c>
      <c r="C3367" s="15" t="s">
        <v>346</v>
      </c>
      <c r="D3367" s="15" t="s">
        <v>347</v>
      </c>
      <c r="E3367" s="19">
        <v>311608</v>
      </c>
      <c r="F3367" s="19">
        <v>231660</v>
      </c>
      <c r="G3367" s="20">
        <f t="shared" si="52"/>
        <v>0.4264193731270754</v>
      </c>
      <c r="H3367" s="24" t="s">
        <v>586</v>
      </c>
      <c r="I3367" s="24" t="s">
        <v>608</v>
      </c>
      <c r="J3367" s="24" t="s">
        <v>609</v>
      </c>
      <c r="K3367" s="24" t="s">
        <v>613</v>
      </c>
    </row>
    <row r="3368" spans="1:11">
      <c r="A3368" s="12">
        <v>2023</v>
      </c>
      <c r="B3368" s="15" t="s">
        <v>325</v>
      </c>
      <c r="C3368" s="15" t="s">
        <v>350</v>
      </c>
      <c r="D3368" s="15" t="s">
        <v>351</v>
      </c>
      <c r="E3368" s="19">
        <v>64384</v>
      </c>
      <c r="F3368" s="19">
        <v>58563</v>
      </c>
      <c r="G3368" s="20">
        <f t="shared" si="52"/>
        <v>0.47632719789828137</v>
      </c>
      <c r="H3368" s="24" t="s">
        <v>586</v>
      </c>
      <c r="I3368" s="24" t="s">
        <v>608</v>
      </c>
      <c r="J3368" s="24" t="s">
        <v>609</v>
      </c>
      <c r="K3368" s="24" t="s">
        <v>613</v>
      </c>
    </row>
    <row r="3369" spans="1:11">
      <c r="A3369" s="12">
        <v>2023</v>
      </c>
      <c r="B3369" s="15" t="s">
        <v>325</v>
      </c>
      <c r="C3369" s="15" t="s">
        <v>354</v>
      </c>
      <c r="D3369" s="15" t="s">
        <v>355</v>
      </c>
      <c r="E3369" s="19">
        <v>218095</v>
      </c>
      <c r="F3369" s="19">
        <v>199604</v>
      </c>
      <c r="G3369" s="20">
        <f t="shared" si="52"/>
        <v>0.47786564009011273</v>
      </c>
      <c r="H3369" s="24" t="s">
        <v>586</v>
      </c>
      <c r="I3369" s="24" t="s">
        <v>608</v>
      </c>
      <c r="J3369" s="24" t="s">
        <v>609</v>
      </c>
      <c r="K3369" s="24" t="s">
        <v>613</v>
      </c>
    </row>
    <row r="3370" spans="1:11">
      <c r="A3370" s="12">
        <v>2023</v>
      </c>
      <c r="B3370" s="15" t="s">
        <v>325</v>
      </c>
      <c r="C3370" s="15" t="s">
        <v>356</v>
      </c>
      <c r="D3370" s="15" t="s">
        <v>357</v>
      </c>
      <c r="E3370" s="19">
        <v>360663</v>
      </c>
      <c r="F3370" s="19">
        <v>269989</v>
      </c>
      <c r="G3370" s="20">
        <f t="shared" si="52"/>
        <v>0.42811090744182212</v>
      </c>
      <c r="H3370" s="24" t="s">
        <v>586</v>
      </c>
      <c r="I3370" s="24" t="s">
        <v>608</v>
      </c>
      <c r="J3370" s="24" t="s">
        <v>609</v>
      </c>
      <c r="K3370" s="24" t="s">
        <v>613</v>
      </c>
    </row>
    <row r="3371" spans="1:11">
      <c r="A3371" s="12">
        <v>2023</v>
      </c>
      <c r="B3371" s="15" t="s">
        <v>325</v>
      </c>
      <c r="C3371" s="15" t="s">
        <v>358</v>
      </c>
      <c r="D3371" s="15" t="s">
        <v>359</v>
      </c>
      <c r="E3371" s="19">
        <v>23208</v>
      </c>
      <c r="F3371" s="19">
        <v>25635</v>
      </c>
      <c r="G3371" s="20">
        <f t="shared" si="52"/>
        <v>0.524844911246238</v>
      </c>
      <c r="H3371" s="24" t="s">
        <v>586</v>
      </c>
      <c r="I3371" s="24" t="s">
        <v>608</v>
      </c>
      <c r="J3371" s="24" t="s">
        <v>609</v>
      </c>
      <c r="K3371" s="24" t="s">
        <v>613</v>
      </c>
    </row>
    <row r="3372" spans="1:11">
      <c r="A3372" s="12">
        <v>2023</v>
      </c>
      <c r="B3372" s="15" t="s">
        <v>325</v>
      </c>
      <c r="C3372" s="15" t="s">
        <v>360</v>
      </c>
      <c r="D3372" s="15" t="s">
        <v>361</v>
      </c>
      <c r="E3372" s="19">
        <v>51532</v>
      </c>
      <c r="F3372" s="19">
        <v>45357</v>
      </c>
      <c r="G3372" s="20">
        <f t="shared" si="52"/>
        <v>0.46813363746142495</v>
      </c>
      <c r="H3372" s="24" t="s">
        <v>586</v>
      </c>
      <c r="I3372" s="24" t="s">
        <v>608</v>
      </c>
      <c r="J3372" s="24" t="s">
        <v>609</v>
      </c>
      <c r="K3372" s="24" t="s">
        <v>613</v>
      </c>
    </row>
    <row r="3373" spans="1:11">
      <c r="A3373" s="12">
        <v>2023</v>
      </c>
      <c r="B3373" s="15" t="s">
        <v>325</v>
      </c>
      <c r="C3373" s="15" t="s">
        <v>362</v>
      </c>
      <c r="D3373" s="15" t="s">
        <v>363</v>
      </c>
      <c r="E3373" s="19">
        <v>88256</v>
      </c>
      <c r="F3373" s="19">
        <v>59204</v>
      </c>
      <c r="G3373" s="20">
        <f t="shared" si="52"/>
        <v>0.40149193001491928</v>
      </c>
      <c r="H3373" s="24" t="s">
        <v>586</v>
      </c>
      <c r="I3373" s="24" t="s">
        <v>608</v>
      </c>
      <c r="J3373" s="24" t="s">
        <v>609</v>
      </c>
      <c r="K3373" s="24" t="s">
        <v>613</v>
      </c>
    </row>
    <row r="3374" spans="1:11">
      <c r="A3374" s="12">
        <v>2023</v>
      </c>
      <c r="B3374" s="15" t="s">
        <v>364</v>
      </c>
      <c r="C3374" s="15" t="s">
        <v>22</v>
      </c>
      <c r="D3374" s="15" t="s">
        <v>364</v>
      </c>
      <c r="E3374" s="19">
        <v>1656183</v>
      </c>
      <c r="F3374" s="19">
        <v>408879</v>
      </c>
      <c r="G3374" s="20">
        <f t="shared" si="52"/>
        <v>0.19799841360695225</v>
      </c>
      <c r="H3374" s="24" t="s">
        <v>583</v>
      </c>
      <c r="I3374" s="24" t="s">
        <v>606</v>
      </c>
      <c r="J3374" s="24" t="s">
        <v>607</v>
      </c>
      <c r="K3374" s="24" t="s">
        <v>613</v>
      </c>
    </row>
    <row r="3375" spans="1:11">
      <c r="A3375" s="12">
        <v>2023</v>
      </c>
      <c r="B3375" s="15" t="s">
        <v>364</v>
      </c>
      <c r="C3375" s="15" t="s">
        <v>365</v>
      </c>
      <c r="D3375" s="15" t="s">
        <v>366</v>
      </c>
      <c r="E3375" s="19">
        <v>44038</v>
      </c>
      <c r="F3375" s="19">
        <v>37257</v>
      </c>
      <c r="G3375" s="20">
        <f t="shared" si="52"/>
        <v>0.4582938680115628</v>
      </c>
      <c r="H3375" s="24" t="s">
        <v>583</v>
      </c>
      <c r="I3375" s="24" t="s">
        <v>606</v>
      </c>
      <c r="J3375" s="24" t="s">
        <v>607</v>
      </c>
      <c r="K3375" s="24" t="s">
        <v>613</v>
      </c>
    </row>
    <row r="3376" spans="1:11">
      <c r="A3376" s="12">
        <v>2023</v>
      </c>
      <c r="B3376" s="15" t="s">
        <v>364</v>
      </c>
      <c r="C3376" s="15" t="s">
        <v>367</v>
      </c>
      <c r="D3376" s="15" t="s">
        <v>368</v>
      </c>
      <c r="E3376" s="19">
        <v>241158</v>
      </c>
      <c r="F3376" s="19">
        <v>109928</v>
      </c>
      <c r="G3376" s="20">
        <f t="shared" si="52"/>
        <v>0.31310846915000884</v>
      </c>
      <c r="H3376" s="24" t="s">
        <v>583</v>
      </c>
      <c r="I3376" s="24" t="s">
        <v>606</v>
      </c>
      <c r="J3376" s="24" t="s">
        <v>607</v>
      </c>
      <c r="K3376" s="24" t="s">
        <v>613</v>
      </c>
    </row>
    <row r="3377" spans="1:11">
      <c r="A3377" s="12">
        <v>2023</v>
      </c>
      <c r="B3377" s="15" t="s">
        <v>364</v>
      </c>
      <c r="C3377" s="15" t="s">
        <v>369</v>
      </c>
      <c r="D3377" s="15" t="s">
        <v>370</v>
      </c>
      <c r="E3377" s="19">
        <v>64551</v>
      </c>
      <c r="F3377" s="19">
        <v>59341</v>
      </c>
      <c r="G3377" s="20">
        <f t="shared" si="52"/>
        <v>0.47897362218706613</v>
      </c>
      <c r="H3377" s="24" t="s">
        <v>583</v>
      </c>
      <c r="I3377" s="24" t="s">
        <v>606</v>
      </c>
      <c r="J3377" s="24" t="s">
        <v>607</v>
      </c>
      <c r="K3377" s="24" t="s">
        <v>613</v>
      </c>
    </row>
    <row r="3378" spans="1:11">
      <c r="A3378" s="12">
        <v>2023</v>
      </c>
      <c r="B3378" s="15" t="s">
        <v>364</v>
      </c>
      <c r="C3378" s="15" t="s">
        <v>371</v>
      </c>
      <c r="D3378" s="15" t="s">
        <v>372</v>
      </c>
      <c r="E3378" s="19">
        <v>68798</v>
      </c>
      <c r="F3378" s="19">
        <v>44455</v>
      </c>
      <c r="G3378" s="20">
        <f t="shared" si="52"/>
        <v>0.39252823324768438</v>
      </c>
      <c r="H3378" s="24" t="s">
        <v>583</v>
      </c>
      <c r="I3378" s="24" t="s">
        <v>606</v>
      </c>
      <c r="J3378" s="24" t="s">
        <v>607</v>
      </c>
      <c r="K3378" s="24" t="s">
        <v>613</v>
      </c>
    </row>
    <row r="3379" spans="1:11">
      <c r="A3379" s="12">
        <v>2023</v>
      </c>
      <c r="B3379" s="15" t="s">
        <v>364</v>
      </c>
      <c r="C3379" s="15" t="s">
        <v>373</v>
      </c>
      <c r="D3379" s="15" t="s">
        <v>374</v>
      </c>
      <c r="E3379" s="19">
        <v>19079</v>
      </c>
      <c r="F3379" s="19">
        <v>19224</v>
      </c>
      <c r="G3379" s="20">
        <f t="shared" si="52"/>
        <v>0.50189280213038145</v>
      </c>
      <c r="H3379" s="24" t="s">
        <v>583</v>
      </c>
      <c r="I3379" s="24" t="s">
        <v>606</v>
      </c>
      <c r="J3379" s="24" t="s">
        <v>607</v>
      </c>
      <c r="K3379" s="24" t="s">
        <v>613</v>
      </c>
    </row>
    <row r="3380" spans="1:11">
      <c r="A3380" s="12">
        <v>2023</v>
      </c>
      <c r="B3380" s="15" t="s">
        <v>364</v>
      </c>
      <c r="C3380" s="15" t="s">
        <v>375</v>
      </c>
      <c r="D3380" s="15" t="s">
        <v>376</v>
      </c>
      <c r="E3380" s="19">
        <v>42150</v>
      </c>
      <c r="F3380" s="19">
        <v>33700</v>
      </c>
      <c r="G3380" s="20">
        <f t="shared" si="52"/>
        <v>0.44429795649307846</v>
      </c>
      <c r="H3380" s="24" t="s">
        <v>583</v>
      </c>
      <c r="I3380" s="24" t="s">
        <v>606</v>
      </c>
      <c r="J3380" s="24" t="s">
        <v>607</v>
      </c>
      <c r="K3380" s="24" t="s">
        <v>613</v>
      </c>
    </row>
    <row r="3381" spans="1:11">
      <c r="A3381" s="12">
        <v>2023</v>
      </c>
      <c r="B3381" s="15" t="s">
        <v>364</v>
      </c>
      <c r="C3381" s="15" t="s">
        <v>377</v>
      </c>
      <c r="D3381" s="15" t="s">
        <v>378</v>
      </c>
      <c r="E3381" s="19">
        <v>20262</v>
      </c>
      <c r="F3381" s="19">
        <v>21882</v>
      </c>
      <c r="G3381" s="20">
        <f t="shared" si="52"/>
        <v>0.5192198177676538</v>
      </c>
      <c r="H3381" s="24" t="s">
        <v>583</v>
      </c>
      <c r="I3381" s="24" t="s">
        <v>606</v>
      </c>
      <c r="J3381" s="24" t="s">
        <v>607</v>
      </c>
      <c r="K3381" s="24" t="s">
        <v>613</v>
      </c>
    </row>
    <row r="3382" spans="1:11">
      <c r="A3382" s="12">
        <v>2023</v>
      </c>
      <c r="B3382" s="15" t="s">
        <v>364</v>
      </c>
      <c r="C3382" s="15" t="s">
        <v>379</v>
      </c>
      <c r="D3382" s="15" t="s">
        <v>380</v>
      </c>
      <c r="E3382" s="19">
        <v>67532</v>
      </c>
      <c r="F3382" s="19">
        <v>87277</v>
      </c>
      <c r="G3382" s="20">
        <f t="shared" si="52"/>
        <v>0.56377213211118216</v>
      </c>
      <c r="H3382" s="24" t="s">
        <v>583</v>
      </c>
      <c r="I3382" s="24" t="s">
        <v>606</v>
      </c>
      <c r="J3382" s="24" t="s">
        <v>607</v>
      </c>
      <c r="K3382" s="24" t="s">
        <v>613</v>
      </c>
    </row>
    <row r="3383" spans="1:11">
      <c r="A3383" s="12">
        <v>2023</v>
      </c>
      <c r="B3383" s="15" t="s">
        <v>364</v>
      </c>
      <c r="C3383" s="15" t="s">
        <v>381</v>
      </c>
      <c r="D3383" s="15" t="s">
        <v>382</v>
      </c>
      <c r="E3383" s="19">
        <v>246727</v>
      </c>
      <c r="F3383" s="19">
        <v>103487</v>
      </c>
      <c r="G3383" s="20">
        <f t="shared" si="52"/>
        <v>0.29549646787392853</v>
      </c>
      <c r="H3383" s="24" t="s">
        <v>583</v>
      </c>
      <c r="I3383" s="24" t="s">
        <v>606</v>
      </c>
      <c r="J3383" s="24" t="s">
        <v>607</v>
      </c>
      <c r="K3383" s="24" t="s">
        <v>613</v>
      </c>
    </row>
    <row r="3384" spans="1:11">
      <c r="A3384" s="12">
        <v>2023</v>
      </c>
      <c r="B3384" s="15" t="s">
        <v>364</v>
      </c>
      <c r="C3384" s="15" t="s">
        <v>383</v>
      </c>
      <c r="D3384" s="15" t="s">
        <v>384</v>
      </c>
      <c r="E3384" s="19">
        <v>19031</v>
      </c>
      <c r="F3384" s="19">
        <v>22871</v>
      </c>
      <c r="G3384" s="20">
        <f t="shared" si="52"/>
        <v>0.54582120185194027</v>
      </c>
      <c r="H3384" s="24" t="s">
        <v>583</v>
      </c>
      <c r="I3384" s="24" t="s">
        <v>606</v>
      </c>
      <c r="J3384" s="24" t="s">
        <v>607</v>
      </c>
      <c r="K3384" s="24" t="s">
        <v>613</v>
      </c>
    </row>
    <row r="3385" spans="1:11">
      <c r="A3385" s="12">
        <v>2023</v>
      </c>
      <c r="B3385" s="15" t="s">
        <v>364</v>
      </c>
      <c r="C3385" s="15" t="s">
        <v>385</v>
      </c>
      <c r="D3385" s="15" t="s">
        <v>386</v>
      </c>
      <c r="E3385" s="19">
        <v>15874</v>
      </c>
      <c r="F3385" s="19">
        <v>18261</v>
      </c>
      <c r="G3385" s="20">
        <f t="shared" si="52"/>
        <v>0.53496411308041603</v>
      </c>
      <c r="H3385" s="24" t="s">
        <v>583</v>
      </c>
      <c r="I3385" s="24" t="s">
        <v>606</v>
      </c>
      <c r="J3385" s="24" t="s">
        <v>607</v>
      </c>
      <c r="K3385" s="24" t="s">
        <v>613</v>
      </c>
    </row>
    <row r="3386" spans="1:11">
      <c r="A3386" s="12">
        <v>2023</v>
      </c>
      <c r="B3386" s="15" t="s">
        <v>364</v>
      </c>
      <c r="C3386" s="15" t="s">
        <v>387</v>
      </c>
      <c r="D3386" s="15" t="s">
        <v>388</v>
      </c>
      <c r="E3386" s="19">
        <v>283036</v>
      </c>
      <c r="F3386" s="19">
        <v>206715</v>
      </c>
      <c r="G3386" s="20">
        <f t="shared" si="52"/>
        <v>0.42208183342147337</v>
      </c>
      <c r="H3386" s="24" t="s">
        <v>583</v>
      </c>
      <c r="I3386" s="24" t="s">
        <v>606</v>
      </c>
      <c r="J3386" s="24" t="s">
        <v>607</v>
      </c>
      <c r="K3386" s="24" t="s">
        <v>613</v>
      </c>
    </row>
    <row r="3387" spans="1:11">
      <c r="A3387" s="12">
        <v>2023</v>
      </c>
      <c r="B3387" s="15" t="s">
        <v>364</v>
      </c>
      <c r="C3387" s="15" t="s">
        <v>389</v>
      </c>
      <c r="D3387" s="15" t="s">
        <v>390</v>
      </c>
      <c r="E3387" s="19">
        <v>295580</v>
      </c>
      <c r="F3387" s="19">
        <v>191305</v>
      </c>
      <c r="G3387" s="20">
        <f t="shared" si="52"/>
        <v>0.39291619170851433</v>
      </c>
      <c r="H3387" s="24" t="s">
        <v>583</v>
      </c>
      <c r="I3387" s="24" t="s">
        <v>606</v>
      </c>
      <c r="J3387" s="24" t="s">
        <v>607</v>
      </c>
      <c r="K3387" s="24" t="s">
        <v>613</v>
      </c>
    </row>
    <row r="3388" spans="1:11">
      <c r="A3388" s="12">
        <v>2023</v>
      </c>
      <c r="B3388" s="15" t="s">
        <v>364</v>
      </c>
      <c r="C3388" s="15" t="s">
        <v>391</v>
      </c>
      <c r="D3388" s="15" t="s">
        <v>392</v>
      </c>
      <c r="E3388" s="19">
        <v>92489</v>
      </c>
      <c r="F3388" s="19">
        <v>60394</v>
      </c>
      <c r="G3388" s="20">
        <f t="shared" si="52"/>
        <v>0.39503411105224256</v>
      </c>
      <c r="H3388" s="24" t="s">
        <v>583</v>
      </c>
      <c r="I3388" s="24" t="s">
        <v>606</v>
      </c>
      <c r="J3388" s="24" t="s">
        <v>607</v>
      </c>
      <c r="K3388" s="24" t="s">
        <v>613</v>
      </c>
    </row>
    <row r="3389" spans="1:11">
      <c r="A3389" s="12">
        <v>2023</v>
      </c>
      <c r="B3389" s="15" t="s">
        <v>364</v>
      </c>
      <c r="C3389" s="15" t="s">
        <v>393</v>
      </c>
      <c r="D3389" s="15" t="s">
        <v>394</v>
      </c>
      <c r="E3389" s="19">
        <v>17785</v>
      </c>
      <c r="F3389" s="19">
        <v>20817</v>
      </c>
      <c r="G3389" s="20">
        <f t="shared" si="52"/>
        <v>0.53927257655043781</v>
      </c>
      <c r="H3389" s="24" t="s">
        <v>583</v>
      </c>
      <c r="I3389" s="24" t="s">
        <v>606</v>
      </c>
      <c r="J3389" s="24" t="s">
        <v>607</v>
      </c>
      <c r="K3389" s="24" t="s">
        <v>613</v>
      </c>
    </row>
    <row r="3390" spans="1:11">
      <c r="A3390" s="12">
        <v>2023</v>
      </c>
      <c r="B3390" s="15" t="s">
        <v>395</v>
      </c>
      <c r="C3390" s="15" t="s">
        <v>22</v>
      </c>
      <c r="D3390" s="15" t="s">
        <v>395</v>
      </c>
      <c r="E3390" s="19">
        <v>1643090</v>
      </c>
      <c r="F3390" s="19">
        <v>758455</v>
      </c>
      <c r="G3390" s="20">
        <f t="shared" si="52"/>
        <v>0.31581960779414919</v>
      </c>
      <c r="H3390" s="24" t="s">
        <v>583</v>
      </c>
      <c r="I3390" s="24" t="s">
        <v>606</v>
      </c>
      <c r="J3390" s="24" t="s">
        <v>607</v>
      </c>
      <c r="K3390" s="24" t="s">
        <v>613</v>
      </c>
    </row>
    <row r="3391" spans="1:11">
      <c r="A3391" s="12">
        <v>2023</v>
      </c>
      <c r="B3391" s="15" t="s">
        <v>395</v>
      </c>
      <c r="C3391" s="15" t="s">
        <v>396</v>
      </c>
      <c r="D3391" s="15" t="s">
        <v>397</v>
      </c>
      <c r="E3391" s="19">
        <v>27442</v>
      </c>
      <c r="F3391" s="19">
        <v>24615</v>
      </c>
      <c r="G3391" s="20">
        <f t="shared" si="52"/>
        <v>0.47284707147933996</v>
      </c>
      <c r="H3391" s="24" t="s">
        <v>583</v>
      </c>
      <c r="I3391" s="24" t="s">
        <v>606</v>
      </c>
      <c r="J3391" s="24" t="s">
        <v>607</v>
      </c>
      <c r="K3391" s="24" t="s">
        <v>613</v>
      </c>
    </row>
    <row r="3392" spans="1:11">
      <c r="A3392" s="12">
        <v>2023</v>
      </c>
      <c r="B3392" s="15" t="s">
        <v>395</v>
      </c>
      <c r="C3392" s="15" t="s">
        <v>398</v>
      </c>
      <c r="D3392" s="15" t="s">
        <v>399</v>
      </c>
      <c r="E3392" s="19">
        <v>51860</v>
      </c>
      <c r="F3392" s="19">
        <v>43800</v>
      </c>
      <c r="G3392" s="20">
        <f t="shared" si="52"/>
        <v>0.45787162868492576</v>
      </c>
      <c r="H3392" s="24" t="s">
        <v>583</v>
      </c>
      <c r="I3392" s="24" t="s">
        <v>606</v>
      </c>
      <c r="J3392" s="24" t="s">
        <v>607</v>
      </c>
      <c r="K3392" s="24" t="s">
        <v>613</v>
      </c>
    </row>
    <row r="3393" spans="1:11">
      <c r="A3393" s="12">
        <v>2023</v>
      </c>
      <c r="B3393" s="15" t="s">
        <v>395</v>
      </c>
      <c r="C3393" s="15" t="s">
        <v>400</v>
      </c>
      <c r="D3393" s="15" t="s">
        <v>401</v>
      </c>
      <c r="E3393" s="19">
        <v>20785</v>
      </c>
      <c r="F3393" s="19">
        <v>22983</v>
      </c>
      <c r="G3393" s="20">
        <f t="shared" si="52"/>
        <v>0.52510966916468649</v>
      </c>
      <c r="H3393" s="24" t="s">
        <v>583</v>
      </c>
      <c r="I3393" s="24" t="s">
        <v>606</v>
      </c>
      <c r="J3393" s="24" t="s">
        <v>607</v>
      </c>
      <c r="K3393" s="24" t="s">
        <v>613</v>
      </c>
    </row>
    <row r="3394" spans="1:11">
      <c r="A3394" s="12">
        <v>2023</v>
      </c>
      <c r="B3394" s="15" t="s">
        <v>395</v>
      </c>
      <c r="C3394" s="15" t="s">
        <v>402</v>
      </c>
      <c r="D3394" s="15" t="s">
        <v>403</v>
      </c>
      <c r="E3394" s="19">
        <v>131780</v>
      </c>
      <c r="F3394" s="19">
        <v>99987</v>
      </c>
      <c r="G3394" s="20">
        <f t="shared" si="52"/>
        <v>0.43141171952866458</v>
      </c>
      <c r="H3394" s="24" t="s">
        <v>583</v>
      </c>
      <c r="I3394" s="24" t="s">
        <v>606</v>
      </c>
      <c r="J3394" s="24" t="s">
        <v>607</v>
      </c>
      <c r="K3394" s="24" t="s">
        <v>613</v>
      </c>
    </row>
    <row r="3395" spans="1:11">
      <c r="A3395" s="12">
        <v>2023</v>
      </c>
      <c r="B3395" s="15" t="s">
        <v>395</v>
      </c>
      <c r="C3395" s="15" t="s">
        <v>404</v>
      </c>
      <c r="D3395" s="15" t="s">
        <v>405</v>
      </c>
      <c r="E3395" s="19">
        <v>19605</v>
      </c>
      <c r="F3395" s="19">
        <v>19617</v>
      </c>
      <c r="G3395" s="20">
        <f t="shared" si="52"/>
        <v>0.50015297537096526</v>
      </c>
      <c r="H3395" s="24" t="s">
        <v>583</v>
      </c>
      <c r="I3395" s="24" t="s">
        <v>606</v>
      </c>
      <c r="J3395" s="24" t="s">
        <v>607</v>
      </c>
      <c r="K3395" s="24" t="s">
        <v>613</v>
      </c>
    </row>
    <row r="3396" spans="1:11">
      <c r="A3396" s="12">
        <v>2023</v>
      </c>
      <c r="B3396" s="15" t="s">
        <v>395</v>
      </c>
      <c r="C3396" s="15" t="s">
        <v>406</v>
      </c>
      <c r="D3396" s="15" t="s">
        <v>407</v>
      </c>
      <c r="E3396" s="19">
        <v>99376</v>
      </c>
      <c r="F3396" s="19">
        <v>82290</v>
      </c>
      <c r="G3396" s="20">
        <f t="shared" si="52"/>
        <v>0.45297413935463982</v>
      </c>
      <c r="H3396" s="24" t="s">
        <v>583</v>
      </c>
      <c r="I3396" s="24" t="s">
        <v>606</v>
      </c>
      <c r="J3396" s="24" t="s">
        <v>607</v>
      </c>
      <c r="K3396" s="24" t="s">
        <v>613</v>
      </c>
    </row>
    <row r="3397" spans="1:11">
      <c r="A3397" s="12">
        <v>2023</v>
      </c>
      <c r="B3397" s="15" t="s">
        <v>395</v>
      </c>
      <c r="C3397" s="15" t="s">
        <v>408</v>
      </c>
      <c r="D3397" s="15" t="s">
        <v>409</v>
      </c>
      <c r="E3397" s="19">
        <v>32611</v>
      </c>
      <c r="F3397" s="19">
        <v>37914</v>
      </c>
      <c r="G3397" s="20">
        <f t="shared" si="52"/>
        <v>0.53759659695143569</v>
      </c>
      <c r="H3397" s="24" t="s">
        <v>583</v>
      </c>
      <c r="I3397" s="24" t="s">
        <v>606</v>
      </c>
      <c r="J3397" s="24" t="s">
        <v>607</v>
      </c>
      <c r="K3397" s="24" t="s">
        <v>613</v>
      </c>
    </row>
    <row r="3398" spans="1:11">
      <c r="A3398" s="12">
        <v>2023</v>
      </c>
      <c r="B3398" s="15" t="s">
        <v>395</v>
      </c>
      <c r="C3398" s="15" t="s">
        <v>410</v>
      </c>
      <c r="D3398" s="15" t="s">
        <v>411</v>
      </c>
      <c r="E3398" s="19">
        <v>195626</v>
      </c>
      <c r="F3398" s="19">
        <v>100702</v>
      </c>
      <c r="G3398" s="20">
        <f t="shared" ref="G3398:G3461" si="53">IFERROR(F3398/(E3398+F3398),"")</f>
        <v>0.33983288788099675</v>
      </c>
      <c r="H3398" s="24" t="s">
        <v>583</v>
      </c>
      <c r="I3398" s="24" t="s">
        <v>606</v>
      </c>
      <c r="J3398" s="24" t="s">
        <v>607</v>
      </c>
      <c r="K3398" s="24" t="s">
        <v>613</v>
      </c>
    </row>
    <row r="3399" spans="1:11">
      <c r="A3399" s="12">
        <v>2023</v>
      </c>
      <c r="B3399" s="15" t="s">
        <v>395</v>
      </c>
      <c r="C3399" s="15" t="s">
        <v>412</v>
      </c>
      <c r="D3399" s="15" t="s">
        <v>413</v>
      </c>
      <c r="E3399" s="19">
        <v>73678</v>
      </c>
      <c r="F3399" s="19">
        <v>73852</v>
      </c>
      <c r="G3399" s="20">
        <f t="shared" si="53"/>
        <v>0.50058971056734225</v>
      </c>
      <c r="H3399" s="24" t="s">
        <v>583</v>
      </c>
      <c r="I3399" s="24" t="s">
        <v>606</v>
      </c>
      <c r="J3399" s="24" t="s">
        <v>607</v>
      </c>
      <c r="K3399" s="24" t="s">
        <v>613</v>
      </c>
    </row>
    <row r="3400" spans="1:11">
      <c r="A3400" s="12">
        <v>2023</v>
      </c>
      <c r="B3400" s="15" t="s">
        <v>395</v>
      </c>
      <c r="C3400" s="15" t="s">
        <v>414</v>
      </c>
      <c r="D3400" s="15" t="s">
        <v>415</v>
      </c>
      <c r="E3400" s="19">
        <v>30072</v>
      </c>
      <c r="F3400" s="19">
        <v>30108</v>
      </c>
      <c r="G3400" s="20">
        <f t="shared" si="53"/>
        <v>0.50029910269192424</v>
      </c>
      <c r="H3400" s="24" t="s">
        <v>583</v>
      </c>
      <c r="I3400" s="24" t="s">
        <v>606</v>
      </c>
      <c r="J3400" s="24" t="s">
        <v>607</v>
      </c>
      <c r="K3400" s="24" t="s">
        <v>613</v>
      </c>
    </row>
    <row r="3401" spans="1:11">
      <c r="A3401" s="12">
        <v>2023</v>
      </c>
      <c r="B3401" s="15" t="s">
        <v>395</v>
      </c>
      <c r="C3401" s="15" t="s">
        <v>416</v>
      </c>
      <c r="D3401" s="15" t="s">
        <v>417</v>
      </c>
      <c r="E3401" s="19">
        <v>256311</v>
      </c>
      <c r="F3401" s="19">
        <v>110026</v>
      </c>
      <c r="G3401" s="20">
        <f t="shared" si="53"/>
        <v>0.30034094290230035</v>
      </c>
      <c r="H3401" s="24" t="s">
        <v>583</v>
      </c>
      <c r="I3401" s="24" t="s">
        <v>606</v>
      </c>
      <c r="J3401" s="24" t="s">
        <v>607</v>
      </c>
      <c r="K3401" s="24" t="s">
        <v>613</v>
      </c>
    </row>
    <row r="3402" spans="1:11">
      <c r="A3402" s="12">
        <v>2023</v>
      </c>
      <c r="B3402" s="15" t="s">
        <v>395</v>
      </c>
      <c r="C3402" s="15" t="s">
        <v>418</v>
      </c>
      <c r="D3402" s="15" t="s">
        <v>419</v>
      </c>
      <c r="E3402" s="19">
        <v>23788</v>
      </c>
      <c r="F3402" s="19">
        <v>35104</v>
      </c>
      <c r="G3402" s="20">
        <f t="shared" si="53"/>
        <v>0.59607416966650817</v>
      </c>
      <c r="H3402" s="24" t="s">
        <v>583</v>
      </c>
      <c r="I3402" s="24" t="s">
        <v>606</v>
      </c>
      <c r="J3402" s="24" t="s">
        <v>607</v>
      </c>
      <c r="K3402" s="24" t="s">
        <v>613</v>
      </c>
    </row>
    <row r="3403" spans="1:11">
      <c r="A3403" s="12">
        <v>2023</v>
      </c>
      <c r="B3403" s="15" t="s">
        <v>395</v>
      </c>
      <c r="C3403" s="15" t="s">
        <v>420</v>
      </c>
      <c r="D3403" s="15" t="s">
        <v>421</v>
      </c>
      <c r="E3403" s="19">
        <v>252014</v>
      </c>
      <c r="F3403" s="19">
        <v>112040</v>
      </c>
      <c r="G3403" s="20">
        <f t="shared" si="53"/>
        <v>0.30775654161195864</v>
      </c>
      <c r="H3403" s="24" t="s">
        <v>583</v>
      </c>
      <c r="I3403" s="24" t="s">
        <v>606</v>
      </c>
      <c r="J3403" s="24" t="s">
        <v>607</v>
      </c>
      <c r="K3403" s="24" t="s">
        <v>613</v>
      </c>
    </row>
    <row r="3404" spans="1:11">
      <c r="A3404" s="12">
        <v>2023</v>
      </c>
      <c r="B3404" s="15" t="s">
        <v>395</v>
      </c>
      <c r="C3404" s="15" t="s">
        <v>422</v>
      </c>
      <c r="D3404" s="15" t="s">
        <v>423</v>
      </c>
      <c r="E3404" s="19">
        <v>43118</v>
      </c>
      <c r="F3404" s="19">
        <v>34293</v>
      </c>
      <c r="G3404" s="20">
        <f t="shared" si="53"/>
        <v>0.44299905698156594</v>
      </c>
      <c r="H3404" s="24" t="s">
        <v>583</v>
      </c>
      <c r="I3404" s="24" t="s">
        <v>606</v>
      </c>
      <c r="J3404" s="24" t="s">
        <v>607</v>
      </c>
      <c r="K3404" s="24" t="s">
        <v>613</v>
      </c>
    </row>
    <row r="3405" spans="1:11">
      <c r="A3405" s="12">
        <v>2023</v>
      </c>
      <c r="B3405" s="15" t="s">
        <v>395</v>
      </c>
      <c r="C3405" s="15" t="s">
        <v>424</v>
      </c>
      <c r="D3405" s="15" t="s">
        <v>425</v>
      </c>
      <c r="E3405" s="19">
        <v>42687</v>
      </c>
      <c r="F3405" s="19">
        <v>48965</v>
      </c>
      <c r="G3405" s="20">
        <f t="shared" si="53"/>
        <v>0.53424911622223192</v>
      </c>
      <c r="H3405" s="24" t="s">
        <v>583</v>
      </c>
      <c r="I3405" s="24" t="s">
        <v>606</v>
      </c>
      <c r="J3405" s="24" t="s">
        <v>607</v>
      </c>
      <c r="K3405" s="24" t="s">
        <v>613</v>
      </c>
    </row>
    <row r="3406" spans="1:11">
      <c r="A3406" s="12">
        <v>2023</v>
      </c>
      <c r="B3406" s="15" t="s">
        <v>395</v>
      </c>
      <c r="C3406" s="15" t="s">
        <v>426</v>
      </c>
      <c r="D3406" s="15" t="s">
        <v>427</v>
      </c>
      <c r="E3406" s="19">
        <v>39898</v>
      </c>
      <c r="F3406" s="19">
        <v>39085</v>
      </c>
      <c r="G3406" s="20">
        <f t="shared" si="53"/>
        <v>0.49485332286694605</v>
      </c>
      <c r="H3406" s="24" t="s">
        <v>583</v>
      </c>
      <c r="I3406" s="24" t="s">
        <v>606</v>
      </c>
      <c r="J3406" s="24" t="s">
        <v>607</v>
      </c>
      <c r="K3406" s="24" t="s">
        <v>613</v>
      </c>
    </row>
    <row r="3407" spans="1:11">
      <c r="A3407" s="12">
        <v>2023</v>
      </c>
      <c r="B3407" s="15" t="s">
        <v>395</v>
      </c>
      <c r="C3407" s="15" t="s">
        <v>428</v>
      </c>
      <c r="D3407" s="15" t="s">
        <v>429</v>
      </c>
      <c r="E3407" s="19">
        <v>28903</v>
      </c>
      <c r="F3407" s="19">
        <v>35966</v>
      </c>
      <c r="G3407" s="20">
        <f t="shared" si="53"/>
        <v>0.55444048775223909</v>
      </c>
      <c r="H3407" s="24" t="s">
        <v>583</v>
      </c>
      <c r="I3407" s="24" t="s">
        <v>606</v>
      </c>
      <c r="J3407" s="24" t="s">
        <v>607</v>
      </c>
      <c r="K3407" s="24" t="s">
        <v>613</v>
      </c>
    </row>
    <row r="3408" spans="1:11">
      <c r="A3408" s="12">
        <v>2023</v>
      </c>
      <c r="B3408" s="15" t="s">
        <v>395</v>
      </c>
      <c r="C3408" s="15" t="s">
        <v>430</v>
      </c>
      <c r="D3408" s="15" t="s">
        <v>431</v>
      </c>
      <c r="E3408" s="19">
        <v>29847</v>
      </c>
      <c r="F3408" s="19">
        <v>26294</v>
      </c>
      <c r="G3408" s="20">
        <f t="shared" si="53"/>
        <v>0.46835645962843553</v>
      </c>
      <c r="H3408" s="24" t="s">
        <v>583</v>
      </c>
      <c r="I3408" s="24" t="s">
        <v>606</v>
      </c>
      <c r="J3408" s="24" t="s">
        <v>607</v>
      </c>
      <c r="K3408" s="24" t="s">
        <v>613</v>
      </c>
    </row>
    <row r="3409" spans="1:11">
      <c r="A3409" s="12">
        <v>2023</v>
      </c>
      <c r="B3409" s="15" t="s">
        <v>395</v>
      </c>
      <c r="C3409" s="15" t="s">
        <v>432</v>
      </c>
      <c r="D3409" s="15" t="s">
        <v>433</v>
      </c>
      <c r="E3409" s="19">
        <v>23682</v>
      </c>
      <c r="F3409" s="19">
        <v>24232</v>
      </c>
      <c r="G3409" s="20">
        <f t="shared" si="53"/>
        <v>0.50573944984764374</v>
      </c>
      <c r="H3409" s="24" t="s">
        <v>583</v>
      </c>
      <c r="I3409" s="24" t="s">
        <v>606</v>
      </c>
      <c r="J3409" s="24" t="s">
        <v>607</v>
      </c>
      <c r="K3409" s="24" t="s">
        <v>613</v>
      </c>
    </row>
    <row r="3410" spans="1:11">
      <c r="A3410" s="12">
        <v>2023</v>
      </c>
      <c r="B3410" s="15" t="s">
        <v>395</v>
      </c>
      <c r="C3410" s="15" t="s">
        <v>434</v>
      </c>
      <c r="D3410" s="15" t="s">
        <v>435</v>
      </c>
      <c r="E3410" s="19">
        <v>22518</v>
      </c>
      <c r="F3410" s="19">
        <v>26984</v>
      </c>
      <c r="G3410" s="20">
        <f t="shared" si="53"/>
        <v>0.54510928851359541</v>
      </c>
      <c r="H3410" s="24" t="s">
        <v>583</v>
      </c>
      <c r="I3410" s="24" t="s">
        <v>606</v>
      </c>
      <c r="J3410" s="24" t="s">
        <v>607</v>
      </c>
      <c r="K3410" s="24" t="s">
        <v>613</v>
      </c>
    </row>
    <row r="3411" spans="1:11">
      <c r="A3411" s="12">
        <v>2023</v>
      </c>
      <c r="B3411" s="15" t="s">
        <v>395</v>
      </c>
      <c r="C3411" s="15" t="s">
        <v>436</v>
      </c>
      <c r="D3411" s="15" t="s">
        <v>437</v>
      </c>
      <c r="E3411" s="19">
        <v>55835</v>
      </c>
      <c r="F3411" s="19">
        <v>42144</v>
      </c>
      <c r="G3411" s="20">
        <f t="shared" si="53"/>
        <v>0.4301329876810337</v>
      </c>
      <c r="H3411" s="24" t="s">
        <v>583</v>
      </c>
      <c r="I3411" s="24" t="s">
        <v>606</v>
      </c>
      <c r="J3411" s="24" t="s">
        <v>607</v>
      </c>
      <c r="K3411" s="24" t="s">
        <v>613</v>
      </c>
    </row>
    <row r="3412" spans="1:11">
      <c r="A3412" s="12">
        <v>2023</v>
      </c>
      <c r="B3412" s="15" t="s">
        <v>395</v>
      </c>
      <c r="C3412" s="15" t="s">
        <v>438</v>
      </c>
      <c r="D3412" s="15" t="s">
        <v>439</v>
      </c>
      <c r="E3412" s="19">
        <v>50187</v>
      </c>
      <c r="F3412" s="19">
        <v>43386</v>
      </c>
      <c r="G3412" s="20">
        <f t="shared" si="53"/>
        <v>0.46365938892629283</v>
      </c>
      <c r="H3412" s="24" t="s">
        <v>583</v>
      </c>
      <c r="I3412" s="24" t="s">
        <v>606</v>
      </c>
      <c r="J3412" s="24" t="s">
        <v>607</v>
      </c>
      <c r="K3412" s="24" t="s">
        <v>613</v>
      </c>
    </row>
    <row r="3413" spans="1:11">
      <c r="A3413" s="12">
        <v>2023</v>
      </c>
      <c r="B3413" s="15" t="s">
        <v>440</v>
      </c>
      <c r="C3413" s="15" t="s">
        <v>22</v>
      </c>
      <c r="D3413" s="15" t="s">
        <v>440</v>
      </c>
      <c r="E3413" s="19">
        <v>2330686</v>
      </c>
      <c r="F3413" s="19">
        <v>1080113</v>
      </c>
      <c r="G3413" s="20">
        <f t="shared" si="53"/>
        <v>0.3166744800851648</v>
      </c>
      <c r="H3413" s="24" t="s">
        <v>603</v>
      </c>
      <c r="I3413" s="24" t="s">
        <v>604</v>
      </c>
      <c r="J3413" s="24" t="s">
        <v>605</v>
      </c>
      <c r="K3413" s="24" t="s">
        <v>613</v>
      </c>
    </row>
    <row r="3414" spans="1:11">
      <c r="A3414" s="12">
        <v>2023</v>
      </c>
      <c r="B3414" s="15" t="s">
        <v>440</v>
      </c>
      <c r="C3414" s="15" t="s">
        <v>441</v>
      </c>
      <c r="D3414" s="15" t="s">
        <v>442</v>
      </c>
      <c r="E3414" s="19">
        <v>235269</v>
      </c>
      <c r="F3414" s="19">
        <v>180804</v>
      </c>
      <c r="G3414" s="20">
        <f t="shared" si="53"/>
        <v>0.43454874505195001</v>
      </c>
      <c r="H3414" s="24" t="s">
        <v>603</v>
      </c>
      <c r="I3414" s="24" t="s">
        <v>610</v>
      </c>
      <c r="J3414" s="24" t="s">
        <v>611</v>
      </c>
      <c r="K3414" s="24" t="s">
        <v>613</v>
      </c>
    </row>
    <row r="3415" spans="1:11">
      <c r="A3415" s="12">
        <v>2023</v>
      </c>
      <c r="B3415" s="15" t="s">
        <v>440</v>
      </c>
      <c r="C3415" s="15" t="s">
        <v>443</v>
      </c>
      <c r="D3415" s="15" t="s">
        <v>444</v>
      </c>
      <c r="E3415" s="19">
        <v>220571</v>
      </c>
      <c r="F3415" s="19">
        <v>133254</v>
      </c>
      <c r="G3415" s="20">
        <f t="shared" si="53"/>
        <v>0.37660990602699074</v>
      </c>
      <c r="H3415" s="24" t="s">
        <v>603</v>
      </c>
      <c r="I3415" s="24" t="s">
        <v>604</v>
      </c>
      <c r="J3415" s="24" t="s">
        <v>605</v>
      </c>
      <c r="K3415" s="24" t="s">
        <v>613</v>
      </c>
    </row>
    <row r="3416" spans="1:11">
      <c r="A3416" s="12">
        <v>2023</v>
      </c>
      <c r="B3416" s="15" t="s">
        <v>440</v>
      </c>
      <c r="C3416" s="15" t="s">
        <v>445</v>
      </c>
      <c r="D3416" s="15" t="s">
        <v>446</v>
      </c>
      <c r="E3416" s="19">
        <v>21854</v>
      </c>
      <c r="F3416" s="19">
        <v>26404</v>
      </c>
      <c r="G3416" s="20">
        <f t="shared" si="53"/>
        <v>0.54714244270380041</v>
      </c>
      <c r="H3416" s="24" t="s">
        <v>603</v>
      </c>
      <c r="I3416" s="24" t="s">
        <v>610</v>
      </c>
      <c r="J3416" s="24" t="s">
        <v>611</v>
      </c>
      <c r="K3416" s="24" t="s">
        <v>613</v>
      </c>
    </row>
    <row r="3417" spans="1:11">
      <c r="A3417" s="12">
        <v>2023</v>
      </c>
      <c r="B3417" s="15" t="s">
        <v>440</v>
      </c>
      <c r="C3417" s="15" t="s">
        <v>447</v>
      </c>
      <c r="D3417" s="15" t="s">
        <v>448</v>
      </c>
      <c r="E3417" s="19">
        <v>371568</v>
      </c>
      <c r="F3417" s="19">
        <v>162985</v>
      </c>
      <c r="G3417" s="20">
        <f t="shared" si="53"/>
        <v>0.30489960770961905</v>
      </c>
      <c r="H3417" s="24" t="s">
        <v>603</v>
      </c>
      <c r="I3417" s="24" t="s">
        <v>610</v>
      </c>
      <c r="J3417" s="24" t="s">
        <v>611</v>
      </c>
      <c r="K3417" s="24" t="s">
        <v>613</v>
      </c>
    </row>
    <row r="3418" spans="1:11">
      <c r="A3418" s="12">
        <v>2023</v>
      </c>
      <c r="B3418" s="15" t="s">
        <v>440</v>
      </c>
      <c r="C3418" s="15" t="s">
        <v>450</v>
      </c>
      <c r="D3418" s="15" t="s">
        <v>451</v>
      </c>
      <c r="E3418" s="19">
        <v>120044</v>
      </c>
      <c r="F3418" s="19">
        <v>79375</v>
      </c>
      <c r="G3418" s="20">
        <f t="shared" si="53"/>
        <v>0.39803128087093004</v>
      </c>
      <c r="H3418" s="24" t="s">
        <v>603</v>
      </c>
      <c r="I3418" s="24" t="s">
        <v>604</v>
      </c>
      <c r="J3418" s="24" t="s">
        <v>605</v>
      </c>
      <c r="K3418" s="24" t="s">
        <v>613</v>
      </c>
    </row>
    <row r="3419" spans="1:11">
      <c r="A3419" s="12">
        <v>2023</v>
      </c>
      <c r="B3419" s="15" t="s">
        <v>440</v>
      </c>
      <c r="C3419" s="15" t="s">
        <v>452</v>
      </c>
      <c r="D3419" s="15" t="s">
        <v>453</v>
      </c>
      <c r="E3419" s="19">
        <v>60145</v>
      </c>
      <c r="F3419" s="19">
        <v>41833</v>
      </c>
      <c r="G3419" s="20">
        <f t="shared" si="53"/>
        <v>0.41021592892584674</v>
      </c>
      <c r="H3419" s="24" t="s">
        <v>603</v>
      </c>
      <c r="I3419" s="24" t="s">
        <v>610</v>
      </c>
      <c r="J3419" s="24" t="s">
        <v>611</v>
      </c>
      <c r="K3419" s="24" t="s">
        <v>613</v>
      </c>
    </row>
    <row r="3420" spans="1:11">
      <c r="A3420" s="12">
        <v>2023</v>
      </c>
      <c r="B3420" s="15" t="s">
        <v>440</v>
      </c>
      <c r="C3420" s="15" t="s">
        <v>454</v>
      </c>
      <c r="D3420" s="15" t="s">
        <v>455</v>
      </c>
      <c r="E3420" s="19">
        <v>20748</v>
      </c>
      <c r="F3420" s="19">
        <v>25340</v>
      </c>
      <c r="G3420" s="20">
        <f t="shared" si="53"/>
        <v>0.54981773997569872</v>
      </c>
      <c r="H3420" s="24" t="s">
        <v>603</v>
      </c>
      <c r="I3420" s="24" t="s">
        <v>610</v>
      </c>
      <c r="J3420" s="24" t="s">
        <v>611</v>
      </c>
      <c r="K3420" s="24" t="s">
        <v>613</v>
      </c>
    </row>
    <row r="3421" spans="1:11">
      <c r="A3421" s="12">
        <v>2023</v>
      </c>
      <c r="B3421" s="15" t="s">
        <v>440</v>
      </c>
      <c r="C3421" s="15" t="s">
        <v>456</v>
      </c>
      <c r="D3421" s="15" t="s">
        <v>457</v>
      </c>
      <c r="E3421" s="19">
        <v>80117</v>
      </c>
      <c r="F3421" s="19">
        <v>58237</v>
      </c>
      <c r="G3421" s="20">
        <f t="shared" si="53"/>
        <v>0.42092747589516749</v>
      </c>
      <c r="H3421" s="24" t="s">
        <v>603</v>
      </c>
      <c r="I3421" s="24" t="s">
        <v>610</v>
      </c>
      <c r="J3421" s="24" t="s">
        <v>611</v>
      </c>
      <c r="K3421" s="24" t="s">
        <v>613</v>
      </c>
    </row>
    <row r="3422" spans="1:11">
      <c r="A3422" s="12">
        <v>2023</v>
      </c>
      <c r="B3422" s="15" t="s">
        <v>440</v>
      </c>
      <c r="C3422" s="15" t="s">
        <v>458</v>
      </c>
      <c r="D3422" s="15" t="s">
        <v>459</v>
      </c>
      <c r="E3422" s="19">
        <v>30059</v>
      </c>
      <c r="F3422" s="19">
        <v>36874</v>
      </c>
      <c r="G3422" s="20">
        <f t="shared" si="53"/>
        <v>0.55090911807329723</v>
      </c>
      <c r="H3422" s="24" t="s">
        <v>603</v>
      </c>
      <c r="I3422" s="24" t="s">
        <v>610</v>
      </c>
      <c r="J3422" s="24" t="s">
        <v>611</v>
      </c>
      <c r="K3422" s="24" t="s">
        <v>613</v>
      </c>
    </row>
    <row r="3423" spans="1:11">
      <c r="A3423" s="12">
        <v>2023</v>
      </c>
      <c r="B3423" s="15" t="s">
        <v>440</v>
      </c>
      <c r="C3423" s="15" t="s">
        <v>460</v>
      </c>
      <c r="D3423" s="15" t="s">
        <v>461</v>
      </c>
      <c r="E3423" s="19">
        <v>138640</v>
      </c>
      <c r="F3423" s="19">
        <v>61228</v>
      </c>
      <c r="G3423" s="20">
        <f t="shared" si="53"/>
        <v>0.30634218584265616</v>
      </c>
      <c r="H3423" s="24" t="s">
        <v>603</v>
      </c>
      <c r="I3423" s="24" t="s">
        <v>604</v>
      </c>
      <c r="J3423" s="24" t="s">
        <v>605</v>
      </c>
      <c r="K3423" s="24" t="s">
        <v>613</v>
      </c>
    </row>
    <row r="3424" spans="1:11">
      <c r="A3424" s="12">
        <v>2023</v>
      </c>
      <c r="B3424" s="15" t="s">
        <v>440</v>
      </c>
      <c r="C3424" s="15" t="s">
        <v>462</v>
      </c>
      <c r="D3424" s="15" t="s">
        <v>463</v>
      </c>
      <c r="E3424" s="19">
        <v>28928</v>
      </c>
      <c r="F3424" s="19">
        <v>25169</v>
      </c>
      <c r="G3424" s="20">
        <f t="shared" si="53"/>
        <v>0.46525685342994988</v>
      </c>
      <c r="H3424" s="24" t="s">
        <v>603</v>
      </c>
      <c r="I3424" s="24" t="s">
        <v>610</v>
      </c>
      <c r="J3424" s="24" t="s">
        <v>611</v>
      </c>
      <c r="K3424" s="24" t="s">
        <v>613</v>
      </c>
    </row>
    <row r="3425" spans="1:11">
      <c r="A3425" s="12">
        <v>2023</v>
      </c>
      <c r="B3425" s="15" t="s">
        <v>440</v>
      </c>
      <c r="C3425" s="15" t="s">
        <v>464</v>
      </c>
      <c r="D3425" s="15" t="s">
        <v>465</v>
      </c>
      <c r="E3425" s="19">
        <v>10960</v>
      </c>
      <c r="F3425" s="19">
        <v>13479</v>
      </c>
      <c r="G3425" s="20">
        <f t="shared" si="53"/>
        <v>0.55153647857931998</v>
      </c>
      <c r="H3425" s="24" t="s">
        <v>603</v>
      </c>
      <c r="I3425" s="24" t="s">
        <v>610</v>
      </c>
      <c r="J3425" s="24" t="s">
        <v>611</v>
      </c>
      <c r="K3425" s="24" t="s">
        <v>613</v>
      </c>
    </row>
    <row r="3426" spans="1:11">
      <c r="A3426" s="12">
        <v>2023</v>
      </c>
      <c r="B3426" s="15" t="s">
        <v>440</v>
      </c>
      <c r="C3426" s="15" t="s">
        <v>466</v>
      </c>
      <c r="D3426" s="15" t="s">
        <v>467</v>
      </c>
      <c r="E3426" s="19">
        <v>90861</v>
      </c>
      <c r="F3426" s="19">
        <v>55412</v>
      </c>
      <c r="G3426" s="20">
        <f t="shared" si="53"/>
        <v>0.37882589404743183</v>
      </c>
      <c r="H3426" s="24" t="s">
        <v>603</v>
      </c>
      <c r="I3426" s="24" t="s">
        <v>610</v>
      </c>
      <c r="J3426" s="24" t="s">
        <v>611</v>
      </c>
      <c r="K3426" s="24" t="s">
        <v>613</v>
      </c>
    </row>
    <row r="3427" spans="1:11">
      <c r="A3427" s="12">
        <v>2023</v>
      </c>
      <c r="B3427" s="15" t="s">
        <v>440</v>
      </c>
      <c r="C3427" s="15" t="s">
        <v>468</v>
      </c>
      <c r="D3427" s="15" t="s">
        <v>469</v>
      </c>
      <c r="E3427" s="19">
        <v>83376</v>
      </c>
      <c r="F3427" s="19">
        <v>67039</v>
      </c>
      <c r="G3427" s="20">
        <f t="shared" si="53"/>
        <v>0.44569358109231128</v>
      </c>
      <c r="H3427" s="24" t="s">
        <v>603</v>
      </c>
      <c r="I3427" s="24" t="s">
        <v>610</v>
      </c>
      <c r="J3427" s="24" t="s">
        <v>611</v>
      </c>
      <c r="K3427" s="24" t="s">
        <v>613</v>
      </c>
    </row>
    <row r="3428" spans="1:11">
      <c r="A3428" s="12">
        <v>2023</v>
      </c>
      <c r="B3428" s="15" t="s">
        <v>440</v>
      </c>
      <c r="C3428" s="15" t="s">
        <v>470</v>
      </c>
      <c r="D3428" s="15" t="s">
        <v>471</v>
      </c>
      <c r="E3428" s="19">
        <v>44634</v>
      </c>
      <c r="F3428" s="19">
        <v>43726</v>
      </c>
      <c r="G3428" s="20">
        <f t="shared" si="53"/>
        <v>0.49486192847442284</v>
      </c>
      <c r="H3428" s="24" t="s">
        <v>603</v>
      </c>
      <c r="I3428" s="24" t="s">
        <v>610</v>
      </c>
      <c r="J3428" s="24" t="s">
        <v>611</v>
      </c>
      <c r="K3428" s="24" t="s">
        <v>613</v>
      </c>
    </row>
    <row r="3429" spans="1:11">
      <c r="A3429" s="12">
        <v>2023</v>
      </c>
      <c r="B3429" s="15" t="s">
        <v>440</v>
      </c>
      <c r="C3429" s="15" t="s">
        <v>472</v>
      </c>
      <c r="D3429" s="15" t="s">
        <v>473</v>
      </c>
      <c r="E3429" s="19">
        <v>6251</v>
      </c>
      <c r="F3429" s="19">
        <v>7792</v>
      </c>
      <c r="G3429" s="20">
        <f t="shared" si="53"/>
        <v>0.55486719361959691</v>
      </c>
      <c r="H3429" s="24" t="s">
        <v>603</v>
      </c>
      <c r="I3429" s="24" t="s">
        <v>610</v>
      </c>
      <c r="J3429" s="24" t="s">
        <v>611</v>
      </c>
      <c r="K3429" s="24" t="s">
        <v>613</v>
      </c>
    </row>
    <row r="3430" spans="1:11">
      <c r="A3430" s="12">
        <v>2023</v>
      </c>
      <c r="B3430" s="15" t="s">
        <v>440</v>
      </c>
      <c r="C3430" s="15" t="s">
        <v>474</v>
      </c>
      <c r="D3430" s="15" t="s">
        <v>475</v>
      </c>
      <c r="E3430" s="19">
        <v>40060</v>
      </c>
      <c r="F3430" s="19">
        <v>32603</v>
      </c>
      <c r="G3430" s="20">
        <f t="shared" si="53"/>
        <v>0.44868777782365166</v>
      </c>
      <c r="H3430" s="24" t="s">
        <v>603</v>
      </c>
      <c r="I3430" s="24" t="s">
        <v>610</v>
      </c>
      <c r="J3430" s="24" t="s">
        <v>611</v>
      </c>
      <c r="K3430" s="24" t="s">
        <v>613</v>
      </c>
    </row>
    <row r="3431" spans="1:11">
      <c r="A3431" s="12">
        <v>2023</v>
      </c>
      <c r="B3431" s="15" t="s">
        <v>440</v>
      </c>
      <c r="C3431" s="15" t="s">
        <v>476</v>
      </c>
      <c r="D3431" s="15" t="s">
        <v>477</v>
      </c>
      <c r="E3431" s="19">
        <v>38083</v>
      </c>
      <c r="F3431" s="19">
        <v>41178</v>
      </c>
      <c r="G3431" s="20">
        <f t="shared" si="53"/>
        <v>0.51952410390986736</v>
      </c>
      <c r="H3431" s="24" t="s">
        <v>603</v>
      </c>
      <c r="I3431" s="24" t="s">
        <v>610</v>
      </c>
      <c r="J3431" s="24" t="s">
        <v>611</v>
      </c>
      <c r="K3431" s="24" t="s">
        <v>613</v>
      </c>
    </row>
    <row r="3432" spans="1:11">
      <c r="A3432" s="12">
        <v>2023</v>
      </c>
      <c r="B3432" s="15" t="s">
        <v>440</v>
      </c>
      <c r="C3432" s="15" t="s">
        <v>478</v>
      </c>
      <c r="D3432" s="15" t="s">
        <v>479</v>
      </c>
      <c r="E3432" s="19">
        <v>31290</v>
      </c>
      <c r="F3432" s="19">
        <v>33542</v>
      </c>
      <c r="G3432" s="20">
        <f t="shared" si="53"/>
        <v>0.51736796643632776</v>
      </c>
      <c r="H3432" s="24" t="s">
        <v>603</v>
      </c>
      <c r="I3432" s="24" t="s">
        <v>610</v>
      </c>
      <c r="J3432" s="24" t="s">
        <v>611</v>
      </c>
      <c r="K3432" s="24" t="s">
        <v>613</v>
      </c>
    </row>
    <row r="3433" spans="1:11">
      <c r="A3433" s="12">
        <v>2023</v>
      </c>
      <c r="B3433" s="15" t="s">
        <v>440</v>
      </c>
      <c r="C3433" s="15" t="s">
        <v>480</v>
      </c>
      <c r="D3433" s="15" t="s">
        <v>481</v>
      </c>
      <c r="E3433" s="19">
        <v>18768</v>
      </c>
      <c r="F3433" s="19">
        <v>20432</v>
      </c>
      <c r="G3433" s="20">
        <f t="shared" si="53"/>
        <v>0.5212244897959184</v>
      </c>
      <c r="H3433" s="24" t="s">
        <v>603</v>
      </c>
      <c r="I3433" s="24" t="s">
        <v>610</v>
      </c>
      <c r="J3433" s="24" t="s">
        <v>611</v>
      </c>
      <c r="K3433" s="24" t="s">
        <v>613</v>
      </c>
    </row>
    <row r="3434" spans="1:11">
      <c r="A3434" s="12">
        <v>2023</v>
      </c>
      <c r="B3434" s="15" t="s">
        <v>440</v>
      </c>
      <c r="C3434" s="15" t="s">
        <v>482</v>
      </c>
      <c r="D3434" s="15" t="s">
        <v>483</v>
      </c>
      <c r="E3434" s="19">
        <v>88637</v>
      </c>
      <c r="F3434" s="19">
        <v>86997</v>
      </c>
      <c r="G3434" s="20">
        <f t="shared" si="53"/>
        <v>0.49533120010931825</v>
      </c>
      <c r="H3434" s="24" t="s">
        <v>603</v>
      </c>
      <c r="I3434" s="24" t="s">
        <v>610</v>
      </c>
      <c r="J3434" s="24" t="s">
        <v>611</v>
      </c>
      <c r="K3434" s="24" t="s">
        <v>613</v>
      </c>
    </row>
    <row r="3435" spans="1:11">
      <c r="A3435" s="12">
        <v>2023</v>
      </c>
      <c r="B3435" s="15" t="s">
        <v>440</v>
      </c>
      <c r="C3435" s="15" t="s">
        <v>484</v>
      </c>
      <c r="D3435" s="15" t="s">
        <v>485</v>
      </c>
      <c r="E3435" s="19">
        <v>199589</v>
      </c>
      <c r="F3435" s="19">
        <v>150862</v>
      </c>
      <c r="G3435" s="20">
        <f t="shared" si="53"/>
        <v>0.43047958202430581</v>
      </c>
      <c r="H3435" s="24" t="s">
        <v>603</v>
      </c>
      <c r="I3435" s="24" t="s">
        <v>604</v>
      </c>
      <c r="J3435" s="24" t="s">
        <v>605</v>
      </c>
      <c r="K3435" s="24" t="s">
        <v>613</v>
      </c>
    </row>
    <row r="3436" spans="1:11">
      <c r="A3436" s="12">
        <v>2023</v>
      </c>
      <c r="B3436" s="15" t="s">
        <v>440</v>
      </c>
      <c r="C3436" s="15" t="s">
        <v>486</v>
      </c>
      <c r="D3436" s="15" t="s">
        <v>487</v>
      </c>
      <c r="E3436" s="19">
        <v>237216</v>
      </c>
      <c r="F3436" s="19">
        <v>176969</v>
      </c>
      <c r="G3436" s="20">
        <f t="shared" si="53"/>
        <v>0.42727042263722731</v>
      </c>
      <c r="H3436" s="24" t="s">
        <v>603</v>
      </c>
      <c r="I3436" s="24" t="s">
        <v>604</v>
      </c>
      <c r="J3436" s="24" t="s">
        <v>605</v>
      </c>
      <c r="K3436" s="24" t="s">
        <v>613</v>
      </c>
    </row>
    <row r="3437" spans="1:11">
      <c r="A3437" s="12">
        <v>2023</v>
      </c>
      <c r="B3437" s="15" t="s">
        <v>488</v>
      </c>
      <c r="C3437" s="15" t="s">
        <v>22</v>
      </c>
      <c r="D3437" s="15" t="s">
        <v>488</v>
      </c>
      <c r="E3437" s="19">
        <v>3051029</v>
      </c>
      <c r="F3437" s="19">
        <v>976301</v>
      </c>
      <c r="G3437" s="20">
        <f t="shared" si="53"/>
        <v>0.24241892271057996</v>
      </c>
      <c r="H3437" s="24" t="s">
        <v>603</v>
      </c>
      <c r="I3437" s="24" t="s">
        <v>610</v>
      </c>
      <c r="J3437" s="24" t="s">
        <v>611</v>
      </c>
      <c r="K3437" s="24" t="s">
        <v>613</v>
      </c>
    </row>
    <row r="3438" spans="1:11">
      <c r="A3438" s="12">
        <v>2023</v>
      </c>
      <c r="B3438" s="15" t="s">
        <v>488</v>
      </c>
      <c r="C3438" s="15" t="s">
        <v>489</v>
      </c>
      <c r="D3438" s="15" t="s">
        <v>490</v>
      </c>
      <c r="E3438" s="19">
        <v>214512</v>
      </c>
      <c r="F3438" s="19">
        <v>110407</v>
      </c>
      <c r="G3438" s="20">
        <f t="shared" si="53"/>
        <v>0.33979853440395913</v>
      </c>
      <c r="H3438" s="24" t="s">
        <v>603</v>
      </c>
      <c r="I3438" s="24" t="s">
        <v>610</v>
      </c>
      <c r="J3438" s="24" t="s">
        <v>611</v>
      </c>
      <c r="K3438" s="24" t="s">
        <v>613</v>
      </c>
    </row>
    <row r="3439" spans="1:11">
      <c r="A3439" s="12">
        <v>2023</v>
      </c>
      <c r="B3439" s="15" t="s">
        <v>488</v>
      </c>
      <c r="C3439" s="15" t="s">
        <v>491</v>
      </c>
      <c r="D3439" s="15" t="s">
        <v>492</v>
      </c>
      <c r="E3439" s="19">
        <v>53501</v>
      </c>
      <c r="F3439" s="19">
        <v>37555</v>
      </c>
      <c r="G3439" s="20">
        <f t="shared" si="53"/>
        <v>0.41243849938499383</v>
      </c>
      <c r="H3439" s="24" t="s">
        <v>603</v>
      </c>
      <c r="I3439" s="24" t="s">
        <v>610</v>
      </c>
      <c r="J3439" s="24" t="s">
        <v>611</v>
      </c>
      <c r="K3439" s="24" t="s">
        <v>613</v>
      </c>
    </row>
    <row r="3440" spans="1:11">
      <c r="A3440" s="12">
        <v>2023</v>
      </c>
      <c r="B3440" s="15" t="s">
        <v>488</v>
      </c>
      <c r="C3440" s="15" t="s">
        <v>260</v>
      </c>
      <c r="D3440" s="15" t="s">
        <v>493</v>
      </c>
      <c r="E3440" s="19">
        <v>38489</v>
      </c>
      <c r="F3440" s="19">
        <v>38062</v>
      </c>
      <c r="G3440" s="20">
        <f t="shared" si="53"/>
        <v>0.49721100965369491</v>
      </c>
      <c r="H3440" s="24" t="s">
        <v>603</v>
      </c>
      <c r="I3440" s="24" t="s">
        <v>610</v>
      </c>
      <c r="J3440" s="24" t="s">
        <v>611</v>
      </c>
      <c r="K3440" s="24" t="s">
        <v>613</v>
      </c>
    </row>
    <row r="3441" spans="1:11">
      <c r="A3441" s="12">
        <v>2023</v>
      </c>
      <c r="B3441" s="15" t="s">
        <v>488</v>
      </c>
      <c r="C3441" s="15" t="s">
        <v>494</v>
      </c>
      <c r="D3441" s="15" t="s">
        <v>495</v>
      </c>
      <c r="E3441" s="19">
        <v>493204</v>
      </c>
      <c r="F3441" s="19">
        <v>266529</v>
      </c>
      <c r="G3441" s="20">
        <f t="shared" si="53"/>
        <v>0.35081930099126929</v>
      </c>
      <c r="H3441" s="24" t="s">
        <v>603</v>
      </c>
      <c r="I3441" s="24" t="s">
        <v>610</v>
      </c>
      <c r="J3441" s="24" t="s">
        <v>611</v>
      </c>
      <c r="K3441" s="24" t="s">
        <v>613</v>
      </c>
    </row>
    <row r="3442" spans="1:11">
      <c r="A3442" s="12">
        <v>2023</v>
      </c>
      <c r="B3442" s="15" t="s">
        <v>488</v>
      </c>
      <c r="C3442" s="15" t="s">
        <v>496</v>
      </c>
      <c r="D3442" s="15" t="s">
        <v>497</v>
      </c>
      <c r="E3442" s="19">
        <v>33317</v>
      </c>
      <c r="F3442" s="19">
        <v>32530</v>
      </c>
      <c r="G3442" s="20">
        <f t="shared" si="53"/>
        <v>0.49402402539219709</v>
      </c>
      <c r="H3442" s="24" t="s">
        <v>603</v>
      </c>
      <c r="I3442" s="24" t="s">
        <v>610</v>
      </c>
      <c r="J3442" s="24" t="s">
        <v>611</v>
      </c>
      <c r="K3442" s="24" t="s">
        <v>613</v>
      </c>
    </row>
    <row r="3443" spans="1:11">
      <c r="A3443" s="12">
        <v>2023</v>
      </c>
      <c r="B3443" s="15" t="s">
        <v>488</v>
      </c>
      <c r="C3443" s="15" t="s">
        <v>498</v>
      </c>
      <c r="D3443" s="15" t="s">
        <v>499</v>
      </c>
      <c r="E3443" s="19">
        <v>88321</v>
      </c>
      <c r="F3443" s="19">
        <v>62510</v>
      </c>
      <c r="G3443" s="20">
        <f t="shared" si="53"/>
        <v>0.4144373504120506</v>
      </c>
      <c r="H3443" s="24" t="s">
        <v>603</v>
      </c>
      <c r="I3443" s="24" t="s">
        <v>610</v>
      </c>
      <c r="J3443" s="24" t="s">
        <v>611</v>
      </c>
      <c r="K3443" s="24" t="s">
        <v>613</v>
      </c>
    </row>
    <row r="3444" spans="1:11">
      <c r="A3444" s="12">
        <v>2023</v>
      </c>
      <c r="B3444" s="15" t="s">
        <v>488</v>
      </c>
      <c r="C3444" s="15" t="s">
        <v>500</v>
      </c>
      <c r="D3444" s="15" t="s">
        <v>501</v>
      </c>
      <c r="E3444" s="19">
        <v>95874</v>
      </c>
      <c r="F3444" s="19">
        <v>70534</v>
      </c>
      <c r="G3444" s="20">
        <f t="shared" si="53"/>
        <v>0.42386183356569396</v>
      </c>
      <c r="H3444" s="24" t="s">
        <v>603</v>
      </c>
      <c r="I3444" s="24" t="s">
        <v>610</v>
      </c>
      <c r="J3444" s="24" t="s">
        <v>611</v>
      </c>
      <c r="K3444" s="24" t="s">
        <v>613</v>
      </c>
    </row>
    <row r="3445" spans="1:11">
      <c r="A3445" s="12">
        <v>2023</v>
      </c>
      <c r="B3445" s="15" t="s">
        <v>488</v>
      </c>
      <c r="C3445" s="15" t="s">
        <v>502</v>
      </c>
      <c r="D3445" s="15" t="s">
        <v>503</v>
      </c>
      <c r="E3445" s="19">
        <v>25279</v>
      </c>
      <c r="F3445" s="19">
        <v>29936</v>
      </c>
      <c r="G3445" s="20">
        <f t="shared" si="53"/>
        <v>0.54217151136466535</v>
      </c>
      <c r="H3445" s="24" t="s">
        <v>603</v>
      </c>
      <c r="I3445" s="24" t="s">
        <v>610</v>
      </c>
      <c r="J3445" s="24" t="s">
        <v>611</v>
      </c>
      <c r="K3445" s="24" t="s">
        <v>613</v>
      </c>
    </row>
    <row r="3446" spans="1:11">
      <c r="A3446" s="12">
        <v>2023</v>
      </c>
      <c r="B3446" s="15" t="s">
        <v>488</v>
      </c>
      <c r="C3446" s="15" t="s">
        <v>504</v>
      </c>
      <c r="D3446" s="15" t="s">
        <v>505</v>
      </c>
      <c r="E3446" s="19">
        <v>321953</v>
      </c>
      <c r="F3446" s="19">
        <v>177157</v>
      </c>
      <c r="G3446" s="20">
        <f t="shared" si="53"/>
        <v>0.35494580353028393</v>
      </c>
      <c r="H3446" s="24" t="s">
        <v>603</v>
      </c>
      <c r="I3446" s="24" t="s">
        <v>610</v>
      </c>
      <c r="J3446" s="24" t="s">
        <v>611</v>
      </c>
      <c r="K3446" s="24" t="s">
        <v>613</v>
      </c>
    </row>
    <row r="3447" spans="1:11">
      <c r="A3447" s="12">
        <v>2023</v>
      </c>
      <c r="B3447" s="15" t="s">
        <v>488</v>
      </c>
      <c r="C3447" s="15" t="s">
        <v>506</v>
      </c>
      <c r="D3447" s="15" t="s">
        <v>507</v>
      </c>
      <c r="E3447" s="19">
        <v>19091</v>
      </c>
      <c r="F3447" s="19">
        <v>21743</v>
      </c>
      <c r="G3447" s="20">
        <f t="shared" si="53"/>
        <v>0.53247293921731886</v>
      </c>
      <c r="H3447" s="24" t="s">
        <v>603</v>
      </c>
      <c r="I3447" s="24" t="s">
        <v>610</v>
      </c>
      <c r="J3447" s="24" t="s">
        <v>611</v>
      </c>
      <c r="K3447" s="24" t="s">
        <v>613</v>
      </c>
    </row>
    <row r="3448" spans="1:11">
      <c r="A3448" s="12">
        <v>2023</v>
      </c>
      <c r="B3448" s="15" t="s">
        <v>488</v>
      </c>
      <c r="C3448" s="15" t="s">
        <v>508</v>
      </c>
      <c r="D3448" s="15" t="s">
        <v>509</v>
      </c>
      <c r="E3448" s="19">
        <v>316554</v>
      </c>
      <c r="F3448" s="19">
        <v>101788</v>
      </c>
      <c r="G3448" s="20">
        <f t="shared" si="53"/>
        <v>0.24331288754177205</v>
      </c>
      <c r="H3448" s="24" t="s">
        <v>603</v>
      </c>
      <c r="I3448" s="24" t="s">
        <v>610</v>
      </c>
      <c r="J3448" s="24" t="s">
        <v>611</v>
      </c>
      <c r="K3448" s="24" t="s">
        <v>613</v>
      </c>
    </row>
    <row r="3449" spans="1:11">
      <c r="A3449" s="12">
        <v>2023</v>
      </c>
      <c r="B3449" s="15" t="s">
        <v>488</v>
      </c>
      <c r="C3449" s="15" t="s">
        <v>510</v>
      </c>
      <c r="D3449" s="15" t="s">
        <v>511</v>
      </c>
      <c r="E3449" s="19">
        <v>47146</v>
      </c>
      <c r="F3449" s="19">
        <v>45278</v>
      </c>
      <c r="G3449" s="20">
        <f t="shared" si="53"/>
        <v>0.48989439972301568</v>
      </c>
      <c r="H3449" s="24" t="s">
        <v>603</v>
      </c>
      <c r="I3449" s="24" t="s">
        <v>610</v>
      </c>
      <c r="J3449" s="24" t="s">
        <v>611</v>
      </c>
      <c r="K3449" s="24" t="s">
        <v>613</v>
      </c>
    </row>
    <row r="3450" spans="1:11">
      <c r="A3450" s="12">
        <v>2023</v>
      </c>
      <c r="B3450" s="15" t="s">
        <v>488</v>
      </c>
      <c r="C3450" s="15" t="s">
        <v>512</v>
      </c>
      <c r="D3450" s="15" t="s">
        <v>513</v>
      </c>
      <c r="E3450" s="19">
        <v>151523</v>
      </c>
      <c r="F3450" s="19">
        <v>127911</v>
      </c>
      <c r="G3450" s="20">
        <f t="shared" si="53"/>
        <v>0.45775030955431334</v>
      </c>
      <c r="H3450" s="24" t="s">
        <v>603</v>
      </c>
      <c r="I3450" s="24" t="s">
        <v>610</v>
      </c>
      <c r="J3450" s="24" t="s">
        <v>611</v>
      </c>
      <c r="K3450" s="24" t="s">
        <v>613</v>
      </c>
    </row>
    <row r="3451" spans="1:11">
      <c r="A3451" s="12">
        <v>2023</v>
      </c>
      <c r="B3451" s="15" t="s">
        <v>488</v>
      </c>
      <c r="C3451" s="15" t="s">
        <v>514</v>
      </c>
      <c r="D3451" s="15" t="s">
        <v>515</v>
      </c>
      <c r="E3451" s="19">
        <v>155875</v>
      </c>
      <c r="F3451" s="19">
        <v>121418</v>
      </c>
      <c r="G3451" s="20">
        <f t="shared" si="53"/>
        <v>0.43786896892456717</v>
      </c>
      <c r="H3451" s="24" t="s">
        <v>603</v>
      </c>
      <c r="I3451" s="24" t="s">
        <v>610</v>
      </c>
      <c r="J3451" s="24" t="s">
        <v>611</v>
      </c>
      <c r="K3451" s="24" t="s">
        <v>613</v>
      </c>
    </row>
    <row r="3452" spans="1:11">
      <c r="A3452" s="12">
        <v>2023</v>
      </c>
      <c r="B3452" s="15" t="s">
        <v>488</v>
      </c>
      <c r="C3452" s="15" t="s">
        <v>516</v>
      </c>
      <c r="D3452" s="15" t="s">
        <v>517</v>
      </c>
      <c r="E3452" s="19">
        <v>214028</v>
      </c>
      <c r="F3452" s="19">
        <v>174462</v>
      </c>
      <c r="G3452" s="20">
        <f t="shared" si="53"/>
        <v>0.44907719632422971</v>
      </c>
      <c r="H3452" s="24" t="s">
        <v>603</v>
      </c>
      <c r="I3452" s="24" t="s">
        <v>610</v>
      </c>
      <c r="J3452" s="24" t="s">
        <v>611</v>
      </c>
      <c r="K3452" s="24" t="s">
        <v>613</v>
      </c>
    </row>
    <row r="3453" spans="1:11">
      <c r="A3453" s="12">
        <v>2023</v>
      </c>
      <c r="B3453" s="15" t="s">
        <v>488</v>
      </c>
      <c r="C3453" s="15" t="s">
        <v>518</v>
      </c>
      <c r="D3453" s="15" t="s">
        <v>519</v>
      </c>
      <c r="E3453" s="19">
        <v>185011</v>
      </c>
      <c r="F3453" s="19">
        <v>153846</v>
      </c>
      <c r="G3453" s="20">
        <f t="shared" si="53"/>
        <v>0.45401452530123326</v>
      </c>
      <c r="H3453" s="24" t="s">
        <v>603</v>
      </c>
      <c r="I3453" s="24" t="s">
        <v>610</v>
      </c>
      <c r="J3453" s="24" t="s">
        <v>611</v>
      </c>
      <c r="K3453" s="24" t="s">
        <v>613</v>
      </c>
    </row>
    <row r="3454" spans="1:11">
      <c r="A3454" s="12">
        <v>2023</v>
      </c>
      <c r="B3454" s="15" t="s">
        <v>488</v>
      </c>
      <c r="C3454" s="15" t="s">
        <v>520</v>
      </c>
      <c r="D3454" s="15" t="s">
        <v>521</v>
      </c>
      <c r="E3454" s="19">
        <v>169933</v>
      </c>
      <c r="F3454" s="19">
        <v>124599</v>
      </c>
      <c r="G3454" s="20">
        <f t="shared" si="53"/>
        <v>0.42304062037401707</v>
      </c>
      <c r="H3454" s="24" t="s">
        <v>603</v>
      </c>
      <c r="I3454" s="24" t="s">
        <v>610</v>
      </c>
      <c r="J3454" s="24" t="s">
        <v>611</v>
      </c>
      <c r="K3454" s="24" t="s">
        <v>613</v>
      </c>
    </row>
    <row r="3455" spans="1:11">
      <c r="A3455" s="12">
        <v>2023</v>
      </c>
      <c r="B3455" s="15" t="s">
        <v>488</v>
      </c>
      <c r="C3455" s="15" t="s">
        <v>522</v>
      </c>
      <c r="D3455" s="15" t="s">
        <v>523</v>
      </c>
      <c r="E3455" s="19">
        <v>109735</v>
      </c>
      <c r="F3455" s="19">
        <v>58329</v>
      </c>
      <c r="G3455" s="20">
        <f t="shared" si="53"/>
        <v>0.34706421363290174</v>
      </c>
      <c r="H3455" s="24" t="s">
        <v>603</v>
      </c>
      <c r="I3455" s="24" t="s">
        <v>610</v>
      </c>
      <c r="J3455" s="24" t="s">
        <v>611</v>
      </c>
      <c r="K3455" s="24" t="s">
        <v>613</v>
      </c>
    </row>
    <row r="3456" spans="1:11">
      <c r="A3456" s="12">
        <v>2023</v>
      </c>
      <c r="B3456" s="15" t="s">
        <v>488</v>
      </c>
      <c r="C3456" s="15" t="s">
        <v>524</v>
      </c>
      <c r="D3456" s="15" t="s">
        <v>525</v>
      </c>
      <c r="E3456" s="19">
        <v>31935</v>
      </c>
      <c r="F3456" s="19">
        <v>34380</v>
      </c>
      <c r="G3456" s="20">
        <f t="shared" si="53"/>
        <v>0.51843474327075323</v>
      </c>
      <c r="H3456" s="24" t="s">
        <v>603</v>
      </c>
      <c r="I3456" s="24" t="s">
        <v>610</v>
      </c>
      <c r="J3456" s="24" t="s">
        <v>611</v>
      </c>
      <c r="K3456" s="24" t="s">
        <v>613</v>
      </c>
    </row>
    <row r="3457" spans="1:11">
      <c r="A3457" s="12">
        <v>2023</v>
      </c>
      <c r="B3457" s="15" t="s">
        <v>488</v>
      </c>
      <c r="C3457" s="15" t="s">
        <v>526</v>
      </c>
      <c r="D3457" s="15" t="s">
        <v>527</v>
      </c>
      <c r="E3457" s="19">
        <v>45148</v>
      </c>
      <c r="F3457" s="19">
        <v>51756</v>
      </c>
      <c r="G3457" s="20">
        <f t="shared" si="53"/>
        <v>0.53409559976884335</v>
      </c>
      <c r="H3457" s="24" t="s">
        <v>603</v>
      </c>
      <c r="I3457" s="24" t="s">
        <v>610</v>
      </c>
      <c r="J3457" s="24" t="s">
        <v>611</v>
      </c>
      <c r="K3457" s="24" t="s">
        <v>613</v>
      </c>
    </row>
    <row r="3458" spans="1:11">
      <c r="A3458" s="12">
        <v>2023</v>
      </c>
      <c r="B3458" s="15" t="s">
        <v>488</v>
      </c>
      <c r="C3458" s="15" t="s">
        <v>528</v>
      </c>
      <c r="D3458" s="15" t="s">
        <v>529</v>
      </c>
      <c r="E3458" s="19">
        <v>31287</v>
      </c>
      <c r="F3458" s="19">
        <v>28329</v>
      </c>
      <c r="G3458" s="20">
        <f t="shared" si="53"/>
        <v>0.47519122383252815</v>
      </c>
      <c r="H3458" s="24" t="s">
        <v>603</v>
      </c>
      <c r="I3458" s="24" t="s">
        <v>610</v>
      </c>
      <c r="J3458" s="24" t="s">
        <v>611</v>
      </c>
      <c r="K3458" s="24" t="s">
        <v>613</v>
      </c>
    </row>
    <row r="3459" spans="1:11">
      <c r="A3459" s="12">
        <v>2023</v>
      </c>
      <c r="B3459" s="15" t="s">
        <v>488</v>
      </c>
      <c r="C3459" s="15" t="s">
        <v>530</v>
      </c>
      <c r="D3459" s="15" t="s">
        <v>531</v>
      </c>
      <c r="E3459" s="19">
        <v>31910</v>
      </c>
      <c r="F3459" s="19">
        <v>32357</v>
      </c>
      <c r="G3459" s="20">
        <f t="shared" si="53"/>
        <v>0.50347767905768126</v>
      </c>
      <c r="H3459" s="24" t="s">
        <v>603</v>
      </c>
      <c r="I3459" s="24" t="s">
        <v>610</v>
      </c>
      <c r="J3459" s="24" t="s">
        <v>611</v>
      </c>
      <c r="K3459" s="24" t="s">
        <v>613</v>
      </c>
    </row>
    <row r="3460" spans="1:11">
      <c r="A3460" s="12">
        <v>2023</v>
      </c>
      <c r="B3460" s="15" t="s">
        <v>532</v>
      </c>
      <c r="C3460" s="15" t="s">
        <v>22</v>
      </c>
      <c r="D3460" s="15" t="s">
        <v>532</v>
      </c>
      <c r="E3460" s="19">
        <v>633283</v>
      </c>
      <c r="F3460" s="19">
        <v>144620</v>
      </c>
      <c r="G3460" s="20">
        <f t="shared" si="53"/>
        <v>0.18591006847897487</v>
      </c>
      <c r="H3460" s="24" t="s">
        <v>583</v>
      </c>
      <c r="I3460" s="24" t="s">
        <v>606</v>
      </c>
      <c r="J3460" s="24" t="s">
        <v>607</v>
      </c>
      <c r="K3460" s="24" t="s">
        <v>613</v>
      </c>
    </row>
    <row r="3461" spans="1:11">
      <c r="A3461" s="12">
        <v>2023</v>
      </c>
      <c r="B3461" s="15" t="s">
        <v>532</v>
      </c>
      <c r="C3461" s="15" t="s">
        <v>533</v>
      </c>
      <c r="D3461" s="15" t="s">
        <v>534</v>
      </c>
      <c r="E3461" s="19">
        <v>159200</v>
      </c>
      <c r="F3461" s="19">
        <v>113912</v>
      </c>
      <c r="G3461" s="20">
        <f t="shared" si="53"/>
        <v>0.41708895984065147</v>
      </c>
      <c r="H3461" s="24" t="s">
        <v>583</v>
      </c>
      <c r="I3461" s="24" t="s">
        <v>606</v>
      </c>
      <c r="J3461" s="24" t="s">
        <v>607</v>
      </c>
      <c r="K3461" s="24" t="s">
        <v>613</v>
      </c>
    </row>
    <row r="3462" spans="1:11">
      <c r="A3462" s="12">
        <v>2023</v>
      </c>
      <c r="B3462" s="15" t="s">
        <v>532</v>
      </c>
      <c r="C3462" s="15" t="s">
        <v>535</v>
      </c>
      <c r="D3462" s="15" t="s">
        <v>536</v>
      </c>
      <c r="E3462" s="19">
        <v>460746</v>
      </c>
      <c r="F3462" s="19">
        <v>117483</v>
      </c>
      <c r="G3462" s="20">
        <f t="shared" ref="G3462:G3525" si="54">IFERROR(F3462/(E3462+F3462),"")</f>
        <v>0.20317728789112963</v>
      </c>
      <c r="H3462" s="24" t="s">
        <v>583</v>
      </c>
      <c r="I3462" s="24" t="s">
        <v>606</v>
      </c>
      <c r="J3462" s="24" t="s">
        <v>607</v>
      </c>
      <c r="K3462" s="24" t="s">
        <v>613</v>
      </c>
    </row>
    <row r="3463" spans="1:11">
      <c r="A3463" s="12">
        <v>2024</v>
      </c>
      <c r="B3463" s="15" t="s">
        <v>21</v>
      </c>
      <c r="C3463" s="15" t="s">
        <v>22</v>
      </c>
      <c r="D3463" s="15" t="s">
        <v>21</v>
      </c>
      <c r="E3463" s="19">
        <v>8798697</v>
      </c>
      <c r="F3463" s="19">
        <v>2348964</v>
      </c>
      <c r="G3463" s="20">
        <f t="shared" si="54"/>
        <v>0.21071361965528015</v>
      </c>
      <c r="H3463" s="24" t="s">
        <v>589</v>
      </c>
      <c r="I3463" s="24" t="s">
        <v>577</v>
      </c>
      <c r="J3463" s="24" t="s">
        <v>578</v>
      </c>
      <c r="K3463" s="24" t="s">
        <v>614</v>
      </c>
    </row>
    <row r="3464" spans="1:11">
      <c r="A3464" s="12">
        <v>2024</v>
      </c>
      <c r="B3464" s="15" t="s">
        <v>21</v>
      </c>
      <c r="C3464" s="15" t="s">
        <v>23</v>
      </c>
      <c r="D3464" s="15" t="s">
        <v>24</v>
      </c>
      <c r="E3464" s="19">
        <v>474263</v>
      </c>
      <c r="F3464" s="19">
        <v>401894</v>
      </c>
      <c r="G3464" s="20">
        <f t="shared" si="54"/>
        <v>0.4587008949309313</v>
      </c>
      <c r="H3464" s="24" t="s">
        <v>589</v>
      </c>
      <c r="I3464" s="24" t="s">
        <v>577</v>
      </c>
      <c r="J3464" s="24" t="s">
        <v>578</v>
      </c>
      <c r="K3464" s="24" t="s">
        <v>614</v>
      </c>
    </row>
    <row r="3465" spans="1:11">
      <c r="A3465" s="12">
        <v>2024</v>
      </c>
      <c r="B3465" s="15" t="s">
        <v>21</v>
      </c>
      <c r="C3465" s="15" t="s">
        <v>25</v>
      </c>
      <c r="D3465" s="15" t="s">
        <v>26</v>
      </c>
      <c r="E3465" s="19">
        <v>407780</v>
      </c>
      <c r="F3465" s="19">
        <v>301085</v>
      </c>
      <c r="G3465" s="20">
        <f t="shared" si="54"/>
        <v>0.42474236984475183</v>
      </c>
      <c r="H3465" s="24" t="s">
        <v>589</v>
      </c>
      <c r="I3465" s="24" t="s">
        <v>577</v>
      </c>
      <c r="J3465" s="24" t="s">
        <v>578</v>
      </c>
      <c r="K3465" s="24" t="s">
        <v>614</v>
      </c>
    </row>
    <row r="3466" spans="1:11">
      <c r="A3466" s="12">
        <v>2024</v>
      </c>
      <c r="B3466" s="15" t="s">
        <v>21</v>
      </c>
      <c r="C3466" s="15" t="s">
        <v>27</v>
      </c>
      <c r="D3466" s="15" t="s">
        <v>28</v>
      </c>
      <c r="E3466" s="19">
        <v>234897</v>
      </c>
      <c r="F3466" s="19">
        <v>205230</v>
      </c>
      <c r="G3466" s="20">
        <f t="shared" si="54"/>
        <v>0.46629722784559913</v>
      </c>
      <c r="H3466" s="24" t="s">
        <v>589</v>
      </c>
      <c r="I3466" s="24" t="s">
        <v>577</v>
      </c>
      <c r="J3466" s="24" t="s">
        <v>578</v>
      </c>
      <c r="K3466" s="24" t="s">
        <v>614</v>
      </c>
    </row>
    <row r="3467" spans="1:11">
      <c r="A3467" s="12">
        <v>2024</v>
      </c>
      <c r="B3467" s="15" t="s">
        <v>21</v>
      </c>
      <c r="C3467" s="15" t="s">
        <v>29</v>
      </c>
      <c r="D3467" s="15" t="s">
        <v>30</v>
      </c>
      <c r="E3467" s="19">
        <v>477860</v>
      </c>
      <c r="F3467" s="19">
        <v>361298</v>
      </c>
      <c r="G3467" s="20">
        <f t="shared" si="54"/>
        <v>0.4305482400215454</v>
      </c>
      <c r="H3467" s="24" t="s">
        <v>589</v>
      </c>
      <c r="I3467" s="24" t="s">
        <v>577</v>
      </c>
      <c r="J3467" s="24" t="s">
        <v>578</v>
      </c>
      <c r="K3467" s="24" t="s">
        <v>614</v>
      </c>
    </row>
    <row r="3468" spans="1:11">
      <c r="A3468" s="12">
        <v>2024</v>
      </c>
      <c r="B3468" s="15" t="s">
        <v>21</v>
      </c>
      <c r="C3468" s="15" t="s">
        <v>31</v>
      </c>
      <c r="D3468" s="15" t="s">
        <v>32</v>
      </c>
      <c r="E3468" s="19">
        <v>386725</v>
      </c>
      <c r="F3468" s="19">
        <v>352988</v>
      </c>
      <c r="G3468" s="20">
        <f t="shared" si="54"/>
        <v>0.47719588543124158</v>
      </c>
      <c r="H3468" s="24" t="s">
        <v>589</v>
      </c>
      <c r="I3468" s="24" t="s">
        <v>577</v>
      </c>
      <c r="J3468" s="24" t="s">
        <v>578</v>
      </c>
      <c r="K3468" s="24" t="s">
        <v>614</v>
      </c>
    </row>
    <row r="3469" spans="1:11">
      <c r="A3469" s="12">
        <v>2024</v>
      </c>
      <c r="B3469" s="15" t="s">
        <v>21</v>
      </c>
      <c r="C3469" s="15" t="s">
        <v>33</v>
      </c>
      <c r="D3469" s="15" t="s">
        <v>34</v>
      </c>
      <c r="E3469" s="19">
        <v>283350</v>
      </c>
      <c r="F3469" s="19">
        <v>230816</v>
      </c>
      <c r="G3469" s="20">
        <f t="shared" si="54"/>
        <v>0.44891338594928487</v>
      </c>
      <c r="H3469" s="24" t="s">
        <v>589</v>
      </c>
      <c r="I3469" s="24" t="s">
        <v>577</v>
      </c>
      <c r="J3469" s="24" t="s">
        <v>578</v>
      </c>
      <c r="K3469" s="24" t="s">
        <v>614</v>
      </c>
    </row>
    <row r="3470" spans="1:11">
      <c r="A3470" s="12">
        <v>2024</v>
      </c>
      <c r="B3470" s="15" t="s">
        <v>21</v>
      </c>
      <c r="C3470" s="15" t="s">
        <v>35</v>
      </c>
      <c r="D3470" s="15" t="s">
        <v>36</v>
      </c>
      <c r="E3470" s="19">
        <v>338601</v>
      </c>
      <c r="F3470" s="19">
        <v>295465</v>
      </c>
      <c r="G3470" s="20">
        <f t="shared" si="54"/>
        <v>0.46598461358912163</v>
      </c>
      <c r="H3470" s="24" t="s">
        <v>589</v>
      </c>
      <c r="I3470" s="24" t="s">
        <v>577</v>
      </c>
      <c r="J3470" s="24" t="s">
        <v>578</v>
      </c>
      <c r="K3470" s="24" t="s">
        <v>614</v>
      </c>
    </row>
    <row r="3471" spans="1:11">
      <c r="A3471" s="12">
        <v>2024</v>
      </c>
      <c r="B3471" s="15" t="s">
        <v>21</v>
      </c>
      <c r="C3471" s="15" t="s">
        <v>37</v>
      </c>
      <c r="D3471" s="15" t="s">
        <v>38</v>
      </c>
      <c r="E3471" s="19">
        <v>191438</v>
      </c>
      <c r="F3471" s="19">
        <v>178156</v>
      </c>
      <c r="G3471" s="20">
        <f t="shared" si="54"/>
        <v>0.48203163471268473</v>
      </c>
      <c r="H3471" s="24" t="s">
        <v>589</v>
      </c>
      <c r="I3471" s="24" t="s">
        <v>577</v>
      </c>
      <c r="J3471" s="24" t="s">
        <v>578</v>
      </c>
      <c r="K3471" s="24" t="s">
        <v>614</v>
      </c>
    </row>
    <row r="3472" spans="1:11">
      <c r="A3472" s="12">
        <v>2024</v>
      </c>
      <c r="B3472" s="15" t="s">
        <v>21</v>
      </c>
      <c r="C3472" s="15" t="s">
        <v>39</v>
      </c>
      <c r="D3472" s="15" t="s">
        <v>40</v>
      </c>
      <c r="E3472" s="19">
        <v>419234</v>
      </c>
      <c r="F3472" s="19">
        <v>313352</v>
      </c>
      <c r="G3472" s="20">
        <f t="shared" si="54"/>
        <v>0.42773408173238364</v>
      </c>
      <c r="H3472" s="24" t="s">
        <v>589</v>
      </c>
      <c r="I3472" s="24" t="s">
        <v>577</v>
      </c>
      <c r="J3472" s="24" t="s">
        <v>578</v>
      </c>
      <c r="K3472" s="24" t="s">
        <v>614</v>
      </c>
    </row>
    <row r="3473" spans="1:11">
      <c r="A3473" s="12">
        <v>2024</v>
      </c>
      <c r="B3473" s="15" t="s">
        <v>21</v>
      </c>
      <c r="C3473" s="15" t="s">
        <v>41</v>
      </c>
      <c r="D3473" s="15" t="s">
        <v>42</v>
      </c>
      <c r="E3473" s="19">
        <v>245934</v>
      </c>
      <c r="F3473" s="19">
        <v>226044</v>
      </c>
      <c r="G3473" s="20">
        <f t="shared" si="54"/>
        <v>0.47892910262766486</v>
      </c>
      <c r="H3473" s="24" t="s">
        <v>589</v>
      </c>
      <c r="I3473" s="24" t="s">
        <v>577</v>
      </c>
      <c r="J3473" s="24" t="s">
        <v>578</v>
      </c>
      <c r="K3473" s="24" t="s">
        <v>614</v>
      </c>
    </row>
    <row r="3474" spans="1:11">
      <c r="A3474" s="12">
        <v>2024</v>
      </c>
      <c r="B3474" s="15" t="s">
        <v>21</v>
      </c>
      <c r="C3474" s="15" t="s">
        <v>43</v>
      </c>
      <c r="D3474" s="15" t="s">
        <v>44</v>
      </c>
      <c r="E3474" s="19">
        <v>281305</v>
      </c>
      <c r="F3474" s="19">
        <v>244299</v>
      </c>
      <c r="G3474" s="20">
        <f t="shared" si="54"/>
        <v>0.46479669104496923</v>
      </c>
      <c r="H3474" s="24" t="s">
        <v>589</v>
      </c>
      <c r="I3474" s="24" t="s">
        <v>577</v>
      </c>
      <c r="J3474" s="24" t="s">
        <v>578</v>
      </c>
      <c r="K3474" s="24" t="s">
        <v>614</v>
      </c>
    </row>
    <row r="3475" spans="1:11">
      <c r="A3475" s="12">
        <v>2024</v>
      </c>
      <c r="B3475" s="15" t="s">
        <v>21</v>
      </c>
      <c r="C3475" s="15" t="s">
        <v>45</v>
      </c>
      <c r="D3475" s="15" t="s">
        <v>46</v>
      </c>
      <c r="E3475" s="19">
        <v>294557</v>
      </c>
      <c r="F3475" s="19">
        <v>296776</v>
      </c>
      <c r="G3475" s="20">
        <f t="shared" si="54"/>
        <v>0.50187626937782936</v>
      </c>
      <c r="H3475" s="24" t="s">
        <v>589</v>
      </c>
      <c r="I3475" s="24" t="s">
        <v>577</v>
      </c>
      <c r="J3475" s="24" t="s">
        <v>578</v>
      </c>
      <c r="K3475" s="24" t="s">
        <v>614</v>
      </c>
    </row>
    <row r="3476" spans="1:11">
      <c r="A3476" s="12">
        <v>2024</v>
      </c>
      <c r="B3476" s="15" t="s">
        <v>21</v>
      </c>
      <c r="C3476" s="15" t="s">
        <v>47</v>
      </c>
      <c r="D3476" s="15" t="s">
        <v>48</v>
      </c>
      <c r="E3476" s="19">
        <v>297450</v>
      </c>
      <c r="F3476" s="19">
        <v>279345</v>
      </c>
      <c r="G3476" s="20">
        <f t="shared" si="54"/>
        <v>0.48430551582451303</v>
      </c>
      <c r="H3476" s="24" t="s">
        <v>589</v>
      </c>
      <c r="I3476" s="24" t="s">
        <v>577</v>
      </c>
      <c r="J3476" s="24" t="s">
        <v>578</v>
      </c>
      <c r="K3476" s="24" t="s">
        <v>614</v>
      </c>
    </row>
    <row r="3477" spans="1:11">
      <c r="A3477" s="12">
        <v>2024</v>
      </c>
      <c r="B3477" s="15" t="s">
        <v>21</v>
      </c>
      <c r="C3477" s="15" t="s">
        <v>49</v>
      </c>
      <c r="D3477" s="15" t="s">
        <v>50</v>
      </c>
      <c r="E3477" s="19">
        <v>239744</v>
      </c>
      <c r="F3477" s="19">
        <v>239931</v>
      </c>
      <c r="G3477" s="20">
        <f t="shared" si="54"/>
        <v>0.50019492364621876</v>
      </c>
      <c r="H3477" s="24" t="s">
        <v>589</v>
      </c>
      <c r="I3477" s="24" t="s">
        <v>577</v>
      </c>
      <c r="J3477" s="24" t="s">
        <v>578</v>
      </c>
      <c r="K3477" s="24" t="s">
        <v>614</v>
      </c>
    </row>
    <row r="3478" spans="1:11">
      <c r="A3478" s="12">
        <v>2024</v>
      </c>
      <c r="B3478" s="15" t="s">
        <v>21</v>
      </c>
      <c r="C3478" s="15" t="s">
        <v>51</v>
      </c>
      <c r="D3478" s="15" t="s">
        <v>52</v>
      </c>
      <c r="E3478" s="19">
        <v>333355</v>
      </c>
      <c r="F3478" s="19">
        <v>320286</v>
      </c>
      <c r="G3478" s="20">
        <f t="shared" si="54"/>
        <v>0.49000292209332036</v>
      </c>
      <c r="H3478" s="24" t="s">
        <v>589</v>
      </c>
      <c r="I3478" s="24" t="s">
        <v>577</v>
      </c>
      <c r="J3478" s="24" t="s">
        <v>578</v>
      </c>
      <c r="K3478" s="24" t="s">
        <v>614</v>
      </c>
    </row>
    <row r="3479" spans="1:11">
      <c r="A3479" s="12">
        <v>2024</v>
      </c>
      <c r="B3479" s="15" t="s">
        <v>21</v>
      </c>
      <c r="C3479" s="15" t="s">
        <v>53</v>
      </c>
      <c r="D3479" s="15" t="s">
        <v>54</v>
      </c>
      <c r="E3479" s="19">
        <v>218125</v>
      </c>
      <c r="F3479" s="19">
        <v>216714</v>
      </c>
      <c r="G3479" s="20">
        <f t="shared" si="54"/>
        <v>0.4983775604304122</v>
      </c>
      <c r="H3479" s="24" t="s">
        <v>589</v>
      </c>
      <c r="I3479" s="24" t="s">
        <v>577</v>
      </c>
      <c r="J3479" s="24" t="s">
        <v>578</v>
      </c>
      <c r="K3479" s="24" t="s">
        <v>614</v>
      </c>
    </row>
    <row r="3480" spans="1:11">
      <c r="A3480" s="12">
        <v>2024</v>
      </c>
      <c r="B3480" s="15" t="s">
        <v>21</v>
      </c>
      <c r="C3480" s="15" t="s">
        <v>55</v>
      </c>
      <c r="D3480" s="15" t="s">
        <v>56</v>
      </c>
      <c r="E3480" s="19">
        <v>340926</v>
      </c>
      <c r="F3480" s="19">
        <v>322358</v>
      </c>
      <c r="G3480" s="20">
        <f t="shared" si="54"/>
        <v>0.48600297911603474</v>
      </c>
      <c r="H3480" s="24" t="s">
        <v>589</v>
      </c>
      <c r="I3480" s="24" t="s">
        <v>577</v>
      </c>
      <c r="J3480" s="24" t="s">
        <v>578</v>
      </c>
      <c r="K3480" s="24" t="s">
        <v>614</v>
      </c>
    </row>
    <row r="3481" spans="1:11">
      <c r="A3481" s="12">
        <v>2024</v>
      </c>
      <c r="B3481" s="15" t="s">
        <v>21</v>
      </c>
      <c r="C3481" s="15" t="s">
        <v>57</v>
      </c>
      <c r="D3481" s="15" t="s">
        <v>58</v>
      </c>
      <c r="E3481" s="19">
        <v>553019</v>
      </c>
      <c r="F3481" s="19">
        <v>447692</v>
      </c>
      <c r="G3481" s="20">
        <f t="shared" si="54"/>
        <v>0.44737391714490998</v>
      </c>
      <c r="H3481" s="24" t="s">
        <v>589</v>
      </c>
      <c r="I3481" s="24" t="s">
        <v>577</v>
      </c>
      <c r="J3481" s="24" t="s">
        <v>578</v>
      </c>
      <c r="K3481" s="24" t="s">
        <v>614</v>
      </c>
    </row>
    <row r="3482" spans="1:11">
      <c r="A3482" s="12">
        <v>2024</v>
      </c>
      <c r="B3482" s="15" t="s">
        <v>21</v>
      </c>
      <c r="C3482" s="15" t="s">
        <v>59</v>
      </c>
      <c r="D3482" s="15" t="s">
        <v>60</v>
      </c>
      <c r="E3482" s="19">
        <v>357706</v>
      </c>
      <c r="F3482" s="19">
        <v>317598</v>
      </c>
      <c r="G3482" s="20">
        <f t="shared" si="54"/>
        <v>0.4703037446838757</v>
      </c>
      <c r="H3482" s="24" t="s">
        <v>589</v>
      </c>
      <c r="I3482" s="24" t="s">
        <v>577</v>
      </c>
      <c r="J3482" s="24" t="s">
        <v>578</v>
      </c>
      <c r="K3482" s="24" t="s">
        <v>614</v>
      </c>
    </row>
    <row r="3483" spans="1:11">
      <c r="A3483" s="12">
        <v>2024</v>
      </c>
      <c r="B3483" s="15" t="s">
        <v>21</v>
      </c>
      <c r="C3483" s="15" t="s">
        <v>61</v>
      </c>
      <c r="D3483" s="15" t="s">
        <v>62</v>
      </c>
      <c r="E3483" s="19">
        <v>327263</v>
      </c>
      <c r="F3483" s="19">
        <v>290762</v>
      </c>
      <c r="G3483" s="20">
        <f t="shared" si="54"/>
        <v>0.47046964119574453</v>
      </c>
      <c r="H3483" s="24" t="s">
        <v>589</v>
      </c>
      <c r="I3483" s="24" t="s">
        <v>577</v>
      </c>
      <c r="J3483" s="24" t="s">
        <v>578</v>
      </c>
      <c r="K3483" s="24" t="s">
        <v>614</v>
      </c>
    </row>
    <row r="3484" spans="1:11">
      <c r="A3484" s="12">
        <v>2024</v>
      </c>
      <c r="B3484" s="15" t="s">
        <v>21</v>
      </c>
      <c r="C3484" s="15" t="s">
        <v>63</v>
      </c>
      <c r="D3484" s="15" t="s">
        <v>64</v>
      </c>
      <c r="E3484" s="19">
        <v>149996</v>
      </c>
      <c r="F3484" s="19">
        <v>168485</v>
      </c>
      <c r="G3484" s="20">
        <f t="shared" si="54"/>
        <v>0.52902684932539146</v>
      </c>
      <c r="H3484" s="24" t="s">
        <v>589</v>
      </c>
      <c r="I3484" s="24" t="s">
        <v>577</v>
      </c>
      <c r="J3484" s="24" t="s">
        <v>578</v>
      </c>
      <c r="K3484" s="24" t="s">
        <v>614</v>
      </c>
    </row>
    <row r="3485" spans="1:11">
      <c r="A3485" s="12">
        <v>2024</v>
      </c>
      <c r="B3485" s="15" t="s">
        <v>21</v>
      </c>
      <c r="C3485" s="15" t="s">
        <v>65</v>
      </c>
      <c r="D3485" s="15" t="s">
        <v>66</v>
      </c>
      <c r="E3485" s="19">
        <v>391367</v>
      </c>
      <c r="F3485" s="19">
        <v>296710</v>
      </c>
      <c r="G3485" s="20">
        <f t="shared" si="54"/>
        <v>0.43121627376005883</v>
      </c>
      <c r="H3485" s="24" t="s">
        <v>589</v>
      </c>
      <c r="I3485" s="24" t="s">
        <v>577</v>
      </c>
      <c r="J3485" s="24" t="s">
        <v>578</v>
      </c>
      <c r="K3485" s="24" t="s">
        <v>614</v>
      </c>
    </row>
    <row r="3486" spans="1:11">
      <c r="A3486" s="12">
        <v>2024</v>
      </c>
      <c r="B3486" s="15" t="s">
        <v>21</v>
      </c>
      <c r="C3486" s="15" t="s">
        <v>67</v>
      </c>
      <c r="D3486" s="15" t="s">
        <v>68</v>
      </c>
      <c r="E3486" s="19">
        <v>108685</v>
      </c>
      <c r="F3486" s="19">
        <v>114312</v>
      </c>
      <c r="G3486" s="20">
        <f t="shared" si="54"/>
        <v>0.51261676166047077</v>
      </c>
      <c r="H3486" s="24" t="s">
        <v>589</v>
      </c>
      <c r="I3486" s="24" t="s">
        <v>577</v>
      </c>
      <c r="J3486" s="24" t="s">
        <v>578</v>
      </c>
      <c r="K3486" s="24" t="s">
        <v>614</v>
      </c>
    </row>
    <row r="3487" spans="1:11">
      <c r="A3487" s="12">
        <v>2024</v>
      </c>
      <c r="B3487" s="15" t="s">
        <v>21</v>
      </c>
      <c r="C3487" s="15" t="s">
        <v>69</v>
      </c>
      <c r="D3487" s="15" t="s">
        <v>70</v>
      </c>
      <c r="E3487" s="19">
        <v>97367</v>
      </c>
      <c r="F3487" s="19">
        <v>104377</v>
      </c>
      <c r="G3487" s="20">
        <f t="shared" si="54"/>
        <v>0.51737350305337459</v>
      </c>
      <c r="H3487" s="24" t="s">
        <v>589</v>
      </c>
      <c r="I3487" s="24" t="s">
        <v>577</v>
      </c>
      <c r="J3487" s="24" t="s">
        <v>578</v>
      </c>
      <c r="K3487" s="24" t="s">
        <v>614</v>
      </c>
    </row>
    <row r="3488" spans="1:11">
      <c r="A3488" s="12">
        <v>2024</v>
      </c>
      <c r="B3488" s="15" t="s">
        <v>21</v>
      </c>
      <c r="C3488" s="15" t="s">
        <v>71</v>
      </c>
      <c r="D3488" s="15" t="s">
        <v>72</v>
      </c>
      <c r="E3488" s="19">
        <v>318648</v>
      </c>
      <c r="F3488" s="19">
        <v>263699</v>
      </c>
      <c r="G3488" s="20">
        <f t="shared" si="54"/>
        <v>0.45282108433631496</v>
      </c>
      <c r="H3488" s="24" t="s">
        <v>589</v>
      </c>
      <c r="I3488" s="24" t="s">
        <v>577</v>
      </c>
      <c r="J3488" s="24" t="s">
        <v>578</v>
      </c>
      <c r="K3488" s="24" t="s">
        <v>614</v>
      </c>
    </row>
    <row r="3489" spans="1:11">
      <c r="A3489" s="12">
        <v>2024</v>
      </c>
      <c r="B3489" s="15" t="s">
        <v>73</v>
      </c>
      <c r="C3489" s="15" t="s">
        <v>22</v>
      </c>
      <c r="D3489" s="15" t="s">
        <v>73</v>
      </c>
      <c r="E3489" s="19">
        <v>3073054</v>
      </c>
      <c r="F3489" s="19">
        <v>644752</v>
      </c>
      <c r="G3489" s="20">
        <f t="shared" si="54"/>
        <v>0.17342271221252534</v>
      </c>
      <c r="H3489" s="24" t="s">
        <v>603</v>
      </c>
      <c r="I3489" s="24" t="s">
        <v>615</v>
      </c>
      <c r="J3489" s="24" t="s">
        <v>616</v>
      </c>
      <c r="K3489" s="24" t="s">
        <v>614</v>
      </c>
    </row>
    <row r="3490" spans="1:11">
      <c r="A3490" s="12">
        <v>2024</v>
      </c>
      <c r="B3490" s="15" t="s">
        <v>73</v>
      </c>
      <c r="C3490" s="15" t="s">
        <v>29</v>
      </c>
      <c r="D3490" s="15" t="s">
        <v>74</v>
      </c>
      <c r="E3490" s="19">
        <v>115424</v>
      </c>
      <c r="F3490" s="19">
        <v>109954</v>
      </c>
      <c r="G3490" s="20">
        <f t="shared" si="54"/>
        <v>0.48786483152747828</v>
      </c>
      <c r="H3490" s="24" t="s">
        <v>603</v>
      </c>
      <c r="I3490" s="24" t="s">
        <v>615</v>
      </c>
      <c r="J3490" s="24" t="s">
        <v>616</v>
      </c>
      <c r="K3490" s="24" t="s">
        <v>614</v>
      </c>
    </row>
    <row r="3491" spans="1:11">
      <c r="A3491" s="12">
        <v>2024</v>
      </c>
      <c r="B3491" s="15" t="s">
        <v>73</v>
      </c>
      <c r="C3491" s="15" t="s">
        <v>75</v>
      </c>
      <c r="D3491" s="15" t="s">
        <v>76</v>
      </c>
      <c r="E3491" s="19">
        <v>176416</v>
      </c>
      <c r="F3491" s="19">
        <v>158985</v>
      </c>
      <c r="G3491" s="20">
        <f t="shared" si="54"/>
        <v>0.4740146868971768</v>
      </c>
      <c r="H3491" s="24" t="s">
        <v>603</v>
      </c>
      <c r="I3491" s="24" t="s">
        <v>615</v>
      </c>
      <c r="J3491" s="24" t="s">
        <v>616</v>
      </c>
      <c r="K3491" s="24" t="s">
        <v>614</v>
      </c>
    </row>
    <row r="3492" spans="1:11">
      <c r="A3492" s="12">
        <v>2024</v>
      </c>
      <c r="B3492" s="15" t="s">
        <v>73</v>
      </c>
      <c r="C3492" s="15" t="s">
        <v>77</v>
      </c>
      <c r="D3492" s="15" t="s">
        <v>78</v>
      </c>
      <c r="E3492" s="19">
        <v>150184</v>
      </c>
      <c r="F3492" s="19">
        <v>114372</v>
      </c>
      <c r="G3492" s="20">
        <f t="shared" si="54"/>
        <v>0.43231678737204976</v>
      </c>
      <c r="H3492" s="24" t="s">
        <v>603</v>
      </c>
      <c r="I3492" s="24" t="s">
        <v>615</v>
      </c>
      <c r="J3492" s="24" t="s">
        <v>616</v>
      </c>
      <c r="K3492" s="24" t="s">
        <v>614</v>
      </c>
    </row>
    <row r="3493" spans="1:11">
      <c r="A3493" s="12">
        <v>2024</v>
      </c>
      <c r="B3493" s="15" t="s">
        <v>73</v>
      </c>
      <c r="C3493" s="15" t="s">
        <v>79</v>
      </c>
      <c r="D3493" s="15" t="s">
        <v>80</v>
      </c>
      <c r="E3493" s="19">
        <v>213907</v>
      </c>
      <c r="F3493" s="19">
        <v>188311</v>
      </c>
      <c r="G3493" s="20">
        <f t="shared" si="54"/>
        <v>0.46818143394875417</v>
      </c>
      <c r="H3493" s="24" t="s">
        <v>603</v>
      </c>
      <c r="I3493" s="24" t="s">
        <v>615</v>
      </c>
      <c r="J3493" s="24" t="s">
        <v>616</v>
      </c>
      <c r="K3493" s="24" t="s">
        <v>614</v>
      </c>
    </row>
    <row r="3494" spans="1:11">
      <c r="A3494" s="12">
        <v>2024</v>
      </c>
      <c r="B3494" s="15" t="s">
        <v>73</v>
      </c>
      <c r="C3494" s="15" t="s">
        <v>81</v>
      </c>
      <c r="D3494" s="15" t="s">
        <v>82</v>
      </c>
      <c r="E3494" s="19">
        <v>67912</v>
      </c>
      <c r="F3494" s="19">
        <v>68544</v>
      </c>
      <c r="G3494" s="20">
        <f t="shared" si="54"/>
        <v>0.50231576478864981</v>
      </c>
      <c r="H3494" s="24" t="s">
        <v>603</v>
      </c>
      <c r="I3494" s="24" t="s">
        <v>615</v>
      </c>
      <c r="J3494" s="24" t="s">
        <v>616</v>
      </c>
      <c r="K3494" s="24" t="s">
        <v>614</v>
      </c>
    </row>
    <row r="3495" spans="1:11">
      <c r="A3495" s="12">
        <v>2024</v>
      </c>
      <c r="B3495" s="15" t="s">
        <v>73</v>
      </c>
      <c r="C3495" s="15" t="s">
        <v>83</v>
      </c>
      <c r="D3495" s="15" t="s">
        <v>84</v>
      </c>
      <c r="E3495" s="19">
        <v>231852</v>
      </c>
      <c r="F3495" s="19">
        <v>202006</v>
      </c>
      <c r="G3495" s="20">
        <f t="shared" si="54"/>
        <v>0.46560395336723076</v>
      </c>
      <c r="H3495" s="24" t="s">
        <v>603</v>
      </c>
      <c r="I3495" s="24" t="s">
        <v>615</v>
      </c>
      <c r="J3495" s="24" t="s">
        <v>616</v>
      </c>
      <c r="K3495" s="24" t="s">
        <v>614</v>
      </c>
    </row>
    <row r="3496" spans="1:11">
      <c r="A3496" s="12">
        <v>2024</v>
      </c>
      <c r="B3496" s="15" t="s">
        <v>73</v>
      </c>
      <c r="C3496" s="15" t="s">
        <v>85</v>
      </c>
      <c r="D3496" s="15" t="s">
        <v>86</v>
      </c>
      <c r="E3496" s="19">
        <v>306211</v>
      </c>
      <c r="F3496" s="19">
        <v>243705</v>
      </c>
      <c r="G3496" s="20">
        <f t="shared" si="54"/>
        <v>0.44316768379170635</v>
      </c>
      <c r="H3496" s="24" t="s">
        <v>603</v>
      </c>
      <c r="I3496" s="24" t="s">
        <v>615</v>
      </c>
      <c r="J3496" s="24" t="s">
        <v>616</v>
      </c>
      <c r="K3496" s="24" t="s">
        <v>614</v>
      </c>
    </row>
    <row r="3497" spans="1:11">
      <c r="A3497" s="12">
        <v>2024</v>
      </c>
      <c r="B3497" s="15" t="s">
        <v>73</v>
      </c>
      <c r="C3497" s="15" t="s">
        <v>87</v>
      </c>
      <c r="D3497" s="15" t="s">
        <v>88</v>
      </c>
      <c r="E3497" s="19">
        <v>234084</v>
      </c>
      <c r="F3497" s="19">
        <v>169408</v>
      </c>
      <c r="G3497" s="20">
        <f t="shared" si="54"/>
        <v>0.41985466874188337</v>
      </c>
      <c r="H3497" s="24" t="s">
        <v>603</v>
      </c>
      <c r="I3497" s="24" t="s">
        <v>615</v>
      </c>
      <c r="J3497" s="24" t="s">
        <v>616</v>
      </c>
      <c r="K3497" s="24" t="s">
        <v>614</v>
      </c>
    </row>
    <row r="3498" spans="1:11">
      <c r="A3498" s="12">
        <v>2024</v>
      </c>
      <c r="B3498" s="15" t="s">
        <v>73</v>
      </c>
      <c r="C3498" s="15" t="s">
        <v>89</v>
      </c>
      <c r="D3498" s="15" t="s">
        <v>90</v>
      </c>
      <c r="E3498" s="19">
        <v>164262</v>
      </c>
      <c r="F3498" s="19">
        <v>151692</v>
      </c>
      <c r="G3498" s="20">
        <f t="shared" si="54"/>
        <v>0.48010786380295867</v>
      </c>
      <c r="H3498" s="24" t="s">
        <v>603</v>
      </c>
      <c r="I3498" s="24" t="s">
        <v>615</v>
      </c>
      <c r="J3498" s="24" t="s">
        <v>616</v>
      </c>
      <c r="K3498" s="24" t="s">
        <v>614</v>
      </c>
    </row>
    <row r="3499" spans="1:11">
      <c r="A3499" s="12">
        <v>2024</v>
      </c>
      <c r="B3499" s="15" t="s">
        <v>73</v>
      </c>
      <c r="C3499" s="15" t="s">
        <v>91</v>
      </c>
      <c r="D3499" s="15" t="s">
        <v>92</v>
      </c>
      <c r="E3499" s="19">
        <v>255411</v>
      </c>
      <c r="F3499" s="19">
        <v>188390</v>
      </c>
      <c r="G3499" s="20">
        <f t="shared" si="54"/>
        <v>0.42449205837751602</v>
      </c>
      <c r="H3499" s="24" t="s">
        <v>603</v>
      </c>
      <c r="I3499" s="24" t="s">
        <v>615</v>
      </c>
      <c r="J3499" s="24" t="s">
        <v>616</v>
      </c>
      <c r="K3499" s="24" t="s">
        <v>614</v>
      </c>
    </row>
    <row r="3500" spans="1:11">
      <c r="A3500" s="12">
        <v>2024</v>
      </c>
      <c r="B3500" s="15" t="s">
        <v>73</v>
      </c>
      <c r="C3500" s="15" t="s">
        <v>93</v>
      </c>
      <c r="D3500" s="15" t="s">
        <v>94</v>
      </c>
      <c r="E3500" s="19">
        <v>83051</v>
      </c>
      <c r="F3500" s="19">
        <v>81950</v>
      </c>
      <c r="G3500" s="20">
        <f t="shared" si="54"/>
        <v>0.49666365658389949</v>
      </c>
      <c r="H3500" s="24" t="s">
        <v>603</v>
      </c>
      <c r="I3500" s="24" t="s">
        <v>615</v>
      </c>
      <c r="J3500" s="24" t="s">
        <v>616</v>
      </c>
      <c r="K3500" s="24" t="s">
        <v>614</v>
      </c>
    </row>
    <row r="3501" spans="1:11">
      <c r="A3501" s="12">
        <v>2024</v>
      </c>
      <c r="B3501" s="15" t="s">
        <v>73</v>
      </c>
      <c r="C3501" s="15" t="s">
        <v>95</v>
      </c>
      <c r="D3501" s="15" t="s">
        <v>96</v>
      </c>
      <c r="E3501" s="19">
        <v>139415</v>
      </c>
      <c r="F3501" s="19">
        <v>129588</v>
      </c>
      <c r="G3501" s="20">
        <f t="shared" si="54"/>
        <v>0.48173440444902099</v>
      </c>
      <c r="H3501" s="24" t="s">
        <v>603</v>
      </c>
      <c r="I3501" s="24" t="s">
        <v>615</v>
      </c>
      <c r="J3501" s="24" t="s">
        <v>616</v>
      </c>
      <c r="K3501" s="24" t="s">
        <v>614</v>
      </c>
    </row>
    <row r="3502" spans="1:11">
      <c r="A3502" s="12">
        <v>2024</v>
      </c>
      <c r="B3502" s="15" t="s">
        <v>73</v>
      </c>
      <c r="C3502" s="15" t="s">
        <v>97</v>
      </c>
      <c r="D3502" s="15" t="s">
        <v>98</v>
      </c>
      <c r="E3502" s="19">
        <v>170120</v>
      </c>
      <c r="F3502" s="19">
        <v>172569</v>
      </c>
      <c r="G3502" s="20">
        <f t="shared" si="54"/>
        <v>0.50357321069541183</v>
      </c>
      <c r="H3502" s="24" t="s">
        <v>603</v>
      </c>
      <c r="I3502" s="24" t="s">
        <v>615</v>
      </c>
      <c r="J3502" s="24" t="s">
        <v>616</v>
      </c>
      <c r="K3502" s="24" t="s">
        <v>614</v>
      </c>
    </row>
    <row r="3503" spans="1:11">
      <c r="A3503" s="12">
        <v>2024</v>
      </c>
      <c r="B3503" s="15" t="s">
        <v>73</v>
      </c>
      <c r="C3503" s="15" t="s">
        <v>99</v>
      </c>
      <c r="D3503" s="15" t="s">
        <v>100</v>
      </c>
      <c r="E3503" s="19">
        <v>88835</v>
      </c>
      <c r="F3503" s="19">
        <v>73419</v>
      </c>
      <c r="G3503" s="20">
        <f t="shared" si="54"/>
        <v>0.45249423743020201</v>
      </c>
      <c r="H3503" s="24" t="s">
        <v>603</v>
      </c>
      <c r="I3503" s="24" t="s">
        <v>615</v>
      </c>
      <c r="J3503" s="24" t="s">
        <v>616</v>
      </c>
      <c r="K3503" s="24" t="s">
        <v>614</v>
      </c>
    </row>
    <row r="3504" spans="1:11">
      <c r="A3504" s="12">
        <v>2024</v>
      </c>
      <c r="B3504" s="15" t="s">
        <v>73</v>
      </c>
      <c r="C3504" s="15" t="s">
        <v>69</v>
      </c>
      <c r="D3504" s="15" t="s">
        <v>101</v>
      </c>
      <c r="E3504" s="19">
        <v>27950</v>
      </c>
      <c r="F3504" s="19">
        <v>30846</v>
      </c>
      <c r="G3504" s="20">
        <f t="shared" si="54"/>
        <v>0.5246275256820192</v>
      </c>
      <c r="H3504" s="24" t="s">
        <v>603</v>
      </c>
      <c r="I3504" s="24" t="s">
        <v>615</v>
      </c>
      <c r="J3504" s="24" t="s">
        <v>616</v>
      </c>
      <c r="K3504" s="24" t="s">
        <v>614</v>
      </c>
    </row>
    <row r="3505" spans="1:11">
      <c r="A3505" s="12">
        <v>2024</v>
      </c>
      <c r="B3505" s="15" t="s">
        <v>73</v>
      </c>
      <c r="C3505" s="15" t="s">
        <v>102</v>
      </c>
      <c r="D3505" s="15" t="s">
        <v>103</v>
      </c>
      <c r="E3505" s="19">
        <v>325285</v>
      </c>
      <c r="F3505" s="19">
        <v>245806</v>
      </c>
      <c r="G3505" s="20">
        <f t="shared" si="54"/>
        <v>0.43041476752391478</v>
      </c>
      <c r="H3505" s="24" t="s">
        <v>603</v>
      </c>
      <c r="I3505" s="24" t="s">
        <v>615</v>
      </c>
      <c r="J3505" s="24" t="s">
        <v>616</v>
      </c>
      <c r="K3505" s="24" t="s">
        <v>614</v>
      </c>
    </row>
    <row r="3506" spans="1:11">
      <c r="A3506" s="12">
        <v>2024</v>
      </c>
      <c r="B3506" s="15" t="s">
        <v>104</v>
      </c>
      <c r="C3506" s="15" t="s">
        <v>22</v>
      </c>
      <c r="D3506" s="15" t="s">
        <v>104</v>
      </c>
      <c r="E3506" s="19">
        <v>2234813</v>
      </c>
      <c r="F3506" s="19">
        <v>455564</v>
      </c>
      <c r="G3506" s="20">
        <f t="shared" si="54"/>
        <v>0.16933091533268385</v>
      </c>
      <c r="H3506" s="24" t="s">
        <v>603</v>
      </c>
      <c r="I3506" s="24" t="s">
        <v>615</v>
      </c>
      <c r="J3506" s="24" t="s">
        <v>616</v>
      </c>
      <c r="K3506" s="24" t="s">
        <v>614</v>
      </c>
    </row>
    <row r="3507" spans="1:11">
      <c r="A3507" s="12">
        <v>2024</v>
      </c>
      <c r="B3507" s="15" t="s">
        <v>104</v>
      </c>
      <c r="C3507" s="15" t="s">
        <v>105</v>
      </c>
      <c r="D3507" s="15" t="s">
        <v>106</v>
      </c>
      <c r="E3507" s="19">
        <v>14907</v>
      </c>
      <c r="F3507" s="19">
        <v>20172</v>
      </c>
      <c r="G3507" s="20">
        <f t="shared" si="54"/>
        <v>0.57504489865731634</v>
      </c>
      <c r="H3507" s="24" t="s">
        <v>603</v>
      </c>
      <c r="I3507" s="24" t="s">
        <v>615</v>
      </c>
      <c r="J3507" s="24" t="s">
        <v>616</v>
      </c>
      <c r="K3507" s="24" t="s">
        <v>614</v>
      </c>
    </row>
    <row r="3508" spans="1:11">
      <c r="A3508" s="12">
        <v>2024</v>
      </c>
      <c r="B3508" s="15" t="s">
        <v>104</v>
      </c>
      <c r="C3508" s="15" t="s">
        <v>79</v>
      </c>
      <c r="D3508" s="15" t="s">
        <v>107</v>
      </c>
      <c r="E3508" s="19">
        <v>104102</v>
      </c>
      <c r="F3508" s="19">
        <v>112313</v>
      </c>
      <c r="G3508" s="20">
        <f t="shared" si="54"/>
        <v>0.51897049649978055</v>
      </c>
      <c r="H3508" s="24" t="s">
        <v>603</v>
      </c>
      <c r="I3508" s="24" t="s">
        <v>615</v>
      </c>
      <c r="J3508" s="24" t="s">
        <v>616</v>
      </c>
      <c r="K3508" s="24" t="s">
        <v>614</v>
      </c>
    </row>
    <row r="3509" spans="1:11">
      <c r="A3509" s="12">
        <v>2024</v>
      </c>
      <c r="B3509" s="15" t="s">
        <v>104</v>
      </c>
      <c r="C3509" s="15" t="s">
        <v>108</v>
      </c>
      <c r="D3509" s="15" t="s">
        <v>109</v>
      </c>
      <c r="E3509" s="19">
        <v>464126</v>
      </c>
      <c r="F3509" s="19">
        <v>345617</v>
      </c>
      <c r="G3509" s="20">
        <f t="shared" si="54"/>
        <v>0.42682307843352768</v>
      </c>
      <c r="H3509" s="24" t="s">
        <v>603</v>
      </c>
      <c r="I3509" s="24" t="s">
        <v>615</v>
      </c>
      <c r="J3509" s="24" t="s">
        <v>616</v>
      </c>
      <c r="K3509" s="24" t="s">
        <v>614</v>
      </c>
    </row>
    <row r="3510" spans="1:11">
      <c r="A3510" s="12">
        <v>2024</v>
      </c>
      <c r="B3510" s="15" t="s">
        <v>104</v>
      </c>
      <c r="C3510" s="15" t="s">
        <v>110</v>
      </c>
      <c r="D3510" s="15" t="s">
        <v>111</v>
      </c>
      <c r="E3510" s="19">
        <v>219325</v>
      </c>
      <c r="F3510" s="19">
        <v>193413</v>
      </c>
      <c r="G3510" s="20">
        <f t="shared" si="54"/>
        <v>0.46860962644583248</v>
      </c>
      <c r="H3510" s="24" t="s">
        <v>603</v>
      </c>
      <c r="I3510" s="24" t="s">
        <v>615</v>
      </c>
      <c r="J3510" s="24" t="s">
        <v>616</v>
      </c>
      <c r="K3510" s="24" t="s">
        <v>614</v>
      </c>
    </row>
    <row r="3511" spans="1:11">
      <c r="A3511" s="12">
        <v>2024</v>
      </c>
      <c r="B3511" s="15" t="s">
        <v>104</v>
      </c>
      <c r="C3511" s="15" t="s">
        <v>81</v>
      </c>
      <c r="D3511" s="15" t="s">
        <v>112</v>
      </c>
      <c r="E3511" s="19">
        <v>289283</v>
      </c>
      <c r="F3511" s="19">
        <v>247438</v>
      </c>
      <c r="G3511" s="20">
        <f t="shared" si="54"/>
        <v>0.46101792178804257</v>
      </c>
      <c r="H3511" s="24" t="s">
        <v>603</v>
      </c>
      <c r="I3511" s="24" t="s">
        <v>615</v>
      </c>
      <c r="J3511" s="24" t="s">
        <v>616</v>
      </c>
      <c r="K3511" s="24" t="s">
        <v>614</v>
      </c>
    </row>
    <row r="3512" spans="1:11">
      <c r="A3512" s="12">
        <v>2024</v>
      </c>
      <c r="B3512" s="15" t="s">
        <v>104</v>
      </c>
      <c r="C3512" s="15" t="s">
        <v>87</v>
      </c>
      <c r="D3512" s="15" t="s">
        <v>113</v>
      </c>
      <c r="E3512" s="19">
        <v>360122</v>
      </c>
      <c r="F3512" s="19">
        <v>277260</v>
      </c>
      <c r="G3512" s="20">
        <f t="shared" si="54"/>
        <v>0.43499816436611011</v>
      </c>
      <c r="H3512" s="24" t="s">
        <v>603</v>
      </c>
      <c r="I3512" s="24" t="s">
        <v>615</v>
      </c>
      <c r="J3512" s="24" t="s">
        <v>616</v>
      </c>
      <c r="K3512" s="24" t="s">
        <v>614</v>
      </c>
    </row>
    <row r="3513" spans="1:11">
      <c r="A3513" s="12">
        <v>2024</v>
      </c>
      <c r="B3513" s="15" t="s">
        <v>104</v>
      </c>
      <c r="C3513" s="15" t="s">
        <v>93</v>
      </c>
      <c r="D3513" s="15" t="s">
        <v>114</v>
      </c>
      <c r="E3513" s="19">
        <v>128245</v>
      </c>
      <c r="F3513" s="19">
        <v>134453</v>
      </c>
      <c r="G3513" s="20">
        <f t="shared" si="54"/>
        <v>0.51181584937837366</v>
      </c>
      <c r="H3513" s="24" t="s">
        <v>603</v>
      </c>
      <c r="I3513" s="24" t="s">
        <v>615</v>
      </c>
      <c r="J3513" s="24" t="s">
        <v>616</v>
      </c>
      <c r="K3513" s="24" t="s">
        <v>614</v>
      </c>
    </row>
    <row r="3514" spans="1:11">
      <c r="A3514" s="12">
        <v>2024</v>
      </c>
      <c r="B3514" s="15" t="s">
        <v>104</v>
      </c>
      <c r="C3514" s="15" t="s">
        <v>115</v>
      </c>
      <c r="D3514" s="15" t="s">
        <v>116</v>
      </c>
      <c r="E3514" s="19">
        <v>355123</v>
      </c>
      <c r="F3514" s="19">
        <v>294739</v>
      </c>
      <c r="G3514" s="20">
        <f t="shared" si="54"/>
        <v>0.45354090560765209</v>
      </c>
      <c r="H3514" s="24" t="s">
        <v>603</v>
      </c>
      <c r="I3514" s="24" t="s">
        <v>615</v>
      </c>
      <c r="J3514" s="24" t="s">
        <v>616</v>
      </c>
      <c r="K3514" s="24" t="s">
        <v>614</v>
      </c>
    </row>
    <row r="3515" spans="1:11">
      <c r="A3515" s="12">
        <v>2024</v>
      </c>
      <c r="B3515" s="15" t="s">
        <v>104</v>
      </c>
      <c r="C3515" s="15" t="s">
        <v>69</v>
      </c>
      <c r="D3515" s="15" t="s">
        <v>117</v>
      </c>
      <c r="E3515" s="19">
        <v>77903</v>
      </c>
      <c r="F3515" s="19">
        <v>79486</v>
      </c>
      <c r="G3515" s="20">
        <f t="shared" si="54"/>
        <v>0.50502894103145712</v>
      </c>
      <c r="H3515" s="24" t="s">
        <v>603</v>
      </c>
      <c r="I3515" s="24" t="s">
        <v>615</v>
      </c>
      <c r="J3515" s="24" t="s">
        <v>616</v>
      </c>
      <c r="K3515" s="24" t="s">
        <v>614</v>
      </c>
    </row>
    <row r="3516" spans="1:11">
      <c r="A3516" s="12">
        <v>2024</v>
      </c>
      <c r="B3516" s="15" t="s">
        <v>118</v>
      </c>
      <c r="C3516" s="15" t="s">
        <v>22</v>
      </c>
      <c r="D3516" s="15" t="s">
        <v>118</v>
      </c>
      <c r="E3516" s="19">
        <v>2800310</v>
      </c>
      <c r="F3516" s="19">
        <v>1110409</v>
      </c>
      <c r="G3516" s="20">
        <f t="shared" si="54"/>
        <v>0.28393985862957682</v>
      </c>
      <c r="H3516" s="24" t="s">
        <v>589</v>
      </c>
      <c r="I3516" s="24" t="s">
        <v>577</v>
      </c>
      <c r="J3516" s="24" t="s">
        <v>578</v>
      </c>
      <c r="K3516" s="24" t="s">
        <v>614</v>
      </c>
    </row>
    <row r="3517" spans="1:11">
      <c r="A3517" s="12">
        <v>2024</v>
      </c>
      <c r="B3517" s="15" t="s">
        <v>118</v>
      </c>
      <c r="C3517" s="15" t="s">
        <v>119</v>
      </c>
      <c r="D3517" s="15" t="s">
        <v>120</v>
      </c>
      <c r="E3517" s="19">
        <v>52897</v>
      </c>
      <c r="F3517" s="19">
        <v>51642</v>
      </c>
      <c r="G3517" s="20">
        <f t="shared" si="54"/>
        <v>0.4939974554950784</v>
      </c>
      <c r="H3517" s="24" t="s">
        <v>589</v>
      </c>
      <c r="I3517" s="24" t="s">
        <v>577</v>
      </c>
      <c r="J3517" s="24" t="s">
        <v>578</v>
      </c>
      <c r="K3517" s="24" t="s">
        <v>614</v>
      </c>
    </row>
    <row r="3518" spans="1:11">
      <c r="A3518" s="12">
        <v>2024</v>
      </c>
      <c r="B3518" s="15" t="s">
        <v>118</v>
      </c>
      <c r="C3518" s="15" t="s">
        <v>121</v>
      </c>
      <c r="D3518" s="15" t="s">
        <v>122</v>
      </c>
      <c r="E3518" s="19">
        <v>239852</v>
      </c>
      <c r="F3518" s="19">
        <v>176351</v>
      </c>
      <c r="G3518" s="20">
        <f t="shared" si="54"/>
        <v>0.42371390883775467</v>
      </c>
      <c r="H3518" s="24" t="s">
        <v>589</v>
      </c>
      <c r="I3518" s="24" t="s">
        <v>577</v>
      </c>
      <c r="J3518" s="24" t="s">
        <v>578</v>
      </c>
      <c r="K3518" s="24" t="s">
        <v>614</v>
      </c>
    </row>
    <row r="3519" spans="1:11">
      <c r="A3519" s="12">
        <v>2024</v>
      </c>
      <c r="B3519" s="15" t="s">
        <v>118</v>
      </c>
      <c r="C3519" s="15" t="s">
        <v>124</v>
      </c>
      <c r="D3519" s="15" t="s">
        <v>125</v>
      </c>
      <c r="E3519" s="19">
        <v>427649</v>
      </c>
      <c r="F3519" s="19">
        <v>310092</v>
      </c>
      <c r="G3519" s="20">
        <f t="shared" si="54"/>
        <v>0.4203263747033173</v>
      </c>
      <c r="H3519" s="24" t="s">
        <v>589</v>
      </c>
      <c r="I3519" s="24" t="s">
        <v>577</v>
      </c>
      <c r="J3519" s="24" t="s">
        <v>578</v>
      </c>
      <c r="K3519" s="24" t="s">
        <v>614</v>
      </c>
    </row>
    <row r="3520" spans="1:11">
      <c r="A3520" s="12">
        <v>2024</v>
      </c>
      <c r="B3520" s="15" t="s">
        <v>118</v>
      </c>
      <c r="C3520" s="15" t="s">
        <v>81</v>
      </c>
      <c r="D3520" s="15" t="s">
        <v>126</v>
      </c>
      <c r="E3520" s="19">
        <v>45943</v>
      </c>
      <c r="F3520" s="19">
        <v>47906</v>
      </c>
      <c r="G3520" s="20">
        <f t="shared" si="54"/>
        <v>0.51045828937974835</v>
      </c>
      <c r="H3520" s="24" t="s">
        <v>589</v>
      </c>
      <c r="I3520" s="24" t="s">
        <v>577</v>
      </c>
      <c r="J3520" s="24" t="s">
        <v>578</v>
      </c>
      <c r="K3520" s="24" t="s">
        <v>614</v>
      </c>
    </row>
    <row r="3521" spans="1:11">
      <c r="A3521" s="12">
        <v>2024</v>
      </c>
      <c r="B3521" s="15" t="s">
        <v>118</v>
      </c>
      <c r="C3521" s="15" t="s">
        <v>127</v>
      </c>
      <c r="D3521" s="15" t="s">
        <v>128</v>
      </c>
      <c r="E3521" s="19">
        <v>345443</v>
      </c>
      <c r="F3521" s="19">
        <v>295848</v>
      </c>
      <c r="G3521" s="20">
        <f t="shared" si="54"/>
        <v>0.46133190704376015</v>
      </c>
      <c r="H3521" s="24" t="s">
        <v>589</v>
      </c>
      <c r="I3521" s="24" t="s">
        <v>577</v>
      </c>
      <c r="J3521" s="24" t="s">
        <v>578</v>
      </c>
      <c r="K3521" s="24" t="s">
        <v>614</v>
      </c>
    </row>
    <row r="3522" spans="1:11">
      <c r="A3522" s="12">
        <v>2024</v>
      </c>
      <c r="B3522" s="15" t="s">
        <v>118</v>
      </c>
      <c r="C3522" s="15" t="s">
        <v>129</v>
      </c>
      <c r="D3522" s="15" t="s">
        <v>130</v>
      </c>
      <c r="E3522" s="19">
        <v>430995</v>
      </c>
      <c r="F3522" s="19">
        <v>325587</v>
      </c>
      <c r="G3522" s="20">
        <f t="shared" si="54"/>
        <v>0.43033934193517687</v>
      </c>
      <c r="H3522" s="24" t="s">
        <v>589</v>
      </c>
      <c r="I3522" s="24" t="s">
        <v>577</v>
      </c>
      <c r="J3522" s="24" t="s">
        <v>578</v>
      </c>
      <c r="K3522" s="24" t="s">
        <v>614</v>
      </c>
    </row>
    <row r="3523" spans="1:11">
      <c r="A3523" s="12">
        <v>2024</v>
      </c>
      <c r="B3523" s="15" t="s">
        <v>118</v>
      </c>
      <c r="C3523" s="15" t="s">
        <v>93</v>
      </c>
      <c r="D3523" s="15" t="s">
        <v>131</v>
      </c>
      <c r="E3523" s="19">
        <v>560902</v>
      </c>
      <c r="F3523" s="19">
        <v>384864</v>
      </c>
      <c r="G3523" s="20">
        <f t="shared" si="54"/>
        <v>0.40693363897623724</v>
      </c>
      <c r="H3523" s="24" t="s">
        <v>589</v>
      </c>
      <c r="I3523" s="24" t="s">
        <v>577</v>
      </c>
      <c r="J3523" s="24" t="s">
        <v>578</v>
      </c>
      <c r="K3523" s="24" t="s">
        <v>614</v>
      </c>
    </row>
    <row r="3524" spans="1:11">
      <c r="A3524" s="12">
        <v>2024</v>
      </c>
      <c r="B3524" s="15" t="s">
        <v>118</v>
      </c>
      <c r="C3524" s="15" t="s">
        <v>132</v>
      </c>
      <c r="D3524" s="15" t="s">
        <v>133</v>
      </c>
      <c r="E3524" s="19">
        <v>356430</v>
      </c>
      <c r="F3524" s="19">
        <v>262656</v>
      </c>
      <c r="G3524" s="20">
        <f t="shared" si="54"/>
        <v>0.42426415716071758</v>
      </c>
      <c r="H3524" s="24" t="s">
        <v>589</v>
      </c>
      <c r="I3524" s="24" t="s">
        <v>577</v>
      </c>
      <c r="J3524" s="24" t="s">
        <v>578</v>
      </c>
      <c r="K3524" s="24" t="s">
        <v>614</v>
      </c>
    </row>
    <row r="3525" spans="1:11">
      <c r="A3525" s="12">
        <v>2024</v>
      </c>
      <c r="B3525" s="15" t="s">
        <v>118</v>
      </c>
      <c r="C3525" s="15" t="s">
        <v>134</v>
      </c>
      <c r="D3525" s="15" t="s">
        <v>135</v>
      </c>
      <c r="E3525" s="19">
        <v>11931</v>
      </c>
      <c r="F3525" s="19">
        <v>18244</v>
      </c>
      <c r="G3525" s="20">
        <f t="shared" si="54"/>
        <v>0.60460646230323112</v>
      </c>
      <c r="H3525" s="24" t="s">
        <v>589</v>
      </c>
      <c r="I3525" s="24" t="s">
        <v>577</v>
      </c>
      <c r="J3525" s="24" t="s">
        <v>578</v>
      </c>
      <c r="K3525" s="24" t="s">
        <v>614</v>
      </c>
    </row>
    <row r="3526" spans="1:11">
      <c r="A3526" s="12">
        <v>2024</v>
      </c>
      <c r="B3526" s="15" t="s">
        <v>118</v>
      </c>
      <c r="C3526" s="15" t="s">
        <v>69</v>
      </c>
      <c r="D3526" s="15" t="s">
        <v>136</v>
      </c>
      <c r="E3526" s="19">
        <v>135500</v>
      </c>
      <c r="F3526" s="19">
        <v>118534</v>
      </c>
      <c r="G3526" s="20">
        <f t="shared" ref="G3526:G3589" si="55">IFERROR(F3526/(E3526+F3526),"")</f>
        <v>0.46660683215632553</v>
      </c>
      <c r="H3526" s="24" t="s">
        <v>589</v>
      </c>
      <c r="I3526" s="24" t="s">
        <v>577</v>
      </c>
      <c r="J3526" s="24" t="s">
        <v>578</v>
      </c>
      <c r="K3526" s="24" t="s">
        <v>614</v>
      </c>
    </row>
    <row r="3527" spans="1:11">
      <c r="A3527" s="12">
        <v>2024</v>
      </c>
      <c r="B3527" s="15" t="s">
        <v>137</v>
      </c>
      <c r="C3527" s="15" t="s">
        <v>22</v>
      </c>
      <c r="D3527" s="15" t="s">
        <v>137</v>
      </c>
      <c r="E3527" s="19">
        <v>1332586</v>
      </c>
      <c r="F3527" s="19">
        <v>323274</v>
      </c>
      <c r="G3527" s="20">
        <f t="shared" si="55"/>
        <v>0.19523027309072022</v>
      </c>
      <c r="H3527" s="24" t="s">
        <v>583</v>
      </c>
      <c r="I3527" s="24" t="s">
        <v>617</v>
      </c>
      <c r="J3527" s="24" t="s">
        <v>618</v>
      </c>
      <c r="K3527" s="24" t="s">
        <v>614</v>
      </c>
    </row>
    <row r="3528" spans="1:11">
      <c r="A3528" s="12">
        <v>2024</v>
      </c>
      <c r="B3528" s="15" t="s">
        <v>137</v>
      </c>
      <c r="C3528" s="15" t="s">
        <v>138</v>
      </c>
      <c r="D3528" s="15" t="s">
        <v>139</v>
      </c>
      <c r="E3528" s="19">
        <v>355616</v>
      </c>
      <c r="F3528" s="19">
        <v>233528</v>
      </c>
      <c r="G3528" s="20">
        <f t="shared" si="55"/>
        <v>0.39638526404410468</v>
      </c>
      <c r="H3528" s="24" t="s">
        <v>583</v>
      </c>
      <c r="I3528" s="24" t="s">
        <v>617</v>
      </c>
      <c r="J3528" s="24" t="s">
        <v>618</v>
      </c>
      <c r="K3528" s="24" t="s">
        <v>614</v>
      </c>
    </row>
    <row r="3529" spans="1:11">
      <c r="A3529" s="12">
        <v>2024</v>
      </c>
      <c r="B3529" s="15" t="s">
        <v>137</v>
      </c>
      <c r="C3529" s="15" t="s">
        <v>79</v>
      </c>
      <c r="D3529" s="15" t="s">
        <v>140</v>
      </c>
      <c r="E3529" s="19">
        <v>174722</v>
      </c>
      <c r="F3529" s="19">
        <v>153847</v>
      </c>
      <c r="G3529" s="20">
        <f t="shared" si="55"/>
        <v>0.46823346085601503</v>
      </c>
      <c r="H3529" s="24" t="s">
        <v>583</v>
      </c>
      <c r="I3529" s="24" t="s">
        <v>617</v>
      </c>
      <c r="J3529" s="24" t="s">
        <v>618</v>
      </c>
      <c r="K3529" s="24" t="s">
        <v>614</v>
      </c>
    </row>
    <row r="3530" spans="1:11">
      <c r="A3530" s="12">
        <v>2024</v>
      </c>
      <c r="B3530" s="15" t="s">
        <v>137</v>
      </c>
      <c r="C3530" s="15" t="s">
        <v>81</v>
      </c>
      <c r="D3530" s="15" t="s">
        <v>141</v>
      </c>
      <c r="E3530" s="19">
        <v>84711</v>
      </c>
      <c r="F3530" s="19">
        <v>86847</v>
      </c>
      <c r="G3530" s="20">
        <f t="shared" si="55"/>
        <v>0.50622529989857656</v>
      </c>
      <c r="H3530" s="24" t="s">
        <v>583</v>
      </c>
      <c r="I3530" s="24" t="s">
        <v>617</v>
      </c>
      <c r="J3530" s="24" t="s">
        <v>618</v>
      </c>
      <c r="K3530" s="24" t="s">
        <v>614</v>
      </c>
    </row>
    <row r="3531" spans="1:11">
      <c r="A3531" s="12">
        <v>2024</v>
      </c>
      <c r="B3531" s="15" t="s">
        <v>137</v>
      </c>
      <c r="C3531" s="15" t="s">
        <v>87</v>
      </c>
      <c r="D3531" s="15" t="s">
        <v>142</v>
      </c>
      <c r="E3531" s="19">
        <v>364459</v>
      </c>
      <c r="F3531" s="19">
        <v>291402</v>
      </c>
      <c r="G3531" s="20">
        <f t="shared" si="55"/>
        <v>0.44430450964457407</v>
      </c>
      <c r="H3531" s="24" t="s">
        <v>583</v>
      </c>
      <c r="I3531" s="24" t="s">
        <v>617</v>
      </c>
      <c r="J3531" s="24" t="s">
        <v>618</v>
      </c>
      <c r="K3531" s="24" t="s">
        <v>614</v>
      </c>
    </row>
    <row r="3532" spans="1:11">
      <c r="A3532" s="12">
        <v>2024</v>
      </c>
      <c r="B3532" s="15" t="s">
        <v>137</v>
      </c>
      <c r="C3532" s="15" t="s">
        <v>93</v>
      </c>
      <c r="D3532" s="15" t="s">
        <v>143</v>
      </c>
      <c r="E3532" s="19">
        <v>242731</v>
      </c>
      <c r="F3532" s="19">
        <v>192785</v>
      </c>
      <c r="G3532" s="20">
        <f t="shared" si="55"/>
        <v>0.44265882309719962</v>
      </c>
      <c r="H3532" s="24" t="s">
        <v>583</v>
      </c>
      <c r="I3532" s="24" t="s">
        <v>617</v>
      </c>
      <c r="J3532" s="24" t="s">
        <v>618</v>
      </c>
      <c r="K3532" s="24" t="s">
        <v>614</v>
      </c>
    </row>
    <row r="3533" spans="1:11">
      <c r="A3533" s="12">
        <v>2024</v>
      </c>
      <c r="B3533" s="15" t="s">
        <v>144</v>
      </c>
      <c r="C3533" s="15" t="s">
        <v>22</v>
      </c>
      <c r="D3533" s="15" t="s">
        <v>144</v>
      </c>
      <c r="E3533" s="19">
        <v>1351161</v>
      </c>
      <c r="F3533" s="19">
        <v>357394</v>
      </c>
      <c r="G3533" s="20">
        <f t="shared" si="55"/>
        <v>0.2091791016385191</v>
      </c>
      <c r="H3533" s="24" t="s">
        <v>586</v>
      </c>
      <c r="I3533" s="24" t="s">
        <v>619</v>
      </c>
      <c r="J3533" s="24" t="s">
        <v>620</v>
      </c>
      <c r="K3533" s="24" t="s">
        <v>614</v>
      </c>
    </row>
    <row r="3534" spans="1:11">
      <c r="A3534" s="12">
        <v>2024</v>
      </c>
      <c r="B3534" s="15" t="s">
        <v>144</v>
      </c>
      <c r="C3534" s="15" t="s">
        <v>145</v>
      </c>
      <c r="D3534" s="15" t="s">
        <v>146</v>
      </c>
      <c r="E3534" s="19">
        <v>140817</v>
      </c>
      <c r="F3534" s="19">
        <v>130633</v>
      </c>
      <c r="G3534" s="20">
        <f t="shared" si="55"/>
        <v>0.48124148093571562</v>
      </c>
      <c r="H3534" s="24" t="s">
        <v>586</v>
      </c>
      <c r="I3534" s="24" t="s">
        <v>619</v>
      </c>
      <c r="J3534" s="24" t="s">
        <v>620</v>
      </c>
      <c r="K3534" s="24" t="s">
        <v>614</v>
      </c>
    </row>
    <row r="3535" spans="1:11">
      <c r="A3535" s="12">
        <v>2024</v>
      </c>
      <c r="B3535" s="15" t="s">
        <v>144</v>
      </c>
      <c r="C3535" s="15" t="s">
        <v>81</v>
      </c>
      <c r="D3535" s="15" t="s">
        <v>147</v>
      </c>
      <c r="E3535" s="19">
        <v>180370</v>
      </c>
      <c r="F3535" s="19">
        <v>175032</v>
      </c>
      <c r="G3535" s="20">
        <f t="shared" si="55"/>
        <v>0.49249019420262125</v>
      </c>
      <c r="H3535" s="24" t="s">
        <v>586</v>
      </c>
      <c r="I3535" s="24" t="s">
        <v>619</v>
      </c>
      <c r="J3535" s="24" t="s">
        <v>620</v>
      </c>
      <c r="K3535" s="24" t="s">
        <v>614</v>
      </c>
    </row>
    <row r="3536" spans="1:11">
      <c r="A3536" s="12">
        <v>2024</v>
      </c>
      <c r="B3536" s="15" t="s">
        <v>144</v>
      </c>
      <c r="C3536" s="15" t="s">
        <v>93</v>
      </c>
      <c r="D3536" s="15" t="s">
        <v>148</v>
      </c>
      <c r="E3536" s="19">
        <v>409159</v>
      </c>
      <c r="F3536" s="19">
        <v>284965</v>
      </c>
      <c r="G3536" s="20">
        <f t="shared" si="55"/>
        <v>0.41053903913421808</v>
      </c>
      <c r="H3536" s="24" t="s">
        <v>586</v>
      </c>
      <c r="I3536" s="24" t="s">
        <v>619</v>
      </c>
      <c r="J3536" s="24" t="s">
        <v>620</v>
      </c>
      <c r="K3536" s="24" t="s">
        <v>614</v>
      </c>
    </row>
    <row r="3537" spans="1:11">
      <c r="A3537" s="12">
        <v>2024</v>
      </c>
      <c r="B3537" s="15" t="s">
        <v>144</v>
      </c>
      <c r="C3537" s="15" t="s">
        <v>149</v>
      </c>
      <c r="D3537" s="15" t="s">
        <v>150</v>
      </c>
      <c r="E3537" s="19">
        <v>318678</v>
      </c>
      <c r="F3537" s="19">
        <v>271710</v>
      </c>
      <c r="G3537" s="20">
        <f t="shared" si="55"/>
        <v>0.46022276875546253</v>
      </c>
      <c r="H3537" s="24" t="s">
        <v>586</v>
      </c>
      <c r="I3537" s="24" t="s">
        <v>619</v>
      </c>
      <c r="J3537" s="24" t="s">
        <v>620</v>
      </c>
      <c r="K3537" s="24" t="s">
        <v>614</v>
      </c>
    </row>
    <row r="3538" spans="1:11">
      <c r="A3538" s="12">
        <v>2024</v>
      </c>
      <c r="B3538" s="15" t="s">
        <v>144</v>
      </c>
      <c r="C3538" s="15" t="s">
        <v>69</v>
      </c>
      <c r="D3538" s="15" t="s">
        <v>151</v>
      </c>
      <c r="E3538" s="19">
        <v>188458</v>
      </c>
      <c r="F3538" s="19">
        <v>172135</v>
      </c>
      <c r="G3538" s="20">
        <f t="shared" si="55"/>
        <v>0.47736644915458704</v>
      </c>
      <c r="H3538" s="24" t="s">
        <v>586</v>
      </c>
      <c r="I3538" s="24" t="s">
        <v>619</v>
      </c>
      <c r="J3538" s="24" t="s">
        <v>620</v>
      </c>
      <c r="K3538" s="24" t="s">
        <v>614</v>
      </c>
    </row>
    <row r="3539" spans="1:11">
      <c r="A3539" s="12">
        <v>2024</v>
      </c>
      <c r="B3539" s="15" t="s">
        <v>152</v>
      </c>
      <c r="C3539" s="15" t="s">
        <v>22</v>
      </c>
      <c r="D3539" s="15" t="s">
        <v>152</v>
      </c>
      <c r="E3539" s="19">
        <v>1037657</v>
      </c>
      <c r="F3539" s="19">
        <v>259314</v>
      </c>
      <c r="G3539" s="20">
        <f t="shared" si="55"/>
        <v>0.1999381636135272</v>
      </c>
      <c r="H3539" s="24" t="s">
        <v>603</v>
      </c>
      <c r="I3539" s="24" t="s">
        <v>615</v>
      </c>
      <c r="J3539" s="24" t="s">
        <v>616</v>
      </c>
      <c r="K3539" s="24" t="s">
        <v>614</v>
      </c>
    </row>
    <row r="3540" spans="1:11">
      <c r="A3540" s="12">
        <v>2024</v>
      </c>
      <c r="B3540" s="15" t="s">
        <v>152</v>
      </c>
      <c r="C3540" s="15" t="s">
        <v>79</v>
      </c>
      <c r="D3540" s="15" t="s">
        <v>153</v>
      </c>
      <c r="E3540" s="19">
        <v>277613</v>
      </c>
      <c r="F3540" s="19">
        <v>163003</v>
      </c>
      <c r="G3540" s="20">
        <f t="shared" si="55"/>
        <v>0.36994344281642066</v>
      </c>
      <c r="H3540" s="24" t="s">
        <v>603</v>
      </c>
      <c r="I3540" s="24" t="s">
        <v>615</v>
      </c>
      <c r="J3540" s="24" t="s">
        <v>616</v>
      </c>
      <c r="K3540" s="24" t="s">
        <v>614</v>
      </c>
    </row>
    <row r="3541" spans="1:11">
      <c r="A3541" s="12">
        <v>2024</v>
      </c>
      <c r="B3541" s="15" t="s">
        <v>152</v>
      </c>
      <c r="C3541" s="15" t="s">
        <v>81</v>
      </c>
      <c r="D3541" s="15" t="s">
        <v>154</v>
      </c>
      <c r="E3541" s="19">
        <v>140240</v>
      </c>
      <c r="F3541" s="19">
        <v>86988</v>
      </c>
      <c r="G3541" s="20">
        <f t="shared" si="55"/>
        <v>0.38282253947576883</v>
      </c>
      <c r="H3541" s="24" t="s">
        <v>603</v>
      </c>
      <c r="I3541" s="24" t="s">
        <v>615</v>
      </c>
      <c r="J3541" s="24" t="s">
        <v>616</v>
      </c>
      <c r="K3541" s="24" t="s">
        <v>614</v>
      </c>
    </row>
    <row r="3542" spans="1:11">
      <c r="A3542" s="12">
        <v>2024</v>
      </c>
      <c r="B3542" s="15" t="s">
        <v>152</v>
      </c>
      <c r="C3542" s="15" t="s">
        <v>87</v>
      </c>
      <c r="D3542" s="15" t="s">
        <v>155</v>
      </c>
      <c r="E3542" s="19">
        <v>185090</v>
      </c>
      <c r="F3542" s="19">
        <v>155531</v>
      </c>
      <c r="G3542" s="20">
        <f t="shared" si="55"/>
        <v>0.45661013266944789</v>
      </c>
      <c r="H3542" s="24" t="s">
        <v>603</v>
      </c>
      <c r="I3542" s="24" t="s">
        <v>615</v>
      </c>
      <c r="J3542" s="24" t="s">
        <v>616</v>
      </c>
      <c r="K3542" s="24" t="s">
        <v>614</v>
      </c>
    </row>
    <row r="3543" spans="1:11">
      <c r="A3543" s="12">
        <v>2024</v>
      </c>
      <c r="B3543" s="15" t="s">
        <v>152</v>
      </c>
      <c r="C3543" s="15" t="s">
        <v>156</v>
      </c>
      <c r="D3543" s="15" t="s">
        <v>157</v>
      </c>
      <c r="E3543" s="19">
        <v>171939</v>
      </c>
      <c r="F3543" s="19">
        <v>176150</v>
      </c>
      <c r="G3543" s="20">
        <f t="shared" si="55"/>
        <v>0.5060487404083438</v>
      </c>
      <c r="H3543" s="24" t="s">
        <v>603</v>
      </c>
      <c r="I3543" s="24" t="s">
        <v>615</v>
      </c>
      <c r="J3543" s="24" t="s">
        <v>616</v>
      </c>
      <c r="K3543" s="24" t="s">
        <v>614</v>
      </c>
    </row>
    <row r="3544" spans="1:11">
      <c r="A3544" s="12">
        <v>2024</v>
      </c>
      <c r="B3544" s="15" t="s">
        <v>152</v>
      </c>
      <c r="C3544" s="15" t="s">
        <v>69</v>
      </c>
      <c r="D3544" s="15" t="s">
        <v>158</v>
      </c>
      <c r="E3544" s="19">
        <v>173948</v>
      </c>
      <c r="F3544" s="19">
        <v>157700</v>
      </c>
      <c r="G3544" s="20">
        <f t="shared" si="55"/>
        <v>0.47550414897722887</v>
      </c>
      <c r="H3544" s="24" t="s">
        <v>603</v>
      </c>
      <c r="I3544" s="24" t="s">
        <v>615</v>
      </c>
      <c r="J3544" s="24" t="s">
        <v>616</v>
      </c>
      <c r="K3544" s="24" t="s">
        <v>614</v>
      </c>
    </row>
    <row r="3545" spans="1:11">
      <c r="A3545" s="12">
        <v>2024</v>
      </c>
      <c r="B3545" s="15" t="s">
        <v>159</v>
      </c>
      <c r="C3545" s="15" t="s">
        <v>22</v>
      </c>
      <c r="D3545" s="15" t="s">
        <v>159</v>
      </c>
      <c r="E3545" s="19">
        <v>348438</v>
      </c>
      <c r="F3545" s="19">
        <v>219059</v>
      </c>
      <c r="G3545" s="20">
        <f t="shared" si="55"/>
        <v>0.38600908903483189</v>
      </c>
      <c r="H3545" s="24" t="s">
        <v>586</v>
      </c>
      <c r="I3545" s="24" t="s">
        <v>619</v>
      </c>
      <c r="J3545" s="24" t="s">
        <v>620</v>
      </c>
      <c r="K3545" s="24" t="s">
        <v>614</v>
      </c>
    </row>
    <row r="3546" spans="1:11">
      <c r="A3546" s="12">
        <v>2024</v>
      </c>
      <c r="B3546" s="15" t="s">
        <v>160</v>
      </c>
      <c r="C3546" s="15" t="s">
        <v>22</v>
      </c>
      <c r="D3546" s="15" t="s">
        <v>160</v>
      </c>
      <c r="E3546" s="19">
        <v>12906259</v>
      </c>
      <c r="F3546" s="19">
        <v>4993092</v>
      </c>
      <c r="G3546" s="20">
        <f t="shared" si="55"/>
        <v>0.27895380117413193</v>
      </c>
      <c r="H3546" s="24" t="s">
        <v>589</v>
      </c>
      <c r="I3546" s="24" t="s">
        <v>577</v>
      </c>
      <c r="J3546" s="24" t="s">
        <v>578</v>
      </c>
      <c r="K3546" s="24" t="s">
        <v>614</v>
      </c>
    </row>
    <row r="3547" spans="1:11">
      <c r="A3547" s="12">
        <v>2024</v>
      </c>
      <c r="B3547" s="15" t="s">
        <v>160</v>
      </c>
      <c r="C3547" s="15" t="s">
        <v>161</v>
      </c>
      <c r="D3547" s="15" t="s">
        <v>162</v>
      </c>
      <c r="E3547" s="19">
        <v>48892</v>
      </c>
      <c r="F3547" s="19">
        <v>49185</v>
      </c>
      <c r="G3547" s="20">
        <f t="shared" si="55"/>
        <v>0.50149372431864758</v>
      </c>
      <c r="H3547" s="24" t="s">
        <v>589</v>
      </c>
      <c r="I3547" s="24" t="s">
        <v>621</v>
      </c>
      <c r="J3547" s="24" t="s">
        <v>622</v>
      </c>
      <c r="K3547" s="24" t="s">
        <v>614</v>
      </c>
    </row>
    <row r="3548" spans="1:11">
      <c r="A3548" s="12">
        <v>2024</v>
      </c>
      <c r="B3548" s="15" t="s">
        <v>160</v>
      </c>
      <c r="C3548" s="15" t="s">
        <v>163</v>
      </c>
      <c r="D3548" s="15" t="s">
        <v>164</v>
      </c>
      <c r="E3548" s="19">
        <v>416754</v>
      </c>
      <c r="F3548" s="19">
        <v>341076</v>
      </c>
      <c r="G3548" s="20">
        <f t="shared" si="55"/>
        <v>0.45006927675072245</v>
      </c>
      <c r="H3548" s="24" t="s">
        <v>589</v>
      </c>
      <c r="I3548" s="24" t="s">
        <v>621</v>
      </c>
      <c r="J3548" s="24" t="s">
        <v>622</v>
      </c>
      <c r="K3548" s="24" t="s">
        <v>614</v>
      </c>
    </row>
    <row r="3549" spans="1:11">
      <c r="A3549" s="12">
        <v>2024</v>
      </c>
      <c r="B3549" s="15" t="s">
        <v>160</v>
      </c>
      <c r="C3549" s="15" t="s">
        <v>167</v>
      </c>
      <c r="D3549" s="15" t="s">
        <v>168</v>
      </c>
      <c r="E3549" s="19">
        <v>239896</v>
      </c>
      <c r="F3549" s="19">
        <v>211781</v>
      </c>
      <c r="G3549" s="20">
        <f t="shared" si="55"/>
        <v>0.46887709580076026</v>
      </c>
      <c r="H3549" s="24" t="s">
        <v>589</v>
      </c>
      <c r="I3549" s="24" t="s">
        <v>621</v>
      </c>
      <c r="J3549" s="24" t="s">
        <v>622</v>
      </c>
      <c r="K3549" s="24" t="s">
        <v>614</v>
      </c>
    </row>
    <row r="3550" spans="1:11">
      <c r="A3550" s="12">
        <v>2024</v>
      </c>
      <c r="B3550" s="15" t="s">
        <v>160</v>
      </c>
      <c r="C3550" s="15" t="s">
        <v>169</v>
      </c>
      <c r="D3550" s="15" t="s">
        <v>170</v>
      </c>
      <c r="E3550" s="19">
        <v>238826</v>
      </c>
      <c r="F3550" s="19">
        <v>208816</v>
      </c>
      <c r="G3550" s="20">
        <f t="shared" si="55"/>
        <v>0.46647991028545133</v>
      </c>
      <c r="H3550" s="24" t="s">
        <v>589</v>
      </c>
      <c r="I3550" s="24" t="s">
        <v>621</v>
      </c>
      <c r="J3550" s="24" t="s">
        <v>622</v>
      </c>
      <c r="K3550" s="24" t="s">
        <v>614</v>
      </c>
    </row>
    <row r="3551" spans="1:11">
      <c r="A3551" s="12">
        <v>2024</v>
      </c>
      <c r="B3551" s="15" t="s">
        <v>160</v>
      </c>
      <c r="C3551" s="15" t="s">
        <v>171</v>
      </c>
      <c r="D3551" s="15" t="s">
        <v>172</v>
      </c>
      <c r="E3551" s="19">
        <v>68026</v>
      </c>
      <c r="F3551" s="19">
        <v>70168</v>
      </c>
      <c r="G3551" s="20">
        <f t="shared" si="55"/>
        <v>0.50774997467328542</v>
      </c>
      <c r="H3551" s="24" t="s">
        <v>589</v>
      </c>
      <c r="I3551" s="24" t="s">
        <v>621</v>
      </c>
      <c r="J3551" s="24" t="s">
        <v>622</v>
      </c>
      <c r="K3551" s="24" t="s">
        <v>614</v>
      </c>
    </row>
    <row r="3552" spans="1:11">
      <c r="A3552" s="12">
        <v>2024</v>
      </c>
      <c r="B3552" s="15" t="s">
        <v>160</v>
      </c>
      <c r="C3552" s="15" t="s">
        <v>173</v>
      </c>
      <c r="D3552" s="15" t="s">
        <v>174</v>
      </c>
      <c r="E3552" s="19">
        <v>246970</v>
      </c>
      <c r="F3552" s="19">
        <v>170079</v>
      </c>
      <c r="G3552" s="20">
        <f t="shared" si="55"/>
        <v>0.40781538859942118</v>
      </c>
      <c r="H3552" s="24" t="s">
        <v>589</v>
      </c>
      <c r="I3552" s="24" t="s">
        <v>621</v>
      </c>
      <c r="J3552" s="24" t="s">
        <v>622</v>
      </c>
      <c r="K3552" s="24" t="s">
        <v>614</v>
      </c>
    </row>
    <row r="3553" spans="1:11">
      <c r="A3553" s="12">
        <v>2024</v>
      </c>
      <c r="B3553" s="15" t="s">
        <v>160</v>
      </c>
      <c r="C3553" s="15" t="s">
        <v>175</v>
      </c>
      <c r="D3553" s="15" t="s">
        <v>176</v>
      </c>
      <c r="E3553" s="19">
        <v>326991</v>
      </c>
      <c r="F3553" s="19">
        <v>275705</v>
      </c>
      <c r="G3553" s="20">
        <f t="shared" si="55"/>
        <v>0.45745284521549834</v>
      </c>
      <c r="H3553" s="24" t="s">
        <v>589</v>
      </c>
      <c r="I3553" s="24" t="s">
        <v>621</v>
      </c>
      <c r="J3553" s="24" t="s">
        <v>622</v>
      </c>
      <c r="K3553" s="24" t="s">
        <v>614</v>
      </c>
    </row>
    <row r="3554" spans="1:11">
      <c r="A3554" s="12">
        <v>2024</v>
      </c>
      <c r="B3554" s="15" t="s">
        <v>160</v>
      </c>
      <c r="C3554" s="15" t="s">
        <v>177</v>
      </c>
      <c r="D3554" s="15" t="s">
        <v>178</v>
      </c>
      <c r="E3554" s="19">
        <v>159861</v>
      </c>
      <c r="F3554" s="19">
        <v>120916</v>
      </c>
      <c r="G3554" s="20">
        <f t="shared" si="55"/>
        <v>0.43064780947157355</v>
      </c>
      <c r="H3554" s="24" t="s">
        <v>589</v>
      </c>
      <c r="I3554" s="24" t="s">
        <v>621</v>
      </c>
      <c r="J3554" s="24" t="s">
        <v>622</v>
      </c>
      <c r="K3554" s="24" t="s">
        <v>614</v>
      </c>
    </row>
    <row r="3555" spans="1:11">
      <c r="A3555" s="12">
        <v>2024</v>
      </c>
      <c r="B3555" s="15" t="s">
        <v>160</v>
      </c>
      <c r="C3555" s="15" t="s">
        <v>179</v>
      </c>
      <c r="D3555" s="15" t="s">
        <v>180</v>
      </c>
      <c r="E3555" s="19">
        <v>224539</v>
      </c>
      <c r="F3555" s="19">
        <v>167194</v>
      </c>
      <c r="G3555" s="20">
        <f t="shared" si="55"/>
        <v>0.42680601327945311</v>
      </c>
      <c r="H3555" s="24" t="s">
        <v>589</v>
      </c>
      <c r="I3555" s="24" t="s">
        <v>621</v>
      </c>
      <c r="J3555" s="24" t="s">
        <v>622</v>
      </c>
      <c r="K3555" s="24" t="s">
        <v>614</v>
      </c>
    </row>
    <row r="3556" spans="1:11">
      <c r="A3556" s="12">
        <v>2024</v>
      </c>
      <c r="B3556" s="15" t="s">
        <v>160</v>
      </c>
      <c r="C3556" s="15" t="s">
        <v>181</v>
      </c>
      <c r="D3556" s="15" t="s">
        <v>182</v>
      </c>
      <c r="E3556" s="19">
        <v>440140</v>
      </c>
      <c r="F3556" s="19">
        <v>284667</v>
      </c>
      <c r="G3556" s="20">
        <f t="shared" si="55"/>
        <v>0.39274869034101489</v>
      </c>
      <c r="H3556" s="24" t="s">
        <v>589</v>
      </c>
      <c r="I3556" s="24" t="s">
        <v>621</v>
      </c>
      <c r="J3556" s="24" t="s">
        <v>622</v>
      </c>
      <c r="K3556" s="24" t="s">
        <v>614</v>
      </c>
    </row>
    <row r="3557" spans="1:11">
      <c r="A3557" s="12">
        <v>2024</v>
      </c>
      <c r="B3557" s="15" t="s">
        <v>160</v>
      </c>
      <c r="C3557" s="15" t="s">
        <v>183</v>
      </c>
      <c r="D3557" s="15" t="s">
        <v>184</v>
      </c>
      <c r="E3557" s="19">
        <v>635207</v>
      </c>
      <c r="F3557" s="19">
        <v>461694</v>
      </c>
      <c r="G3557" s="20">
        <f t="shared" si="55"/>
        <v>0.42090762976786417</v>
      </c>
      <c r="H3557" s="24" t="s">
        <v>589</v>
      </c>
      <c r="I3557" s="24" t="s">
        <v>621</v>
      </c>
      <c r="J3557" s="24" t="s">
        <v>622</v>
      </c>
      <c r="K3557" s="24" t="s">
        <v>614</v>
      </c>
    </row>
    <row r="3558" spans="1:11">
      <c r="A3558" s="12">
        <v>2024</v>
      </c>
      <c r="B3558" s="15" t="s">
        <v>160</v>
      </c>
      <c r="C3558" s="15" t="s">
        <v>185</v>
      </c>
      <c r="D3558" s="15" t="s">
        <v>186</v>
      </c>
      <c r="E3558" s="19">
        <v>74265</v>
      </c>
      <c r="F3558" s="19">
        <v>56951</v>
      </c>
      <c r="G3558" s="20">
        <f t="shared" si="55"/>
        <v>0.43402481404706744</v>
      </c>
      <c r="H3558" s="24" t="s">
        <v>589</v>
      </c>
      <c r="I3558" s="24" t="s">
        <v>621</v>
      </c>
      <c r="J3558" s="24" t="s">
        <v>622</v>
      </c>
      <c r="K3558" s="24" t="s">
        <v>614</v>
      </c>
    </row>
    <row r="3559" spans="1:11">
      <c r="A3559" s="12">
        <v>2024</v>
      </c>
      <c r="B3559" s="15" t="s">
        <v>160</v>
      </c>
      <c r="C3559" s="15" t="s">
        <v>189</v>
      </c>
      <c r="D3559" s="15" t="s">
        <v>190</v>
      </c>
      <c r="E3559" s="19">
        <v>195320</v>
      </c>
      <c r="F3559" s="19">
        <v>185088</v>
      </c>
      <c r="G3559" s="20">
        <f t="shared" si="55"/>
        <v>0.48655128178166601</v>
      </c>
      <c r="H3559" s="24" t="s">
        <v>589</v>
      </c>
      <c r="I3559" s="24" t="s">
        <v>577</v>
      </c>
      <c r="J3559" s="24" t="s">
        <v>578</v>
      </c>
      <c r="K3559" s="24" t="s">
        <v>614</v>
      </c>
    </row>
    <row r="3560" spans="1:11">
      <c r="A3560" s="12">
        <v>2024</v>
      </c>
      <c r="B3560" s="15" t="s">
        <v>160</v>
      </c>
      <c r="C3560" s="15" t="s">
        <v>191</v>
      </c>
      <c r="D3560" s="15" t="s">
        <v>192</v>
      </c>
      <c r="E3560" s="19">
        <v>122532</v>
      </c>
      <c r="F3560" s="19">
        <v>115746</v>
      </c>
      <c r="G3560" s="20">
        <f t="shared" si="55"/>
        <v>0.48576033037040767</v>
      </c>
      <c r="H3560" s="24" t="s">
        <v>589</v>
      </c>
      <c r="I3560" s="24" t="s">
        <v>577</v>
      </c>
      <c r="J3560" s="24" t="s">
        <v>578</v>
      </c>
      <c r="K3560" s="24" t="s">
        <v>614</v>
      </c>
    </row>
    <row r="3561" spans="1:11">
      <c r="A3561" s="12">
        <v>2024</v>
      </c>
      <c r="B3561" s="15" t="s">
        <v>160</v>
      </c>
      <c r="C3561" s="15" t="s">
        <v>193</v>
      </c>
      <c r="D3561" s="15" t="s">
        <v>194</v>
      </c>
      <c r="E3561" s="19">
        <v>347598</v>
      </c>
      <c r="F3561" s="19">
        <v>248845</v>
      </c>
      <c r="G3561" s="20">
        <f t="shared" si="55"/>
        <v>0.41721505659384051</v>
      </c>
      <c r="H3561" s="24" t="s">
        <v>589</v>
      </c>
      <c r="I3561" s="24" t="s">
        <v>577</v>
      </c>
      <c r="J3561" s="24" t="s">
        <v>578</v>
      </c>
      <c r="K3561" s="24" t="s">
        <v>614</v>
      </c>
    </row>
    <row r="3562" spans="1:11">
      <c r="A3562" s="12">
        <v>2024</v>
      </c>
      <c r="B3562" s="15" t="s">
        <v>160</v>
      </c>
      <c r="C3562" s="15" t="s">
        <v>195</v>
      </c>
      <c r="D3562" s="15" t="s">
        <v>196</v>
      </c>
      <c r="E3562" s="19">
        <v>418154</v>
      </c>
      <c r="F3562" s="19">
        <v>276241</v>
      </c>
      <c r="G3562" s="20">
        <f t="shared" si="55"/>
        <v>0.39781536445394911</v>
      </c>
      <c r="H3562" s="24" t="s">
        <v>589</v>
      </c>
      <c r="I3562" s="24" t="s">
        <v>577</v>
      </c>
      <c r="J3562" s="24" t="s">
        <v>578</v>
      </c>
      <c r="K3562" s="24" t="s">
        <v>614</v>
      </c>
    </row>
    <row r="3563" spans="1:11">
      <c r="A3563" s="12">
        <v>2024</v>
      </c>
      <c r="B3563" s="15" t="s">
        <v>160</v>
      </c>
      <c r="C3563" s="15" t="s">
        <v>197</v>
      </c>
      <c r="D3563" s="15" t="s">
        <v>198</v>
      </c>
      <c r="E3563" s="19">
        <v>188485</v>
      </c>
      <c r="F3563" s="19">
        <v>184721</v>
      </c>
      <c r="G3563" s="20">
        <f t="shared" si="55"/>
        <v>0.49495720861936837</v>
      </c>
      <c r="H3563" s="24" t="s">
        <v>589</v>
      </c>
      <c r="I3563" s="24" t="s">
        <v>577</v>
      </c>
      <c r="J3563" s="24" t="s">
        <v>578</v>
      </c>
      <c r="K3563" s="24" t="s">
        <v>614</v>
      </c>
    </row>
    <row r="3564" spans="1:11">
      <c r="A3564" s="12">
        <v>2024</v>
      </c>
      <c r="B3564" s="15" t="s">
        <v>160</v>
      </c>
      <c r="C3564" s="15" t="s">
        <v>199</v>
      </c>
      <c r="D3564" s="15" t="s">
        <v>200</v>
      </c>
      <c r="E3564" s="19">
        <v>159684</v>
      </c>
      <c r="F3564" s="19">
        <v>172474</v>
      </c>
      <c r="G3564" s="20">
        <f t="shared" si="55"/>
        <v>0.5192528856748897</v>
      </c>
      <c r="H3564" s="24" t="s">
        <v>589</v>
      </c>
      <c r="I3564" s="24" t="s">
        <v>577</v>
      </c>
      <c r="J3564" s="24" t="s">
        <v>578</v>
      </c>
      <c r="K3564" s="24" t="s">
        <v>614</v>
      </c>
    </row>
    <row r="3565" spans="1:11">
      <c r="A3565" s="12">
        <v>2024</v>
      </c>
      <c r="B3565" s="15" t="s">
        <v>160</v>
      </c>
      <c r="C3565" s="15" t="s">
        <v>201</v>
      </c>
      <c r="D3565" s="15" t="s">
        <v>202</v>
      </c>
      <c r="E3565" s="19">
        <v>296383</v>
      </c>
      <c r="F3565" s="19">
        <v>280838</v>
      </c>
      <c r="G3565" s="20">
        <f t="shared" si="55"/>
        <v>0.48653462018880117</v>
      </c>
      <c r="H3565" s="24" t="s">
        <v>589</v>
      </c>
      <c r="I3565" s="24" t="s">
        <v>577</v>
      </c>
      <c r="J3565" s="24" t="s">
        <v>578</v>
      </c>
      <c r="K3565" s="24" t="s">
        <v>614</v>
      </c>
    </row>
    <row r="3566" spans="1:11">
      <c r="A3566" s="12">
        <v>2024</v>
      </c>
      <c r="B3566" s="15" t="s">
        <v>160</v>
      </c>
      <c r="C3566" s="15" t="s">
        <v>203</v>
      </c>
      <c r="D3566" s="15" t="s">
        <v>204</v>
      </c>
      <c r="E3566" s="19">
        <v>310823</v>
      </c>
      <c r="F3566" s="19">
        <v>264623</v>
      </c>
      <c r="G3566" s="20">
        <f t="shared" si="55"/>
        <v>0.45985722378815735</v>
      </c>
      <c r="H3566" s="24" t="s">
        <v>589</v>
      </c>
      <c r="I3566" s="24" t="s">
        <v>577</v>
      </c>
      <c r="J3566" s="24" t="s">
        <v>578</v>
      </c>
      <c r="K3566" s="24" t="s">
        <v>614</v>
      </c>
    </row>
    <row r="3567" spans="1:11">
      <c r="A3567" s="12">
        <v>2024</v>
      </c>
      <c r="B3567" s="15" t="s">
        <v>160</v>
      </c>
      <c r="C3567" s="15" t="s">
        <v>205</v>
      </c>
      <c r="D3567" s="15" t="s">
        <v>206</v>
      </c>
      <c r="E3567" s="19">
        <v>233379</v>
      </c>
      <c r="F3567" s="19">
        <v>201884</v>
      </c>
      <c r="G3567" s="20">
        <f t="shared" si="55"/>
        <v>0.46382072448152034</v>
      </c>
      <c r="H3567" s="24" t="s">
        <v>589</v>
      </c>
      <c r="I3567" s="24" t="s">
        <v>577</v>
      </c>
      <c r="J3567" s="24" t="s">
        <v>578</v>
      </c>
      <c r="K3567" s="24" t="s">
        <v>614</v>
      </c>
    </row>
    <row r="3568" spans="1:11">
      <c r="A3568" s="12">
        <v>2024</v>
      </c>
      <c r="B3568" s="15" t="s">
        <v>160</v>
      </c>
      <c r="C3568" s="15" t="s">
        <v>207</v>
      </c>
      <c r="D3568" s="15" t="s">
        <v>208</v>
      </c>
      <c r="E3568" s="19">
        <v>164222</v>
      </c>
      <c r="F3568" s="19">
        <v>154763</v>
      </c>
      <c r="G3568" s="20">
        <f t="shared" si="55"/>
        <v>0.48517328401021992</v>
      </c>
      <c r="H3568" s="24" t="s">
        <v>589</v>
      </c>
      <c r="I3568" s="24" t="s">
        <v>577</v>
      </c>
      <c r="J3568" s="24" t="s">
        <v>578</v>
      </c>
      <c r="K3568" s="24" t="s">
        <v>614</v>
      </c>
    </row>
    <row r="3569" spans="1:11">
      <c r="A3569" s="12">
        <v>2024</v>
      </c>
      <c r="B3569" s="15" t="s">
        <v>160</v>
      </c>
      <c r="C3569" s="15" t="s">
        <v>209</v>
      </c>
      <c r="D3569" s="15" t="s">
        <v>210</v>
      </c>
      <c r="E3569" s="19">
        <v>481327</v>
      </c>
      <c r="F3569" s="19">
        <v>326496</v>
      </c>
      <c r="G3569" s="20">
        <f t="shared" si="55"/>
        <v>0.40416774466683913</v>
      </c>
      <c r="H3569" s="24" t="s">
        <v>589</v>
      </c>
      <c r="I3569" s="24" t="s">
        <v>621</v>
      </c>
      <c r="J3569" s="24" t="s">
        <v>622</v>
      </c>
      <c r="K3569" s="24" t="s">
        <v>614</v>
      </c>
    </row>
    <row r="3570" spans="1:11">
      <c r="A3570" s="12">
        <v>2024</v>
      </c>
      <c r="B3570" s="15" t="s">
        <v>160</v>
      </c>
      <c r="C3570" s="15" t="s">
        <v>211</v>
      </c>
      <c r="D3570" s="15" t="s">
        <v>212</v>
      </c>
      <c r="E3570" s="19">
        <v>290257</v>
      </c>
      <c r="F3570" s="19">
        <v>183684</v>
      </c>
      <c r="G3570" s="20">
        <f t="shared" si="55"/>
        <v>0.38756722883228079</v>
      </c>
      <c r="H3570" s="24" t="s">
        <v>589</v>
      </c>
      <c r="I3570" s="24" t="s">
        <v>621</v>
      </c>
      <c r="J3570" s="24" t="s">
        <v>622</v>
      </c>
      <c r="K3570" s="24" t="s">
        <v>614</v>
      </c>
    </row>
    <row r="3571" spans="1:11">
      <c r="A3571" s="12">
        <v>2024</v>
      </c>
      <c r="B3571" s="15" t="s">
        <v>160</v>
      </c>
      <c r="C3571" s="15" t="s">
        <v>213</v>
      </c>
      <c r="D3571" s="15" t="s">
        <v>214</v>
      </c>
      <c r="E3571" s="19">
        <v>266498</v>
      </c>
      <c r="F3571" s="19">
        <v>255092</v>
      </c>
      <c r="G3571" s="20">
        <f t="shared" si="55"/>
        <v>0.48906612473398647</v>
      </c>
      <c r="H3571" s="24" t="s">
        <v>589</v>
      </c>
      <c r="I3571" s="24" t="s">
        <v>621</v>
      </c>
      <c r="J3571" s="24" t="s">
        <v>622</v>
      </c>
      <c r="K3571" s="24" t="s">
        <v>614</v>
      </c>
    </row>
    <row r="3572" spans="1:11">
      <c r="A3572" s="12">
        <v>2024</v>
      </c>
      <c r="B3572" s="15" t="s">
        <v>160</v>
      </c>
      <c r="C3572" s="15" t="s">
        <v>215</v>
      </c>
      <c r="D3572" s="15" t="s">
        <v>216</v>
      </c>
      <c r="E3572" s="19">
        <v>171119</v>
      </c>
      <c r="F3572" s="19">
        <v>133241</v>
      </c>
      <c r="G3572" s="20">
        <f t="shared" si="55"/>
        <v>0.4377743461690104</v>
      </c>
      <c r="H3572" s="24" t="s">
        <v>589</v>
      </c>
      <c r="I3572" s="24" t="s">
        <v>621</v>
      </c>
      <c r="J3572" s="24" t="s">
        <v>622</v>
      </c>
      <c r="K3572" s="24" t="s">
        <v>614</v>
      </c>
    </row>
    <row r="3573" spans="1:11">
      <c r="A3573" s="12">
        <v>2024</v>
      </c>
      <c r="B3573" s="15" t="s">
        <v>160</v>
      </c>
      <c r="C3573" s="15" t="s">
        <v>217</v>
      </c>
      <c r="D3573" s="15" t="s">
        <v>218</v>
      </c>
      <c r="E3573" s="19">
        <v>285147</v>
      </c>
      <c r="F3573" s="19">
        <v>217274</v>
      </c>
      <c r="G3573" s="20">
        <f t="shared" si="55"/>
        <v>0.43245405745380866</v>
      </c>
      <c r="H3573" s="24" t="s">
        <v>589</v>
      </c>
      <c r="I3573" s="24" t="s">
        <v>577</v>
      </c>
      <c r="J3573" s="24" t="s">
        <v>578</v>
      </c>
      <c r="K3573" s="24" t="s">
        <v>614</v>
      </c>
    </row>
    <row r="3574" spans="1:11">
      <c r="A3574" s="12">
        <v>2024</v>
      </c>
      <c r="B3574" s="15" t="s">
        <v>160</v>
      </c>
      <c r="C3574" s="15" t="s">
        <v>219</v>
      </c>
      <c r="D3574" s="15" t="s">
        <v>220</v>
      </c>
      <c r="E3574" s="19">
        <v>187057</v>
      </c>
      <c r="F3574" s="19">
        <v>174457</v>
      </c>
      <c r="G3574" s="20">
        <f t="shared" si="55"/>
        <v>0.48257328900125585</v>
      </c>
      <c r="H3574" s="24" t="s">
        <v>589</v>
      </c>
      <c r="I3574" s="24" t="s">
        <v>577</v>
      </c>
      <c r="J3574" s="24" t="s">
        <v>578</v>
      </c>
      <c r="K3574" s="24" t="s">
        <v>614</v>
      </c>
    </row>
    <row r="3575" spans="1:11">
      <c r="A3575" s="12">
        <v>2024</v>
      </c>
      <c r="B3575" s="15" t="s">
        <v>160</v>
      </c>
      <c r="C3575" s="15" t="s">
        <v>221</v>
      </c>
      <c r="D3575" s="15" t="s">
        <v>222</v>
      </c>
      <c r="E3575" s="19">
        <v>236718</v>
      </c>
      <c r="F3575" s="19">
        <v>208168</v>
      </c>
      <c r="G3575" s="20">
        <f t="shared" si="55"/>
        <v>0.46791312830702697</v>
      </c>
      <c r="H3575" s="24" t="s">
        <v>589</v>
      </c>
      <c r="I3575" s="24" t="s">
        <v>621</v>
      </c>
      <c r="J3575" s="24" t="s">
        <v>622</v>
      </c>
      <c r="K3575" s="24" t="s">
        <v>614</v>
      </c>
    </row>
    <row r="3576" spans="1:11">
      <c r="A3576" s="12">
        <v>2024</v>
      </c>
      <c r="B3576" s="15" t="s">
        <v>160</v>
      </c>
      <c r="C3576" s="15" t="s">
        <v>223</v>
      </c>
      <c r="D3576" s="15" t="s">
        <v>224</v>
      </c>
      <c r="E3576" s="19">
        <v>96810</v>
      </c>
      <c r="F3576" s="19">
        <v>90669</v>
      </c>
      <c r="G3576" s="20">
        <f t="shared" si="55"/>
        <v>0.48362216568255645</v>
      </c>
      <c r="H3576" s="24" t="s">
        <v>589</v>
      </c>
      <c r="I3576" s="24" t="s">
        <v>621</v>
      </c>
      <c r="J3576" s="24" t="s">
        <v>622</v>
      </c>
      <c r="K3576" s="24" t="s">
        <v>614</v>
      </c>
    </row>
    <row r="3577" spans="1:11">
      <c r="A3577" s="12">
        <v>2024</v>
      </c>
      <c r="B3577" s="15" t="s">
        <v>160</v>
      </c>
      <c r="C3577" s="15" t="s">
        <v>227</v>
      </c>
      <c r="D3577" s="15" t="s">
        <v>228</v>
      </c>
      <c r="E3577" s="19">
        <v>92606</v>
      </c>
      <c r="F3577" s="19">
        <v>77276</v>
      </c>
      <c r="G3577" s="20">
        <f t="shared" si="55"/>
        <v>0.45488044642752029</v>
      </c>
      <c r="H3577" s="24" t="s">
        <v>589</v>
      </c>
      <c r="I3577" s="24" t="s">
        <v>621</v>
      </c>
      <c r="J3577" s="24" t="s">
        <v>622</v>
      </c>
      <c r="K3577" s="24" t="s">
        <v>614</v>
      </c>
    </row>
    <row r="3578" spans="1:11">
      <c r="A3578" s="12">
        <v>2024</v>
      </c>
      <c r="B3578" s="15" t="s">
        <v>160</v>
      </c>
      <c r="C3578" s="15" t="s">
        <v>229</v>
      </c>
      <c r="D3578" s="15" t="s">
        <v>230</v>
      </c>
      <c r="E3578" s="19">
        <v>31729</v>
      </c>
      <c r="F3578" s="19">
        <v>31549</v>
      </c>
      <c r="G3578" s="20">
        <f t="shared" si="55"/>
        <v>0.49857770473150226</v>
      </c>
      <c r="H3578" s="24" t="s">
        <v>589</v>
      </c>
      <c r="I3578" s="24" t="s">
        <v>621</v>
      </c>
      <c r="J3578" s="24" t="s">
        <v>622</v>
      </c>
      <c r="K3578" s="24" t="s">
        <v>614</v>
      </c>
    </row>
    <row r="3579" spans="1:11">
      <c r="A3579" s="12">
        <v>2024</v>
      </c>
      <c r="B3579" s="15" t="s">
        <v>160</v>
      </c>
      <c r="C3579" s="15" t="s">
        <v>231</v>
      </c>
      <c r="D3579" s="15" t="s">
        <v>232</v>
      </c>
      <c r="E3579" s="19">
        <v>209834</v>
      </c>
      <c r="F3579" s="19">
        <v>158622</v>
      </c>
      <c r="G3579" s="20">
        <f t="shared" si="55"/>
        <v>0.4305045921358317</v>
      </c>
      <c r="H3579" s="24" t="s">
        <v>589</v>
      </c>
      <c r="I3579" s="24" t="s">
        <v>621</v>
      </c>
      <c r="J3579" s="24" t="s">
        <v>622</v>
      </c>
      <c r="K3579" s="24" t="s">
        <v>614</v>
      </c>
    </row>
    <row r="3580" spans="1:11">
      <c r="A3580" s="12">
        <v>2024</v>
      </c>
      <c r="B3580" s="15" t="s">
        <v>160</v>
      </c>
      <c r="C3580" s="15" t="s">
        <v>235</v>
      </c>
      <c r="D3580" s="15" t="s">
        <v>236</v>
      </c>
      <c r="E3580" s="19">
        <v>353198</v>
      </c>
      <c r="F3580" s="19">
        <v>323617</v>
      </c>
      <c r="G3580" s="20">
        <f t="shared" si="55"/>
        <v>0.47814690868257942</v>
      </c>
      <c r="H3580" s="24" t="s">
        <v>589</v>
      </c>
      <c r="I3580" s="24" t="s">
        <v>621</v>
      </c>
      <c r="J3580" s="24" t="s">
        <v>622</v>
      </c>
      <c r="K3580" s="24" t="s">
        <v>614</v>
      </c>
    </row>
    <row r="3581" spans="1:11">
      <c r="A3581" s="12">
        <v>2024</v>
      </c>
      <c r="B3581" s="15" t="s">
        <v>160</v>
      </c>
      <c r="C3581" s="15" t="s">
        <v>237</v>
      </c>
      <c r="D3581" s="15" t="s">
        <v>238</v>
      </c>
      <c r="E3581" s="19">
        <v>303820</v>
      </c>
      <c r="F3581" s="19">
        <v>294491</v>
      </c>
      <c r="G3581" s="20">
        <f t="shared" si="55"/>
        <v>0.49220388727601533</v>
      </c>
      <c r="H3581" s="24" t="s">
        <v>589</v>
      </c>
      <c r="I3581" s="24" t="s">
        <v>621</v>
      </c>
      <c r="J3581" s="24" t="s">
        <v>622</v>
      </c>
      <c r="K3581" s="24" t="s">
        <v>614</v>
      </c>
    </row>
    <row r="3582" spans="1:11">
      <c r="A3582" s="12">
        <v>2024</v>
      </c>
      <c r="B3582" s="15" t="s">
        <v>160</v>
      </c>
      <c r="C3582" s="15" t="s">
        <v>239</v>
      </c>
      <c r="D3582" s="15" t="s">
        <v>240</v>
      </c>
      <c r="E3582" s="19">
        <v>225768</v>
      </c>
      <c r="F3582" s="19">
        <v>187265</v>
      </c>
      <c r="G3582" s="20">
        <f t="shared" si="55"/>
        <v>0.45338992283909518</v>
      </c>
      <c r="H3582" s="24" t="s">
        <v>589</v>
      </c>
      <c r="I3582" s="24" t="s">
        <v>621</v>
      </c>
      <c r="J3582" s="24" t="s">
        <v>622</v>
      </c>
      <c r="K3582" s="24" t="s">
        <v>614</v>
      </c>
    </row>
    <row r="3583" spans="1:11">
      <c r="A3583" s="12">
        <v>2024</v>
      </c>
      <c r="B3583" s="15" t="s">
        <v>160</v>
      </c>
      <c r="C3583" s="15" t="s">
        <v>241</v>
      </c>
      <c r="D3583" s="15" t="s">
        <v>242</v>
      </c>
      <c r="E3583" s="19">
        <v>115648</v>
      </c>
      <c r="F3583" s="19">
        <v>134496</v>
      </c>
      <c r="G3583" s="20">
        <f t="shared" si="55"/>
        <v>0.53767429960342839</v>
      </c>
      <c r="H3583" s="24" t="s">
        <v>589</v>
      </c>
      <c r="I3583" s="24" t="s">
        <v>621</v>
      </c>
      <c r="J3583" s="24" t="s">
        <v>622</v>
      </c>
      <c r="K3583" s="24" t="s">
        <v>614</v>
      </c>
    </row>
    <row r="3584" spans="1:11">
      <c r="A3584" s="12">
        <v>2024</v>
      </c>
      <c r="B3584" s="15" t="s">
        <v>160</v>
      </c>
      <c r="C3584" s="15" t="s">
        <v>243</v>
      </c>
      <c r="D3584" s="15" t="s">
        <v>244</v>
      </c>
      <c r="E3584" s="19">
        <v>407194</v>
      </c>
      <c r="F3584" s="19">
        <v>239185</v>
      </c>
      <c r="G3584" s="20">
        <f t="shared" si="55"/>
        <v>0.37003832117070634</v>
      </c>
      <c r="H3584" s="24" t="s">
        <v>589</v>
      </c>
      <c r="I3584" s="24" t="s">
        <v>577</v>
      </c>
      <c r="J3584" s="24" t="s">
        <v>578</v>
      </c>
      <c r="K3584" s="24" t="s">
        <v>614</v>
      </c>
    </row>
    <row r="3585" spans="1:11">
      <c r="A3585" s="12">
        <v>2024</v>
      </c>
      <c r="B3585" s="15" t="s">
        <v>160</v>
      </c>
      <c r="C3585" s="15" t="s">
        <v>245</v>
      </c>
      <c r="D3585" s="15" t="s">
        <v>246</v>
      </c>
      <c r="E3585" s="19">
        <v>197963</v>
      </c>
      <c r="F3585" s="19">
        <v>122505</v>
      </c>
      <c r="G3585" s="20">
        <f t="shared" si="55"/>
        <v>0.38226905650486165</v>
      </c>
      <c r="H3585" s="24" t="s">
        <v>589</v>
      </c>
      <c r="I3585" s="24" t="s">
        <v>621</v>
      </c>
      <c r="J3585" s="24" t="s">
        <v>622</v>
      </c>
      <c r="K3585" s="24" t="s">
        <v>614</v>
      </c>
    </row>
    <row r="3586" spans="1:11">
      <c r="A3586" s="12">
        <v>2024</v>
      </c>
      <c r="B3586" s="15" t="s">
        <v>160</v>
      </c>
      <c r="C3586" s="15" t="s">
        <v>247</v>
      </c>
      <c r="D3586" s="15" t="s">
        <v>248</v>
      </c>
      <c r="E3586" s="19">
        <v>447445</v>
      </c>
      <c r="F3586" s="19">
        <v>313449</v>
      </c>
      <c r="G3586" s="20">
        <f t="shared" si="55"/>
        <v>0.41194831343130578</v>
      </c>
      <c r="H3586" s="24" t="s">
        <v>589</v>
      </c>
      <c r="I3586" s="24" t="s">
        <v>621</v>
      </c>
      <c r="J3586" s="24" t="s">
        <v>622</v>
      </c>
      <c r="K3586" s="24" t="s">
        <v>614</v>
      </c>
    </row>
    <row r="3587" spans="1:11">
      <c r="A3587" s="12">
        <v>2024</v>
      </c>
      <c r="B3587" s="15" t="s">
        <v>160</v>
      </c>
      <c r="C3587" s="15" t="s">
        <v>249</v>
      </c>
      <c r="D3587" s="15" t="s">
        <v>250</v>
      </c>
      <c r="E3587" s="19">
        <v>543687</v>
      </c>
      <c r="F3587" s="19">
        <v>306839</v>
      </c>
      <c r="G3587" s="20">
        <f t="shared" si="55"/>
        <v>0.36076380968953331</v>
      </c>
      <c r="H3587" s="24" t="s">
        <v>589</v>
      </c>
      <c r="I3587" s="24" t="s">
        <v>621</v>
      </c>
      <c r="J3587" s="24" t="s">
        <v>622</v>
      </c>
      <c r="K3587" s="24" t="s">
        <v>614</v>
      </c>
    </row>
    <row r="3588" spans="1:11">
      <c r="A3588" s="12">
        <v>2024</v>
      </c>
      <c r="B3588" s="15" t="s">
        <v>160</v>
      </c>
      <c r="C3588" s="15" t="s">
        <v>251</v>
      </c>
      <c r="D3588" s="15" t="s">
        <v>252</v>
      </c>
      <c r="E3588" s="19">
        <v>121776</v>
      </c>
      <c r="F3588" s="19">
        <v>93579</v>
      </c>
      <c r="G3588" s="20">
        <f t="shared" si="55"/>
        <v>0.43453367695200945</v>
      </c>
      <c r="H3588" s="24" t="s">
        <v>589</v>
      </c>
      <c r="I3588" s="24" t="s">
        <v>621</v>
      </c>
      <c r="J3588" s="24" t="s">
        <v>622</v>
      </c>
      <c r="K3588" s="24" t="s">
        <v>614</v>
      </c>
    </row>
    <row r="3589" spans="1:11">
      <c r="A3589" s="12">
        <v>2024</v>
      </c>
      <c r="B3589" s="15" t="s">
        <v>160</v>
      </c>
      <c r="C3589" s="15" t="s">
        <v>253</v>
      </c>
      <c r="D3589" s="15" t="s">
        <v>254</v>
      </c>
      <c r="E3589" s="19">
        <v>265088</v>
      </c>
      <c r="F3589" s="19">
        <v>236088</v>
      </c>
      <c r="G3589" s="20">
        <f t="shared" si="55"/>
        <v>0.47106804795121876</v>
      </c>
      <c r="H3589" s="24" t="s">
        <v>589</v>
      </c>
      <c r="I3589" s="24" t="s">
        <v>621</v>
      </c>
      <c r="J3589" s="24" t="s">
        <v>622</v>
      </c>
      <c r="K3589" s="24" t="s">
        <v>614</v>
      </c>
    </row>
    <row r="3590" spans="1:11">
      <c r="A3590" s="12">
        <v>2024</v>
      </c>
      <c r="B3590" s="15" t="s">
        <v>160</v>
      </c>
      <c r="C3590" s="15" t="s">
        <v>255</v>
      </c>
      <c r="D3590" s="15" t="s">
        <v>256</v>
      </c>
      <c r="E3590" s="19">
        <v>867060</v>
      </c>
      <c r="F3590" s="19">
        <v>624219</v>
      </c>
      <c r="G3590" s="20">
        <f t="shared" ref="G3590:G3653" si="56">IFERROR(F3590/(E3590+F3590),"")</f>
        <v>0.41857962192185366</v>
      </c>
      <c r="H3590" s="24" t="s">
        <v>589</v>
      </c>
      <c r="I3590" s="24" t="s">
        <v>621</v>
      </c>
      <c r="J3590" s="24" t="s">
        <v>622</v>
      </c>
      <c r="K3590" s="24" t="s">
        <v>614</v>
      </c>
    </row>
    <row r="3591" spans="1:11">
      <c r="A3591" s="12">
        <v>2024</v>
      </c>
      <c r="B3591" s="15" t="s">
        <v>257</v>
      </c>
      <c r="C3591" s="15" t="s">
        <v>22</v>
      </c>
      <c r="D3591" s="15" t="s">
        <v>257</v>
      </c>
      <c r="E3591" s="19">
        <v>1379796</v>
      </c>
      <c r="F3591" s="19">
        <v>472728</v>
      </c>
      <c r="G3591" s="20">
        <f t="shared" si="56"/>
        <v>0.25518049968583401</v>
      </c>
      <c r="H3591" s="24" t="s">
        <v>589</v>
      </c>
      <c r="I3591" s="24" t="s">
        <v>621</v>
      </c>
      <c r="J3591" s="24" t="s">
        <v>622</v>
      </c>
      <c r="K3591" s="24" t="s">
        <v>614</v>
      </c>
    </row>
    <row r="3592" spans="1:11">
      <c r="A3592" s="12">
        <v>2024</v>
      </c>
      <c r="B3592" s="15" t="s">
        <v>257</v>
      </c>
      <c r="C3592" s="15" t="s">
        <v>258</v>
      </c>
      <c r="D3592" s="15" t="s">
        <v>259</v>
      </c>
      <c r="E3592" s="19">
        <v>188513</v>
      </c>
      <c r="F3592" s="19">
        <v>58999</v>
      </c>
      <c r="G3592" s="20">
        <f t="shared" si="56"/>
        <v>0.23836824073176249</v>
      </c>
      <c r="H3592" s="24" t="s">
        <v>589</v>
      </c>
      <c r="I3592" s="24" t="s">
        <v>621</v>
      </c>
      <c r="J3592" s="24" t="s">
        <v>622</v>
      </c>
      <c r="K3592" s="24" t="s">
        <v>614</v>
      </c>
    </row>
    <row r="3593" spans="1:11">
      <c r="A3593" s="12">
        <v>2024</v>
      </c>
      <c r="B3593" s="15" t="s">
        <v>257</v>
      </c>
      <c r="C3593" s="15" t="s">
        <v>260</v>
      </c>
      <c r="D3593" s="15" t="s">
        <v>261</v>
      </c>
      <c r="E3593" s="19">
        <v>16473</v>
      </c>
      <c r="F3593" s="19">
        <v>23969</v>
      </c>
      <c r="G3593" s="20">
        <f t="shared" si="56"/>
        <v>0.59267593096286042</v>
      </c>
      <c r="H3593" s="24" t="s">
        <v>589</v>
      </c>
      <c r="I3593" s="24" t="s">
        <v>621</v>
      </c>
      <c r="J3593" s="24" t="s">
        <v>622</v>
      </c>
      <c r="K3593" s="24" t="s">
        <v>614</v>
      </c>
    </row>
    <row r="3594" spans="1:11">
      <c r="A3594" s="12">
        <v>2024</v>
      </c>
      <c r="B3594" s="15" t="s">
        <v>257</v>
      </c>
      <c r="C3594" s="15" t="s">
        <v>262</v>
      </c>
      <c r="D3594" s="15" t="s">
        <v>263</v>
      </c>
      <c r="E3594" s="19">
        <v>78716</v>
      </c>
      <c r="F3594" s="19">
        <v>46994</v>
      </c>
      <c r="G3594" s="20">
        <f t="shared" si="56"/>
        <v>0.37382865324954262</v>
      </c>
      <c r="H3594" s="24" t="s">
        <v>589</v>
      </c>
      <c r="I3594" s="24" t="s">
        <v>621</v>
      </c>
      <c r="J3594" s="24" t="s">
        <v>622</v>
      </c>
      <c r="K3594" s="24" t="s">
        <v>614</v>
      </c>
    </row>
    <row r="3595" spans="1:11">
      <c r="A3595" s="12">
        <v>2024</v>
      </c>
      <c r="B3595" s="15" t="s">
        <v>257</v>
      </c>
      <c r="C3595" s="15" t="s">
        <v>264</v>
      </c>
      <c r="D3595" s="15" t="s">
        <v>265</v>
      </c>
      <c r="E3595" s="19">
        <v>52417</v>
      </c>
      <c r="F3595" s="19">
        <v>40548</v>
      </c>
      <c r="G3595" s="20">
        <f t="shared" si="56"/>
        <v>0.43616414779755824</v>
      </c>
      <c r="H3595" s="24" t="s">
        <v>589</v>
      </c>
      <c r="I3595" s="24" t="s">
        <v>621</v>
      </c>
      <c r="J3595" s="24" t="s">
        <v>622</v>
      </c>
      <c r="K3595" s="24" t="s">
        <v>614</v>
      </c>
    </row>
    <row r="3596" spans="1:11">
      <c r="A3596" s="12">
        <v>2024</v>
      </c>
      <c r="B3596" s="15" t="s">
        <v>257</v>
      </c>
      <c r="C3596" s="15" t="s">
        <v>266</v>
      </c>
      <c r="D3596" s="15" t="s">
        <v>267</v>
      </c>
      <c r="E3596" s="19">
        <v>71832</v>
      </c>
      <c r="F3596" s="19">
        <v>40442</v>
      </c>
      <c r="G3596" s="20">
        <f t="shared" si="56"/>
        <v>0.36020806241872561</v>
      </c>
      <c r="H3596" s="24" t="s">
        <v>589</v>
      </c>
      <c r="I3596" s="24" t="s">
        <v>621</v>
      </c>
      <c r="J3596" s="24" t="s">
        <v>622</v>
      </c>
      <c r="K3596" s="24" t="s">
        <v>614</v>
      </c>
    </row>
    <row r="3597" spans="1:11">
      <c r="A3597" s="12">
        <v>2024</v>
      </c>
      <c r="B3597" s="15" t="s">
        <v>257</v>
      </c>
      <c r="C3597" s="15" t="s">
        <v>268</v>
      </c>
      <c r="D3597" s="15" t="s">
        <v>269</v>
      </c>
      <c r="E3597" s="19">
        <v>16730</v>
      </c>
      <c r="F3597" s="19">
        <v>16776</v>
      </c>
      <c r="G3597" s="20">
        <f t="shared" si="56"/>
        <v>0.50068644421894581</v>
      </c>
      <c r="H3597" s="24" t="s">
        <v>589</v>
      </c>
      <c r="I3597" s="24" t="s">
        <v>621</v>
      </c>
      <c r="J3597" s="24" t="s">
        <v>622</v>
      </c>
      <c r="K3597" s="24" t="s">
        <v>614</v>
      </c>
    </row>
    <row r="3598" spans="1:11">
      <c r="A3598" s="12">
        <v>2024</v>
      </c>
      <c r="B3598" s="15" t="s">
        <v>257</v>
      </c>
      <c r="C3598" s="15" t="s">
        <v>270</v>
      </c>
      <c r="D3598" s="15" t="s">
        <v>271</v>
      </c>
      <c r="E3598" s="19">
        <v>18640</v>
      </c>
      <c r="F3598" s="19">
        <v>23880</v>
      </c>
      <c r="G3598" s="20">
        <f t="shared" si="56"/>
        <v>0.56161806208842902</v>
      </c>
      <c r="H3598" s="24" t="s">
        <v>589</v>
      </c>
      <c r="I3598" s="24" t="s">
        <v>621</v>
      </c>
      <c r="J3598" s="24" t="s">
        <v>622</v>
      </c>
      <c r="K3598" s="24" t="s">
        <v>614</v>
      </c>
    </row>
    <row r="3599" spans="1:11">
      <c r="A3599" s="12">
        <v>2024</v>
      </c>
      <c r="B3599" s="15" t="s">
        <v>257</v>
      </c>
      <c r="C3599" s="15" t="s">
        <v>272</v>
      </c>
      <c r="D3599" s="15" t="s">
        <v>273</v>
      </c>
      <c r="E3599" s="19">
        <v>28215</v>
      </c>
      <c r="F3599" s="19">
        <v>28597</v>
      </c>
      <c r="G3599" s="20">
        <f t="shared" si="56"/>
        <v>0.50336196578187709</v>
      </c>
      <c r="H3599" s="24" t="s">
        <v>589</v>
      </c>
      <c r="I3599" s="24" t="s">
        <v>621</v>
      </c>
      <c r="J3599" s="24" t="s">
        <v>622</v>
      </c>
      <c r="K3599" s="24" t="s">
        <v>614</v>
      </c>
    </row>
    <row r="3600" spans="1:11">
      <c r="A3600" s="12">
        <v>2024</v>
      </c>
      <c r="B3600" s="15" t="s">
        <v>257</v>
      </c>
      <c r="C3600" s="15" t="s">
        <v>274</v>
      </c>
      <c r="D3600" s="15" t="s">
        <v>275</v>
      </c>
      <c r="E3600" s="19">
        <v>331146</v>
      </c>
      <c r="F3600" s="19">
        <v>112287</v>
      </c>
      <c r="G3600" s="20">
        <f t="shared" si="56"/>
        <v>0.25322202001204241</v>
      </c>
      <c r="H3600" s="24" t="s">
        <v>589</v>
      </c>
      <c r="I3600" s="24" t="s">
        <v>621</v>
      </c>
      <c r="J3600" s="24" t="s">
        <v>622</v>
      </c>
      <c r="K3600" s="24" t="s">
        <v>614</v>
      </c>
    </row>
    <row r="3601" spans="1:11">
      <c r="A3601" s="12">
        <v>2024</v>
      </c>
      <c r="B3601" s="15" t="s">
        <v>257</v>
      </c>
      <c r="C3601" s="15" t="s">
        <v>276</v>
      </c>
      <c r="D3601" s="15" t="s">
        <v>277</v>
      </c>
      <c r="E3601" s="19">
        <v>24112</v>
      </c>
      <c r="F3601" s="19">
        <v>25855</v>
      </c>
      <c r="G3601" s="20">
        <f t="shared" si="56"/>
        <v>0.51744151139752237</v>
      </c>
      <c r="H3601" s="24" t="s">
        <v>589</v>
      </c>
      <c r="I3601" s="24" t="s">
        <v>621</v>
      </c>
      <c r="J3601" s="24" t="s">
        <v>622</v>
      </c>
      <c r="K3601" s="24" t="s">
        <v>614</v>
      </c>
    </row>
    <row r="3602" spans="1:11">
      <c r="A3602" s="12">
        <v>2024</v>
      </c>
      <c r="B3602" s="15" t="s">
        <v>257</v>
      </c>
      <c r="C3602" s="15" t="s">
        <v>278</v>
      </c>
      <c r="D3602" s="15" t="s">
        <v>279</v>
      </c>
      <c r="E3602" s="19">
        <v>24504</v>
      </c>
      <c r="F3602" s="19">
        <v>27670</v>
      </c>
      <c r="G3602" s="20">
        <f t="shared" si="56"/>
        <v>0.53034078276536201</v>
      </c>
      <c r="H3602" s="24" t="s">
        <v>589</v>
      </c>
      <c r="I3602" s="24" t="s">
        <v>621</v>
      </c>
      <c r="J3602" s="24" t="s">
        <v>622</v>
      </c>
      <c r="K3602" s="24" t="s">
        <v>614</v>
      </c>
    </row>
    <row r="3603" spans="1:11">
      <c r="A3603" s="12">
        <v>2024</v>
      </c>
      <c r="B3603" s="15" t="s">
        <v>257</v>
      </c>
      <c r="C3603" s="15" t="s">
        <v>280</v>
      </c>
      <c r="D3603" s="15" t="s">
        <v>281</v>
      </c>
      <c r="E3603" s="19">
        <v>33913</v>
      </c>
      <c r="F3603" s="19">
        <v>30944</v>
      </c>
      <c r="G3603" s="20">
        <f t="shared" si="56"/>
        <v>0.47711118306427985</v>
      </c>
      <c r="H3603" s="24" t="s">
        <v>589</v>
      </c>
      <c r="I3603" s="24" t="s">
        <v>621</v>
      </c>
      <c r="J3603" s="24" t="s">
        <v>622</v>
      </c>
      <c r="K3603" s="24" t="s">
        <v>614</v>
      </c>
    </row>
    <row r="3604" spans="1:11">
      <c r="A3604" s="12">
        <v>2024</v>
      </c>
      <c r="B3604" s="15" t="s">
        <v>257</v>
      </c>
      <c r="C3604" s="15" t="s">
        <v>282</v>
      </c>
      <c r="D3604" s="15" t="s">
        <v>283</v>
      </c>
      <c r="E3604" s="19">
        <v>262304</v>
      </c>
      <c r="F3604" s="19">
        <v>87212</v>
      </c>
      <c r="G3604" s="20">
        <f t="shared" si="56"/>
        <v>0.24952219640874809</v>
      </c>
      <c r="H3604" s="24" t="s">
        <v>589</v>
      </c>
      <c r="I3604" s="24" t="s">
        <v>621</v>
      </c>
      <c r="J3604" s="24" t="s">
        <v>622</v>
      </c>
      <c r="K3604" s="24" t="s">
        <v>614</v>
      </c>
    </row>
    <row r="3605" spans="1:11">
      <c r="A3605" s="12">
        <v>2024</v>
      </c>
      <c r="B3605" s="15" t="s">
        <v>257</v>
      </c>
      <c r="C3605" s="15" t="s">
        <v>284</v>
      </c>
      <c r="D3605" s="15" t="s">
        <v>285</v>
      </c>
      <c r="E3605" s="19">
        <v>32962</v>
      </c>
      <c r="F3605" s="19">
        <v>24819</v>
      </c>
      <c r="G3605" s="20">
        <f t="shared" si="56"/>
        <v>0.4295356605112407</v>
      </c>
      <c r="H3605" s="24" t="s">
        <v>589</v>
      </c>
      <c r="I3605" s="24" t="s">
        <v>621</v>
      </c>
      <c r="J3605" s="24" t="s">
        <v>622</v>
      </c>
      <c r="K3605" s="24" t="s">
        <v>614</v>
      </c>
    </row>
    <row r="3606" spans="1:11">
      <c r="A3606" s="12">
        <v>2024</v>
      </c>
      <c r="B3606" s="15" t="s">
        <v>257</v>
      </c>
      <c r="C3606" s="15" t="s">
        <v>286</v>
      </c>
      <c r="D3606" s="15" t="s">
        <v>287</v>
      </c>
      <c r="E3606" s="19">
        <v>30342</v>
      </c>
      <c r="F3606" s="19">
        <v>33895</v>
      </c>
      <c r="G3606" s="20">
        <f t="shared" si="56"/>
        <v>0.52765540109282816</v>
      </c>
      <c r="H3606" s="24" t="s">
        <v>589</v>
      </c>
      <c r="I3606" s="24" t="s">
        <v>621</v>
      </c>
      <c r="J3606" s="24" t="s">
        <v>622</v>
      </c>
      <c r="K3606" s="24" t="s">
        <v>614</v>
      </c>
    </row>
    <row r="3607" spans="1:11">
      <c r="A3607" s="12">
        <v>2024</v>
      </c>
      <c r="B3607" s="15" t="s">
        <v>257</v>
      </c>
      <c r="C3607" s="15" t="s">
        <v>288</v>
      </c>
      <c r="D3607" s="15" t="s">
        <v>289</v>
      </c>
      <c r="E3607" s="19">
        <v>54380</v>
      </c>
      <c r="F3607" s="19">
        <v>45993</v>
      </c>
      <c r="G3607" s="20">
        <f t="shared" si="56"/>
        <v>0.45822083628067312</v>
      </c>
      <c r="H3607" s="24" t="s">
        <v>589</v>
      </c>
      <c r="I3607" s="24" t="s">
        <v>621</v>
      </c>
      <c r="J3607" s="24" t="s">
        <v>622</v>
      </c>
      <c r="K3607" s="24" t="s">
        <v>614</v>
      </c>
    </row>
    <row r="3608" spans="1:11">
      <c r="A3608" s="12">
        <v>2024</v>
      </c>
      <c r="B3608" s="15" t="s">
        <v>257</v>
      </c>
      <c r="C3608" s="15" t="s">
        <v>290</v>
      </c>
      <c r="D3608" s="15" t="s">
        <v>291</v>
      </c>
      <c r="E3608" s="19">
        <v>16931</v>
      </c>
      <c r="F3608" s="19">
        <v>19686</v>
      </c>
      <c r="G3608" s="20">
        <f t="shared" si="56"/>
        <v>0.53761913865144606</v>
      </c>
      <c r="H3608" s="24" t="s">
        <v>589</v>
      </c>
      <c r="I3608" s="24" t="s">
        <v>621</v>
      </c>
      <c r="J3608" s="24" t="s">
        <v>622</v>
      </c>
      <c r="K3608" s="24" t="s">
        <v>614</v>
      </c>
    </row>
    <row r="3609" spans="1:11">
      <c r="A3609" s="12">
        <v>2024</v>
      </c>
      <c r="B3609" s="15" t="s">
        <v>257</v>
      </c>
      <c r="C3609" s="15" t="s">
        <v>292</v>
      </c>
      <c r="D3609" s="15" t="s">
        <v>293</v>
      </c>
      <c r="E3609" s="19">
        <v>35619</v>
      </c>
      <c r="F3609" s="19">
        <v>37893</v>
      </c>
      <c r="G3609" s="20">
        <f t="shared" si="56"/>
        <v>0.51546686255305252</v>
      </c>
      <c r="H3609" s="24" t="s">
        <v>589</v>
      </c>
      <c r="I3609" s="24" t="s">
        <v>621</v>
      </c>
      <c r="J3609" s="24" t="s">
        <v>622</v>
      </c>
      <c r="K3609" s="24" t="s">
        <v>614</v>
      </c>
    </row>
    <row r="3610" spans="1:11">
      <c r="A3610" s="12">
        <v>2024</v>
      </c>
      <c r="B3610" s="15" t="s">
        <v>294</v>
      </c>
      <c r="C3610" s="15" t="s">
        <v>22</v>
      </c>
      <c r="D3610" s="15" t="s">
        <v>294</v>
      </c>
      <c r="E3610" s="19">
        <v>1489745</v>
      </c>
      <c r="F3610" s="19">
        <v>531925</v>
      </c>
      <c r="G3610" s="20">
        <f t="shared" si="56"/>
        <v>0.26311168489417164</v>
      </c>
      <c r="H3610" s="24" t="s">
        <v>586</v>
      </c>
      <c r="I3610" s="24" t="s">
        <v>619</v>
      </c>
      <c r="J3610" s="24" t="s">
        <v>620</v>
      </c>
      <c r="K3610" s="24" t="s">
        <v>614</v>
      </c>
    </row>
    <row r="3611" spans="1:11">
      <c r="A3611" s="12">
        <v>2024</v>
      </c>
      <c r="B3611" s="15" t="s">
        <v>294</v>
      </c>
      <c r="C3611" s="15" t="s">
        <v>295</v>
      </c>
      <c r="D3611" s="15" t="s">
        <v>296</v>
      </c>
      <c r="E3611" s="19">
        <v>24836</v>
      </c>
      <c r="F3611" s="19">
        <v>31541</v>
      </c>
      <c r="G3611" s="20">
        <f t="shared" si="56"/>
        <v>0.55946573957464929</v>
      </c>
      <c r="H3611" s="24" t="s">
        <v>586</v>
      </c>
      <c r="I3611" s="24" t="s">
        <v>619</v>
      </c>
      <c r="J3611" s="24" t="s">
        <v>620</v>
      </c>
      <c r="K3611" s="24" t="s">
        <v>614</v>
      </c>
    </row>
    <row r="3612" spans="1:11">
      <c r="A3612" s="12">
        <v>2024</v>
      </c>
      <c r="B3612" s="15" t="s">
        <v>294</v>
      </c>
      <c r="C3612" s="15" t="s">
        <v>297</v>
      </c>
      <c r="D3612" s="15" t="s">
        <v>298</v>
      </c>
      <c r="E3612" s="19">
        <v>20938</v>
      </c>
      <c r="F3612" s="19">
        <v>23217</v>
      </c>
      <c r="G3612" s="20">
        <f t="shared" si="56"/>
        <v>0.52580681689502884</v>
      </c>
      <c r="H3612" s="24" t="s">
        <v>586</v>
      </c>
      <c r="I3612" s="24" t="s">
        <v>619</v>
      </c>
      <c r="J3612" s="24" t="s">
        <v>620</v>
      </c>
      <c r="K3612" s="24" t="s">
        <v>614</v>
      </c>
    </row>
    <row r="3613" spans="1:11">
      <c r="A3613" s="12">
        <v>2024</v>
      </c>
      <c r="B3613" s="15" t="s">
        <v>294</v>
      </c>
      <c r="C3613" s="15" t="s">
        <v>299</v>
      </c>
      <c r="D3613" s="15" t="s">
        <v>300</v>
      </c>
      <c r="E3613" s="19">
        <v>24990</v>
      </c>
      <c r="F3613" s="19">
        <v>23664</v>
      </c>
      <c r="G3613" s="20">
        <f t="shared" si="56"/>
        <v>0.48637316561844862</v>
      </c>
      <c r="H3613" s="24" t="s">
        <v>586</v>
      </c>
      <c r="I3613" s="24" t="s">
        <v>619</v>
      </c>
      <c r="J3613" s="24" t="s">
        <v>620</v>
      </c>
      <c r="K3613" s="24" t="s">
        <v>614</v>
      </c>
    </row>
    <row r="3614" spans="1:11">
      <c r="A3614" s="12">
        <v>2024</v>
      </c>
      <c r="B3614" s="15" t="s">
        <v>294</v>
      </c>
      <c r="C3614" s="15" t="s">
        <v>301</v>
      </c>
      <c r="D3614" s="15" t="s">
        <v>302</v>
      </c>
      <c r="E3614" s="19">
        <v>36454</v>
      </c>
      <c r="F3614" s="19">
        <v>31089</v>
      </c>
      <c r="G3614" s="20">
        <f t="shared" si="56"/>
        <v>0.46028455946582175</v>
      </c>
      <c r="H3614" s="24" t="s">
        <v>586</v>
      </c>
      <c r="I3614" s="24" t="s">
        <v>619</v>
      </c>
      <c r="J3614" s="24" t="s">
        <v>620</v>
      </c>
      <c r="K3614" s="24" t="s">
        <v>614</v>
      </c>
    </row>
    <row r="3615" spans="1:11">
      <c r="A3615" s="12">
        <v>2024</v>
      </c>
      <c r="B3615" s="15" t="s">
        <v>294</v>
      </c>
      <c r="C3615" s="15" t="s">
        <v>303</v>
      </c>
      <c r="D3615" s="15" t="s">
        <v>304</v>
      </c>
      <c r="E3615" s="19">
        <v>40974</v>
      </c>
      <c r="F3615" s="19">
        <v>35237</v>
      </c>
      <c r="G3615" s="20">
        <f t="shared" si="56"/>
        <v>0.46236107648502184</v>
      </c>
      <c r="H3615" s="24" t="s">
        <v>586</v>
      </c>
      <c r="I3615" s="24" t="s">
        <v>619</v>
      </c>
      <c r="J3615" s="24" t="s">
        <v>620</v>
      </c>
      <c r="K3615" s="24" t="s">
        <v>614</v>
      </c>
    </row>
    <row r="3616" spans="1:11">
      <c r="A3616" s="12">
        <v>2024</v>
      </c>
      <c r="B3616" s="15" t="s">
        <v>294</v>
      </c>
      <c r="C3616" s="15" t="s">
        <v>305</v>
      </c>
      <c r="D3616" s="15" t="s">
        <v>306</v>
      </c>
      <c r="E3616" s="19">
        <v>81371</v>
      </c>
      <c r="F3616" s="19">
        <v>74784</v>
      </c>
      <c r="G3616" s="20">
        <f t="shared" si="56"/>
        <v>0.47890877653613395</v>
      </c>
      <c r="H3616" s="24" t="s">
        <v>586</v>
      </c>
      <c r="I3616" s="24" t="s">
        <v>619</v>
      </c>
      <c r="J3616" s="24" t="s">
        <v>620</v>
      </c>
      <c r="K3616" s="24" t="s">
        <v>614</v>
      </c>
    </row>
    <row r="3617" spans="1:11">
      <c r="A3617" s="12">
        <v>2024</v>
      </c>
      <c r="B3617" s="15" t="s">
        <v>294</v>
      </c>
      <c r="C3617" s="15" t="s">
        <v>307</v>
      </c>
      <c r="D3617" s="15" t="s">
        <v>308</v>
      </c>
      <c r="E3617" s="19">
        <v>116023</v>
      </c>
      <c r="F3617" s="19">
        <v>61231</v>
      </c>
      <c r="G3617" s="20">
        <f t="shared" si="56"/>
        <v>0.34544213388696449</v>
      </c>
      <c r="H3617" s="24" t="s">
        <v>586</v>
      </c>
      <c r="I3617" s="24" t="s">
        <v>619</v>
      </c>
      <c r="J3617" s="24" t="s">
        <v>620</v>
      </c>
      <c r="K3617" s="24" t="s">
        <v>614</v>
      </c>
    </row>
    <row r="3618" spans="1:11">
      <c r="A3618" s="12">
        <v>2024</v>
      </c>
      <c r="B3618" s="15" t="s">
        <v>294</v>
      </c>
      <c r="C3618" s="15" t="s">
        <v>309</v>
      </c>
      <c r="D3618" s="15" t="s">
        <v>310</v>
      </c>
      <c r="E3618" s="19">
        <v>31438</v>
      </c>
      <c r="F3618" s="19">
        <v>28219</v>
      </c>
      <c r="G3618" s="20">
        <f t="shared" si="56"/>
        <v>0.47302076872789445</v>
      </c>
      <c r="H3618" s="24" t="s">
        <v>586</v>
      </c>
      <c r="I3618" s="24" t="s">
        <v>619</v>
      </c>
      <c r="J3618" s="24" t="s">
        <v>620</v>
      </c>
      <c r="K3618" s="24" t="s">
        <v>614</v>
      </c>
    </row>
    <row r="3619" spans="1:11">
      <c r="A3619" s="12">
        <v>2024</v>
      </c>
      <c r="B3619" s="15" t="s">
        <v>294</v>
      </c>
      <c r="C3619" s="15" t="s">
        <v>311</v>
      </c>
      <c r="D3619" s="15" t="s">
        <v>312</v>
      </c>
      <c r="E3619" s="19">
        <v>76457</v>
      </c>
      <c r="F3619" s="19">
        <v>66144</v>
      </c>
      <c r="G3619" s="20">
        <f t="shared" si="56"/>
        <v>0.46383966451848163</v>
      </c>
      <c r="H3619" s="24" t="s">
        <v>586</v>
      </c>
      <c r="I3619" s="24" t="s">
        <v>619</v>
      </c>
      <c r="J3619" s="24" t="s">
        <v>620</v>
      </c>
      <c r="K3619" s="24" t="s">
        <v>614</v>
      </c>
    </row>
    <row r="3620" spans="1:11">
      <c r="A3620" s="12">
        <v>2024</v>
      </c>
      <c r="B3620" s="15" t="s">
        <v>294</v>
      </c>
      <c r="C3620" s="15" t="s">
        <v>315</v>
      </c>
      <c r="D3620" s="15" t="s">
        <v>316</v>
      </c>
      <c r="E3620" s="19">
        <v>172143</v>
      </c>
      <c r="F3620" s="19">
        <v>139528</v>
      </c>
      <c r="G3620" s="20">
        <f t="shared" si="56"/>
        <v>0.44767719807104284</v>
      </c>
      <c r="H3620" s="24" t="s">
        <v>586</v>
      </c>
      <c r="I3620" s="24" t="s">
        <v>619</v>
      </c>
      <c r="J3620" s="24" t="s">
        <v>620</v>
      </c>
      <c r="K3620" s="24" t="s">
        <v>614</v>
      </c>
    </row>
    <row r="3621" spans="1:11">
      <c r="A3621" s="12">
        <v>2024</v>
      </c>
      <c r="B3621" s="15" t="s">
        <v>294</v>
      </c>
      <c r="C3621" s="15" t="s">
        <v>317</v>
      </c>
      <c r="D3621" s="15" t="s">
        <v>318</v>
      </c>
      <c r="E3621" s="19">
        <v>151451</v>
      </c>
      <c r="F3621" s="19">
        <v>147673</v>
      </c>
      <c r="G3621" s="20">
        <f t="shared" si="56"/>
        <v>0.49368489322154024</v>
      </c>
      <c r="H3621" s="24" t="s">
        <v>586</v>
      </c>
      <c r="I3621" s="24" t="s">
        <v>619</v>
      </c>
      <c r="J3621" s="24" t="s">
        <v>620</v>
      </c>
      <c r="K3621" s="24" t="s">
        <v>614</v>
      </c>
    </row>
    <row r="3622" spans="1:11">
      <c r="A3622" s="12">
        <v>2024</v>
      </c>
      <c r="B3622" s="15" t="s">
        <v>294</v>
      </c>
      <c r="C3622" s="15" t="s">
        <v>319</v>
      </c>
      <c r="D3622" s="15" t="s">
        <v>320</v>
      </c>
      <c r="E3622" s="19">
        <v>165849</v>
      </c>
      <c r="F3622" s="19">
        <v>129835</v>
      </c>
      <c r="G3622" s="20">
        <f t="shared" si="56"/>
        <v>0.43910052623746976</v>
      </c>
      <c r="H3622" s="24" t="s">
        <v>586</v>
      </c>
      <c r="I3622" s="24" t="s">
        <v>619</v>
      </c>
      <c r="J3622" s="24" t="s">
        <v>620</v>
      </c>
      <c r="K3622" s="24" t="s">
        <v>614</v>
      </c>
    </row>
    <row r="3623" spans="1:11">
      <c r="A3623" s="12">
        <v>2024</v>
      </c>
      <c r="B3623" s="15" t="s">
        <v>294</v>
      </c>
      <c r="C3623" s="15" t="s">
        <v>321</v>
      </c>
      <c r="D3623" s="15" t="s">
        <v>322</v>
      </c>
      <c r="E3623" s="19">
        <v>247110</v>
      </c>
      <c r="F3623" s="19">
        <v>208396</v>
      </c>
      <c r="G3623" s="20">
        <f t="shared" si="56"/>
        <v>0.45750440169833106</v>
      </c>
      <c r="H3623" s="24" t="s">
        <v>586</v>
      </c>
      <c r="I3623" s="24" t="s">
        <v>619</v>
      </c>
      <c r="J3623" s="24" t="s">
        <v>620</v>
      </c>
      <c r="K3623" s="24" t="s">
        <v>614</v>
      </c>
    </row>
    <row r="3624" spans="1:11">
      <c r="A3624" s="12">
        <v>2024</v>
      </c>
      <c r="B3624" s="15" t="s">
        <v>294</v>
      </c>
      <c r="C3624" s="15" t="s">
        <v>323</v>
      </c>
      <c r="D3624" s="15" t="s">
        <v>324</v>
      </c>
      <c r="E3624" s="19">
        <v>190911</v>
      </c>
      <c r="F3624" s="19">
        <v>83635</v>
      </c>
      <c r="G3624" s="20">
        <f t="shared" si="56"/>
        <v>0.30463018947644477</v>
      </c>
      <c r="H3624" s="24" t="s">
        <v>586</v>
      </c>
      <c r="I3624" s="24" t="s">
        <v>619</v>
      </c>
      <c r="J3624" s="24" t="s">
        <v>620</v>
      </c>
      <c r="K3624" s="24" t="s">
        <v>614</v>
      </c>
    </row>
    <row r="3625" spans="1:11">
      <c r="A3625" s="12">
        <v>2024</v>
      </c>
      <c r="B3625" s="15" t="s">
        <v>325</v>
      </c>
      <c r="C3625" s="15" t="s">
        <v>22</v>
      </c>
      <c r="D3625" s="15" t="s">
        <v>325</v>
      </c>
      <c r="E3625" s="19">
        <v>1993884</v>
      </c>
      <c r="F3625" s="19">
        <v>855869</v>
      </c>
      <c r="G3625" s="20">
        <f t="shared" si="56"/>
        <v>0.30033094096225182</v>
      </c>
      <c r="H3625" s="24" t="s">
        <v>586</v>
      </c>
      <c r="I3625" s="24" t="s">
        <v>619</v>
      </c>
      <c r="J3625" s="24" t="s">
        <v>620</v>
      </c>
      <c r="K3625" s="24" t="s">
        <v>614</v>
      </c>
    </row>
    <row r="3626" spans="1:11">
      <c r="A3626" s="12">
        <v>2024</v>
      </c>
      <c r="B3626" s="15" t="s">
        <v>325</v>
      </c>
      <c r="C3626" s="15" t="s">
        <v>326</v>
      </c>
      <c r="D3626" s="15" t="s">
        <v>327</v>
      </c>
      <c r="E3626" s="19">
        <v>37702</v>
      </c>
      <c r="F3626" s="19">
        <v>37582</v>
      </c>
      <c r="G3626" s="20">
        <f t="shared" si="56"/>
        <v>0.49920301790553107</v>
      </c>
      <c r="H3626" s="24" t="s">
        <v>586</v>
      </c>
      <c r="I3626" s="24" t="s">
        <v>619</v>
      </c>
      <c r="J3626" s="24" t="s">
        <v>620</v>
      </c>
      <c r="K3626" s="24" t="s">
        <v>614</v>
      </c>
    </row>
    <row r="3627" spans="1:11">
      <c r="A3627" s="12">
        <v>2024</v>
      </c>
      <c r="B3627" s="15" t="s">
        <v>325</v>
      </c>
      <c r="C3627" s="15" t="s">
        <v>328</v>
      </c>
      <c r="D3627" s="15" t="s">
        <v>329</v>
      </c>
      <c r="E3627" s="19">
        <v>85427</v>
      </c>
      <c r="F3627" s="19">
        <v>68385</v>
      </c>
      <c r="G3627" s="20">
        <f t="shared" si="56"/>
        <v>0.4446012014667256</v>
      </c>
      <c r="H3627" s="24" t="s">
        <v>586</v>
      </c>
      <c r="I3627" s="24" t="s">
        <v>619</v>
      </c>
      <c r="J3627" s="24" t="s">
        <v>620</v>
      </c>
      <c r="K3627" s="24" t="s">
        <v>614</v>
      </c>
    </row>
    <row r="3628" spans="1:11">
      <c r="A3628" s="12">
        <v>2024</v>
      </c>
      <c r="B3628" s="15" t="s">
        <v>325</v>
      </c>
      <c r="C3628" s="15" t="s">
        <v>330</v>
      </c>
      <c r="D3628" s="15" t="s">
        <v>331</v>
      </c>
      <c r="E3628" s="19">
        <v>41421</v>
      </c>
      <c r="F3628" s="19">
        <v>38183</v>
      </c>
      <c r="G3628" s="20">
        <f t="shared" si="56"/>
        <v>0.47966182603889251</v>
      </c>
      <c r="H3628" s="24" t="s">
        <v>586</v>
      </c>
      <c r="I3628" s="24" t="s">
        <v>619</v>
      </c>
      <c r="J3628" s="24" t="s">
        <v>620</v>
      </c>
      <c r="K3628" s="24" t="s">
        <v>614</v>
      </c>
    </row>
    <row r="3629" spans="1:11">
      <c r="A3629" s="12">
        <v>2024</v>
      </c>
      <c r="B3629" s="15" t="s">
        <v>325</v>
      </c>
      <c r="C3629" s="15" t="s">
        <v>332</v>
      </c>
      <c r="D3629" s="15" t="s">
        <v>333</v>
      </c>
      <c r="E3629" s="19">
        <v>97211</v>
      </c>
      <c r="F3629" s="19">
        <v>65424</v>
      </c>
      <c r="G3629" s="20">
        <f t="shared" si="56"/>
        <v>0.4022750330494666</v>
      </c>
      <c r="H3629" s="24" t="s">
        <v>586</v>
      </c>
      <c r="I3629" s="24" t="s">
        <v>619</v>
      </c>
      <c r="J3629" s="24" t="s">
        <v>620</v>
      </c>
      <c r="K3629" s="24" t="s">
        <v>614</v>
      </c>
    </row>
    <row r="3630" spans="1:11">
      <c r="A3630" s="12">
        <v>2024</v>
      </c>
      <c r="B3630" s="15" t="s">
        <v>325</v>
      </c>
      <c r="C3630" s="15" t="s">
        <v>336</v>
      </c>
      <c r="D3630" s="15" t="s">
        <v>337</v>
      </c>
      <c r="E3630" s="19">
        <v>157021</v>
      </c>
      <c r="F3630" s="19">
        <v>94753</v>
      </c>
      <c r="G3630" s="20">
        <f t="shared" si="56"/>
        <v>0.37634148085187508</v>
      </c>
      <c r="H3630" s="24" t="s">
        <v>586</v>
      </c>
      <c r="I3630" s="24" t="s">
        <v>619</v>
      </c>
      <c r="J3630" s="24" t="s">
        <v>620</v>
      </c>
      <c r="K3630" s="24" t="s">
        <v>614</v>
      </c>
    </row>
    <row r="3631" spans="1:11">
      <c r="A3631" s="12">
        <v>2024</v>
      </c>
      <c r="B3631" s="15" t="s">
        <v>325</v>
      </c>
      <c r="C3631" s="15" t="s">
        <v>338</v>
      </c>
      <c r="D3631" s="15" t="s">
        <v>339</v>
      </c>
      <c r="E3631" s="19">
        <v>84166</v>
      </c>
      <c r="F3631" s="19">
        <v>54652</v>
      </c>
      <c r="G3631" s="20">
        <f t="shared" si="56"/>
        <v>0.39369534210260915</v>
      </c>
      <c r="H3631" s="24" t="s">
        <v>586</v>
      </c>
      <c r="I3631" s="24" t="s">
        <v>619</v>
      </c>
      <c r="J3631" s="24" t="s">
        <v>620</v>
      </c>
      <c r="K3631" s="24" t="s">
        <v>614</v>
      </c>
    </row>
    <row r="3632" spans="1:11">
      <c r="A3632" s="12">
        <v>2024</v>
      </c>
      <c r="B3632" s="15" t="s">
        <v>325</v>
      </c>
      <c r="C3632" s="15" t="s">
        <v>340</v>
      </c>
      <c r="D3632" s="15" t="s">
        <v>341</v>
      </c>
      <c r="E3632" s="19">
        <v>49877</v>
      </c>
      <c r="F3632" s="19">
        <v>45937</v>
      </c>
      <c r="G3632" s="20">
        <f t="shared" si="56"/>
        <v>0.47943933036925712</v>
      </c>
      <c r="H3632" s="24" t="s">
        <v>586</v>
      </c>
      <c r="I3632" s="24" t="s">
        <v>619</v>
      </c>
      <c r="J3632" s="24" t="s">
        <v>620</v>
      </c>
      <c r="K3632" s="24" t="s">
        <v>614</v>
      </c>
    </row>
    <row r="3633" spans="1:11">
      <c r="A3633" s="12">
        <v>2024</v>
      </c>
      <c r="B3633" s="15" t="s">
        <v>325</v>
      </c>
      <c r="C3633" s="15" t="s">
        <v>342</v>
      </c>
      <c r="D3633" s="15" t="s">
        <v>343</v>
      </c>
      <c r="E3633" s="19">
        <v>158217</v>
      </c>
      <c r="F3633" s="19">
        <v>90287</v>
      </c>
      <c r="G3633" s="20">
        <f t="shared" si="56"/>
        <v>0.36332211956346777</v>
      </c>
      <c r="H3633" s="24" t="s">
        <v>586</v>
      </c>
      <c r="I3633" s="24" t="s">
        <v>619</v>
      </c>
      <c r="J3633" s="24" t="s">
        <v>620</v>
      </c>
      <c r="K3633" s="24" t="s">
        <v>614</v>
      </c>
    </row>
    <row r="3634" spans="1:11">
      <c r="A3634" s="12">
        <v>2024</v>
      </c>
      <c r="B3634" s="15" t="s">
        <v>325</v>
      </c>
      <c r="C3634" s="15" t="s">
        <v>344</v>
      </c>
      <c r="D3634" s="15" t="s">
        <v>345</v>
      </c>
      <c r="E3634" s="19">
        <v>41780</v>
      </c>
      <c r="F3634" s="19">
        <v>36744</v>
      </c>
      <c r="G3634" s="20">
        <f t="shared" si="56"/>
        <v>0.46793337068921603</v>
      </c>
      <c r="H3634" s="24" t="s">
        <v>586</v>
      </c>
      <c r="I3634" s="24" t="s">
        <v>619</v>
      </c>
      <c r="J3634" s="24" t="s">
        <v>620</v>
      </c>
      <c r="K3634" s="24" t="s">
        <v>614</v>
      </c>
    </row>
    <row r="3635" spans="1:11">
      <c r="A3635" s="12">
        <v>2024</v>
      </c>
      <c r="B3635" s="15" t="s">
        <v>325</v>
      </c>
      <c r="C3635" s="15" t="s">
        <v>346</v>
      </c>
      <c r="D3635" s="15" t="s">
        <v>347</v>
      </c>
      <c r="E3635" s="19">
        <v>319913</v>
      </c>
      <c r="F3635" s="19">
        <v>234049</v>
      </c>
      <c r="G3635" s="20">
        <f t="shared" si="56"/>
        <v>0.42250009928478849</v>
      </c>
      <c r="H3635" s="24" t="s">
        <v>586</v>
      </c>
      <c r="I3635" s="24" t="s">
        <v>619</v>
      </c>
      <c r="J3635" s="24" t="s">
        <v>620</v>
      </c>
      <c r="K3635" s="24" t="s">
        <v>614</v>
      </c>
    </row>
    <row r="3636" spans="1:11">
      <c r="A3636" s="12">
        <v>2024</v>
      </c>
      <c r="B3636" s="15" t="s">
        <v>325</v>
      </c>
      <c r="C3636" s="15" t="s">
        <v>350</v>
      </c>
      <c r="D3636" s="15" t="s">
        <v>351</v>
      </c>
      <c r="E3636" s="19">
        <v>63758</v>
      </c>
      <c r="F3636" s="19">
        <v>59402</v>
      </c>
      <c r="G3636" s="20">
        <f t="shared" si="56"/>
        <v>0.48231568691133486</v>
      </c>
      <c r="H3636" s="24" t="s">
        <v>586</v>
      </c>
      <c r="I3636" s="24" t="s">
        <v>619</v>
      </c>
      <c r="J3636" s="24" t="s">
        <v>620</v>
      </c>
      <c r="K3636" s="24" t="s">
        <v>614</v>
      </c>
    </row>
    <row r="3637" spans="1:11">
      <c r="A3637" s="12">
        <v>2024</v>
      </c>
      <c r="B3637" s="15" t="s">
        <v>325</v>
      </c>
      <c r="C3637" s="15" t="s">
        <v>354</v>
      </c>
      <c r="D3637" s="15" t="s">
        <v>355</v>
      </c>
      <c r="E3637" s="19">
        <v>218960</v>
      </c>
      <c r="F3637" s="19">
        <v>202288</v>
      </c>
      <c r="G3637" s="20">
        <f t="shared" si="56"/>
        <v>0.48021118201154667</v>
      </c>
      <c r="H3637" s="24" t="s">
        <v>586</v>
      </c>
      <c r="I3637" s="24" t="s">
        <v>619</v>
      </c>
      <c r="J3637" s="24" t="s">
        <v>620</v>
      </c>
      <c r="K3637" s="24" t="s">
        <v>614</v>
      </c>
    </row>
    <row r="3638" spans="1:11">
      <c r="A3638" s="12">
        <v>2024</v>
      </c>
      <c r="B3638" s="15" t="s">
        <v>325</v>
      </c>
      <c r="C3638" s="15" t="s">
        <v>356</v>
      </c>
      <c r="D3638" s="15" t="s">
        <v>357</v>
      </c>
      <c r="E3638" s="19">
        <v>357667</v>
      </c>
      <c r="F3638" s="19">
        <v>269108</v>
      </c>
      <c r="G3638" s="20">
        <f t="shared" si="56"/>
        <v>0.42935343624107536</v>
      </c>
      <c r="H3638" s="24" t="s">
        <v>586</v>
      </c>
      <c r="I3638" s="24" t="s">
        <v>619</v>
      </c>
      <c r="J3638" s="24" t="s">
        <v>620</v>
      </c>
      <c r="K3638" s="24" t="s">
        <v>614</v>
      </c>
    </row>
    <row r="3639" spans="1:11">
      <c r="A3639" s="12">
        <v>2024</v>
      </c>
      <c r="B3639" s="15" t="s">
        <v>325</v>
      </c>
      <c r="C3639" s="15" t="s">
        <v>358</v>
      </c>
      <c r="D3639" s="15" t="s">
        <v>359</v>
      </c>
      <c r="E3639" s="19">
        <v>22637</v>
      </c>
      <c r="F3639" s="19">
        <v>25484</v>
      </c>
      <c r="G3639" s="20">
        <f t="shared" si="56"/>
        <v>0.52958167951621948</v>
      </c>
      <c r="H3639" s="24" t="s">
        <v>586</v>
      </c>
      <c r="I3639" s="24" t="s">
        <v>619</v>
      </c>
      <c r="J3639" s="24" t="s">
        <v>620</v>
      </c>
      <c r="K3639" s="24" t="s">
        <v>614</v>
      </c>
    </row>
    <row r="3640" spans="1:11">
      <c r="A3640" s="12">
        <v>2024</v>
      </c>
      <c r="B3640" s="15" t="s">
        <v>325</v>
      </c>
      <c r="C3640" s="15" t="s">
        <v>360</v>
      </c>
      <c r="D3640" s="15" t="s">
        <v>361</v>
      </c>
      <c r="E3640" s="19">
        <v>50923</v>
      </c>
      <c r="F3640" s="19">
        <v>45006</v>
      </c>
      <c r="G3640" s="20">
        <f t="shared" si="56"/>
        <v>0.46915948253395739</v>
      </c>
      <c r="H3640" s="24" t="s">
        <v>586</v>
      </c>
      <c r="I3640" s="24" t="s">
        <v>619</v>
      </c>
      <c r="J3640" s="24" t="s">
        <v>620</v>
      </c>
      <c r="K3640" s="24" t="s">
        <v>614</v>
      </c>
    </row>
    <row r="3641" spans="1:11">
      <c r="A3641" s="12">
        <v>2024</v>
      </c>
      <c r="B3641" s="15" t="s">
        <v>325</v>
      </c>
      <c r="C3641" s="15" t="s">
        <v>362</v>
      </c>
      <c r="D3641" s="15" t="s">
        <v>363</v>
      </c>
      <c r="E3641" s="19">
        <v>89021</v>
      </c>
      <c r="F3641" s="19">
        <v>60185</v>
      </c>
      <c r="G3641" s="20">
        <f t="shared" si="56"/>
        <v>0.40336849724541907</v>
      </c>
      <c r="H3641" s="24" t="s">
        <v>586</v>
      </c>
      <c r="I3641" s="24" t="s">
        <v>619</v>
      </c>
      <c r="J3641" s="24" t="s">
        <v>620</v>
      </c>
      <c r="K3641" s="24" t="s">
        <v>614</v>
      </c>
    </row>
    <row r="3642" spans="1:11">
      <c r="A3642" s="12">
        <v>2024</v>
      </c>
      <c r="B3642" s="15" t="s">
        <v>364</v>
      </c>
      <c r="C3642" s="15" t="s">
        <v>22</v>
      </c>
      <c r="D3642" s="15" t="s">
        <v>364</v>
      </c>
      <c r="E3642" s="19">
        <v>1638139</v>
      </c>
      <c r="F3642" s="19">
        <v>400492</v>
      </c>
      <c r="G3642" s="20">
        <f t="shared" si="56"/>
        <v>0.19645144216878876</v>
      </c>
      <c r="H3642" s="24" t="s">
        <v>583</v>
      </c>
      <c r="I3642" s="24" t="s">
        <v>617</v>
      </c>
      <c r="J3642" s="24" t="s">
        <v>618</v>
      </c>
      <c r="K3642" s="24" t="s">
        <v>614</v>
      </c>
    </row>
    <row r="3643" spans="1:11">
      <c r="A3643" s="12">
        <v>2024</v>
      </c>
      <c r="B3643" s="15" t="s">
        <v>364</v>
      </c>
      <c r="C3643" s="15" t="s">
        <v>365</v>
      </c>
      <c r="D3643" s="15" t="s">
        <v>366</v>
      </c>
      <c r="E3643" s="19">
        <v>43312</v>
      </c>
      <c r="F3643" s="19">
        <v>36724</v>
      </c>
      <c r="G3643" s="20">
        <f t="shared" si="56"/>
        <v>0.45884352041581289</v>
      </c>
      <c r="H3643" s="24" t="s">
        <v>583</v>
      </c>
      <c r="I3643" s="24" t="s">
        <v>617</v>
      </c>
      <c r="J3643" s="24" t="s">
        <v>618</v>
      </c>
      <c r="K3643" s="24" t="s">
        <v>614</v>
      </c>
    </row>
    <row r="3644" spans="1:11">
      <c r="A3644" s="12">
        <v>2024</v>
      </c>
      <c r="B3644" s="15" t="s">
        <v>364</v>
      </c>
      <c r="C3644" s="15" t="s">
        <v>367</v>
      </c>
      <c r="D3644" s="15" t="s">
        <v>368</v>
      </c>
      <c r="E3644" s="19">
        <v>239712</v>
      </c>
      <c r="F3644" s="19">
        <v>106261</v>
      </c>
      <c r="G3644" s="20">
        <f t="shared" si="56"/>
        <v>0.30713668407650307</v>
      </c>
      <c r="H3644" s="24" t="s">
        <v>583</v>
      </c>
      <c r="I3644" s="24" t="s">
        <v>617</v>
      </c>
      <c r="J3644" s="24" t="s">
        <v>618</v>
      </c>
      <c r="K3644" s="24" t="s">
        <v>614</v>
      </c>
    </row>
    <row r="3645" spans="1:11">
      <c r="A3645" s="12">
        <v>2024</v>
      </c>
      <c r="B3645" s="15" t="s">
        <v>364</v>
      </c>
      <c r="C3645" s="15" t="s">
        <v>369</v>
      </c>
      <c r="D3645" s="15" t="s">
        <v>370</v>
      </c>
      <c r="E3645" s="19">
        <v>63917</v>
      </c>
      <c r="F3645" s="19">
        <v>58605</v>
      </c>
      <c r="G3645" s="20">
        <f t="shared" si="56"/>
        <v>0.47832226049199328</v>
      </c>
      <c r="H3645" s="24" t="s">
        <v>583</v>
      </c>
      <c r="I3645" s="24" t="s">
        <v>617</v>
      </c>
      <c r="J3645" s="24" t="s">
        <v>618</v>
      </c>
      <c r="K3645" s="24" t="s">
        <v>614</v>
      </c>
    </row>
    <row r="3646" spans="1:11">
      <c r="A3646" s="12">
        <v>2024</v>
      </c>
      <c r="B3646" s="15" t="s">
        <v>364</v>
      </c>
      <c r="C3646" s="15" t="s">
        <v>371</v>
      </c>
      <c r="D3646" s="15" t="s">
        <v>372</v>
      </c>
      <c r="E3646" s="19">
        <v>67715</v>
      </c>
      <c r="F3646" s="19">
        <v>43957</v>
      </c>
      <c r="G3646" s="20">
        <f t="shared" si="56"/>
        <v>0.3936259760727846</v>
      </c>
      <c r="H3646" s="24" t="s">
        <v>583</v>
      </c>
      <c r="I3646" s="24" t="s">
        <v>617</v>
      </c>
      <c r="J3646" s="24" t="s">
        <v>618</v>
      </c>
      <c r="K3646" s="24" t="s">
        <v>614</v>
      </c>
    </row>
    <row r="3647" spans="1:11">
      <c r="A3647" s="12">
        <v>2024</v>
      </c>
      <c r="B3647" s="15" t="s">
        <v>364</v>
      </c>
      <c r="C3647" s="15" t="s">
        <v>373</v>
      </c>
      <c r="D3647" s="15" t="s">
        <v>374</v>
      </c>
      <c r="E3647" s="19">
        <v>18654</v>
      </c>
      <c r="F3647" s="19">
        <v>19077</v>
      </c>
      <c r="G3647" s="20">
        <f t="shared" si="56"/>
        <v>0.5056054703029339</v>
      </c>
      <c r="H3647" s="24" t="s">
        <v>583</v>
      </c>
      <c r="I3647" s="24" t="s">
        <v>617</v>
      </c>
      <c r="J3647" s="24" t="s">
        <v>618</v>
      </c>
      <c r="K3647" s="24" t="s">
        <v>614</v>
      </c>
    </row>
    <row r="3648" spans="1:11">
      <c r="A3648" s="12">
        <v>2024</v>
      </c>
      <c r="B3648" s="15" t="s">
        <v>364</v>
      </c>
      <c r="C3648" s="15" t="s">
        <v>375</v>
      </c>
      <c r="D3648" s="15" t="s">
        <v>376</v>
      </c>
      <c r="E3648" s="19">
        <v>41009</v>
      </c>
      <c r="F3648" s="19">
        <v>33260</v>
      </c>
      <c r="G3648" s="20">
        <f t="shared" si="56"/>
        <v>0.44783153132531744</v>
      </c>
      <c r="H3648" s="24" t="s">
        <v>583</v>
      </c>
      <c r="I3648" s="24" t="s">
        <v>617</v>
      </c>
      <c r="J3648" s="24" t="s">
        <v>618</v>
      </c>
      <c r="K3648" s="24" t="s">
        <v>614</v>
      </c>
    </row>
    <row r="3649" spans="1:11">
      <c r="A3649" s="12">
        <v>2024</v>
      </c>
      <c r="B3649" s="15" t="s">
        <v>364</v>
      </c>
      <c r="C3649" s="15" t="s">
        <v>377</v>
      </c>
      <c r="D3649" s="15" t="s">
        <v>378</v>
      </c>
      <c r="E3649" s="19">
        <v>20202</v>
      </c>
      <c r="F3649" s="19">
        <v>21931</v>
      </c>
      <c r="G3649" s="20">
        <f t="shared" si="56"/>
        <v>0.52051835853131745</v>
      </c>
      <c r="H3649" s="24" t="s">
        <v>583</v>
      </c>
      <c r="I3649" s="24" t="s">
        <v>617</v>
      </c>
      <c r="J3649" s="24" t="s">
        <v>618</v>
      </c>
      <c r="K3649" s="24" t="s">
        <v>614</v>
      </c>
    </row>
    <row r="3650" spans="1:11">
      <c r="A3650" s="12">
        <v>2024</v>
      </c>
      <c r="B3650" s="15" t="s">
        <v>364</v>
      </c>
      <c r="C3650" s="15" t="s">
        <v>379</v>
      </c>
      <c r="D3650" s="15" t="s">
        <v>380</v>
      </c>
      <c r="E3650" s="19">
        <v>68565</v>
      </c>
      <c r="F3650" s="19">
        <v>87956</v>
      </c>
      <c r="G3650" s="20">
        <f t="shared" si="56"/>
        <v>0.56194376473444463</v>
      </c>
      <c r="H3650" s="24" t="s">
        <v>583</v>
      </c>
      <c r="I3650" s="24" t="s">
        <v>617</v>
      </c>
      <c r="J3650" s="24" t="s">
        <v>618</v>
      </c>
      <c r="K3650" s="24" t="s">
        <v>614</v>
      </c>
    </row>
    <row r="3651" spans="1:11">
      <c r="A3651" s="12">
        <v>2024</v>
      </c>
      <c r="B3651" s="15" t="s">
        <v>364</v>
      </c>
      <c r="C3651" s="15" t="s">
        <v>381</v>
      </c>
      <c r="D3651" s="15" t="s">
        <v>382</v>
      </c>
      <c r="E3651" s="19">
        <v>243559</v>
      </c>
      <c r="F3651" s="19">
        <v>104751</v>
      </c>
      <c r="G3651" s="20">
        <f t="shared" si="56"/>
        <v>0.30074071947403175</v>
      </c>
      <c r="H3651" s="24" t="s">
        <v>583</v>
      </c>
      <c r="I3651" s="24" t="s">
        <v>617</v>
      </c>
      <c r="J3651" s="24" t="s">
        <v>618</v>
      </c>
      <c r="K3651" s="24" t="s">
        <v>614</v>
      </c>
    </row>
    <row r="3652" spans="1:11">
      <c r="A3652" s="12">
        <v>2024</v>
      </c>
      <c r="B3652" s="15" t="s">
        <v>364</v>
      </c>
      <c r="C3652" s="15" t="s">
        <v>383</v>
      </c>
      <c r="D3652" s="15" t="s">
        <v>384</v>
      </c>
      <c r="E3652" s="19">
        <v>18460</v>
      </c>
      <c r="F3652" s="19">
        <v>22623</v>
      </c>
      <c r="G3652" s="20">
        <f t="shared" si="56"/>
        <v>0.55066572548255965</v>
      </c>
      <c r="H3652" s="24" t="s">
        <v>583</v>
      </c>
      <c r="I3652" s="24" t="s">
        <v>617</v>
      </c>
      <c r="J3652" s="24" t="s">
        <v>618</v>
      </c>
      <c r="K3652" s="24" t="s">
        <v>614</v>
      </c>
    </row>
    <row r="3653" spans="1:11">
      <c r="A3653" s="12">
        <v>2024</v>
      </c>
      <c r="B3653" s="15" t="s">
        <v>364</v>
      </c>
      <c r="C3653" s="15" t="s">
        <v>385</v>
      </c>
      <c r="D3653" s="15" t="s">
        <v>386</v>
      </c>
      <c r="E3653" s="19">
        <v>15481</v>
      </c>
      <c r="F3653" s="19">
        <v>17945</v>
      </c>
      <c r="G3653" s="20">
        <f t="shared" si="56"/>
        <v>0.53685753604978159</v>
      </c>
      <c r="H3653" s="24" t="s">
        <v>583</v>
      </c>
      <c r="I3653" s="24" t="s">
        <v>617</v>
      </c>
      <c r="J3653" s="24" t="s">
        <v>618</v>
      </c>
      <c r="K3653" s="24" t="s">
        <v>614</v>
      </c>
    </row>
    <row r="3654" spans="1:11">
      <c r="A3654" s="12">
        <v>2024</v>
      </c>
      <c r="B3654" s="15" t="s">
        <v>364</v>
      </c>
      <c r="C3654" s="15" t="s">
        <v>387</v>
      </c>
      <c r="D3654" s="15" t="s">
        <v>388</v>
      </c>
      <c r="E3654" s="19">
        <v>279904</v>
      </c>
      <c r="F3654" s="19">
        <v>204856</v>
      </c>
      <c r="G3654" s="20">
        <f t="shared" ref="G3654:G3717" si="57">IFERROR(F3654/(E3654+F3654),"")</f>
        <v>0.42259262315372553</v>
      </c>
      <c r="H3654" s="24" t="s">
        <v>583</v>
      </c>
      <c r="I3654" s="24" t="s">
        <v>617</v>
      </c>
      <c r="J3654" s="24" t="s">
        <v>618</v>
      </c>
      <c r="K3654" s="24" t="s">
        <v>614</v>
      </c>
    </row>
    <row r="3655" spans="1:11">
      <c r="A3655" s="12">
        <v>2024</v>
      </c>
      <c r="B3655" s="15" t="s">
        <v>364</v>
      </c>
      <c r="C3655" s="15" t="s">
        <v>389</v>
      </c>
      <c r="D3655" s="15" t="s">
        <v>390</v>
      </c>
      <c r="E3655" s="19">
        <v>290038</v>
      </c>
      <c r="F3655" s="19">
        <v>184512</v>
      </c>
      <c r="G3655" s="20">
        <f t="shared" si="57"/>
        <v>0.38881466652618268</v>
      </c>
      <c r="H3655" s="24" t="s">
        <v>583</v>
      </c>
      <c r="I3655" s="24" t="s">
        <v>617</v>
      </c>
      <c r="J3655" s="24" t="s">
        <v>618</v>
      </c>
      <c r="K3655" s="24" t="s">
        <v>614</v>
      </c>
    </row>
    <row r="3656" spans="1:11">
      <c r="A3656" s="12">
        <v>2024</v>
      </c>
      <c r="B3656" s="15" t="s">
        <v>364</v>
      </c>
      <c r="C3656" s="15" t="s">
        <v>391</v>
      </c>
      <c r="D3656" s="15" t="s">
        <v>392</v>
      </c>
      <c r="E3656" s="19">
        <v>91231</v>
      </c>
      <c r="F3656" s="19">
        <v>58725</v>
      </c>
      <c r="G3656" s="20">
        <f t="shared" si="57"/>
        <v>0.39161487369628423</v>
      </c>
      <c r="H3656" s="24" t="s">
        <v>583</v>
      </c>
      <c r="I3656" s="24" t="s">
        <v>617</v>
      </c>
      <c r="J3656" s="24" t="s">
        <v>618</v>
      </c>
      <c r="K3656" s="24" t="s">
        <v>614</v>
      </c>
    </row>
    <row r="3657" spans="1:11">
      <c r="A3657" s="12">
        <v>2024</v>
      </c>
      <c r="B3657" s="15" t="s">
        <v>364</v>
      </c>
      <c r="C3657" s="15" t="s">
        <v>393</v>
      </c>
      <c r="D3657" s="15" t="s">
        <v>394</v>
      </c>
      <c r="E3657" s="19">
        <v>17316</v>
      </c>
      <c r="F3657" s="19">
        <v>20534</v>
      </c>
      <c r="G3657" s="20">
        <f t="shared" si="57"/>
        <v>0.54250990752972261</v>
      </c>
      <c r="H3657" s="24" t="s">
        <v>583</v>
      </c>
      <c r="I3657" s="24" t="s">
        <v>617</v>
      </c>
      <c r="J3657" s="24" t="s">
        <v>618</v>
      </c>
      <c r="K3657" s="24" t="s">
        <v>614</v>
      </c>
    </row>
    <row r="3658" spans="1:11">
      <c r="A3658" s="12">
        <v>2024</v>
      </c>
      <c r="B3658" s="15" t="s">
        <v>395</v>
      </c>
      <c r="C3658" s="15" t="s">
        <v>22</v>
      </c>
      <c r="D3658" s="15" t="s">
        <v>395</v>
      </c>
      <c r="E3658" s="19">
        <v>1624985</v>
      </c>
      <c r="F3658" s="19">
        <v>743709</v>
      </c>
      <c r="G3658" s="20">
        <f t="shared" si="57"/>
        <v>0.31397428287486689</v>
      </c>
      <c r="H3658" s="24" t="s">
        <v>583</v>
      </c>
      <c r="I3658" s="24" t="s">
        <v>617</v>
      </c>
      <c r="J3658" s="24" t="s">
        <v>618</v>
      </c>
      <c r="K3658" s="24" t="s">
        <v>614</v>
      </c>
    </row>
    <row r="3659" spans="1:11">
      <c r="A3659" s="12">
        <v>2024</v>
      </c>
      <c r="B3659" s="15" t="s">
        <v>395</v>
      </c>
      <c r="C3659" s="15" t="s">
        <v>396</v>
      </c>
      <c r="D3659" s="15" t="s">
        <v>397</v>
      </c>
      <c r="E3659" s="19">
        <v>26819</v>
      </c>
      <c r="F3659" s="19">
        <v>24271</v>
      </c>
      <c r="G3659" s="20">
        <f t="shared" si="57"/>
        <v>0.47506361323155216</v>
      </c>
      <c r="H3659" s="24" t="s">
        <v>583</v>
      </c>
      <c r="I3659" s="24" t="s">
        <v>617</v>
      </c>
      <c r="J3659" s="24" t="s">
        <v>618</v>
      </c>
      <c r="K3659" s="24" t="s">
        <v>614</v>
      </c>
    </row>
    <row r="3660" spans="1:11">
      <c r="A3660" s="12">
        <v>2024</v>
      </c>
      <c r="B3660" s="15" t="s">
        <v>395</v>
      </c>
      <c r="C3660" s="15" t="s">
        <v>398</v>
      </c>
      <c r="D3660" s="15" t="s">
        <v>399</v>
      </c>
      <c r="E3660" s="19">
        <v>50889</v>
      </c>
      <c r="F3660" s="19">
        <v>43301</v>
      </c>
      <c r="G3660" s="20">
        <f t="shared" si="57"/>
        <v>0.45971971546873341</v>
      </c>
      <c r="H3660" s="24" t="s">
        <v>583</v>
      </c>
      <c r="I3660" s="24" t="s">
        <v>617</v>
      </c>
      <c r="J3660" s="24" t="s">
        <v>618</v>
      </c>
      <c r="K3660" s="24" t="s">
        <v>614</v>
      </c>
    </row>
    <row r="3661" spans="1:11">
      <c r="A3661" s="12">
        <v>2024</v>
      </c>
      <c r="B3661" s="15" t="s">
        <v>395</v>
      </c>
      <c r="C3661" s="15" t="s">
        <v>400</v>
      </c>
      <c r="D3661" s="15" t="s">
        <v>401</v>
      </c>
      <c r="E3661" s="19">
        <v>20155</v>
      </c>
      <c r="F3661" s="19">
        <v>22705</v>
      </c>
      <c r="G3661" s="20">
        <f t="shared" si="57"/>
        <v>0.52974801679888006</v>
      </c>
      <c r="H3661" s="24" t="s">
        <v>583</v>
      </c>
      <c r="I3661" s="24" t="s">
        <v>617</v>
      </c>
      <c r="J3661" s="24" t="s">
        <v>618</v>
      </c>
      <c r="K3661" s="24" t="s">
        <v>614</v>
      </c>
    </row>
    <row r="3662" spans="1:11">
      <c r="A3662" s="12">
        <v>2024</v>
      </c>
      <c r="B3662" s="15" t="s">
        <v>395</v>
      </c>
      <c r="C3662" s="15" t="s">
        <v>402</v>
      </c>
      <c r="D3662" s="15" t="s">
        <v>403</v>
      </c>
      <c r="E3662" s="19">
        <v>132022</v>
      </c>
      <c r="F3662" s="19">
        <v>102047</v>
      </c>
      <c r="G3662" s="20">
        <f t="shared" si="57"/>
        <v>0.43596973541989753</v>
      </c>
      <c r="H3662" s="24" t="s">
        <v>583</v>
      </c>
      <c r="I3662" s="24" t="s">
        <v>617</v>
      </c>
      <c r="J3662" s="24" t="s">
        <v>618</v>
      </c>
      <c r="K3662" s="24" t="s">
        <v>614</v>
      </c>
    </row>
    <row r="3663" spans="1:11">
      <c r="A3663" s="12">
        <v>2024</v>
      </c>
      <c r="B3663" s="15" t="s">
        <v>395</v>
      </c>
      <c r="C3663" s="15" t="s">
        <v>404</v>
      </c>
      <c r="D3663" s="15" t="s">
        <v>405</v>
      </c>
      <c r="E3663" s="19">
        <v>19260</v>
      </c>
      <c r="F3663" s="19">
        <v>19462</v>
      </c>
      <c r="G3663" s="20">
        <f t="shared" si="57"/>
        <v>0.50260833634626312</v>
      </c>
      <c r="H3663" s="24" t="s">
        <v>583</v>
      </c>
      <c r="I3663" s="24" t="s">
        <v>617</v>
      </c>
      <c r="J3663" s="24" t="s">
        <v>618</v>
      </c>
      <c r="K3663" s="24" t="s">
        <v>614</v>
      </c>
    </row>
    <row r="3664" spans="1:11">
      <c r="A3664" s="12">
        <v>2024</v>
      </c>
      <c r="B3664" s="15" t="s">
        <v>395</v>
      </c>
      <c r="C3664" s="15" t="s">
        <v>406</v>
      </c>
      <c r="D3664" s="15" t="s">
        <v>407</v>
      </c>
      <c r="E3664" s="19">
        <v>98641</v>
      </c>
      <c r="F3664" s="19">
        <v>80325</v>
      </c>
      <c r="G3664" s="20">
        <f t="shared" si="57"/>
        <v>0.44882826905669232</v>
      </c>
      <c r="H3664" s="24" t="s">
        <v>583</v>
      </c>
      <c r="I3664" s="24" t="s">
        <v>617</v>
      </c>
      <c r="J3664" s="24" t="s">
        <v>618</v>
      </c>
      <c r="K3664" s="24" t="s">
        <v>614</v>
      </c>
    </row>
    <row r="3665" spans="1:11">
      <c r="A3665" s="12">
        <v>2024</v>
      </c>
      <c r="B3665" s="15" t="s">
        <v>395</v>
      </c>
      <c r="C3665" s="15" t="s">
        <v>408</v>
      </c>
      <c r="D3665" s="15" t="s">
        <v>409</v>
      </c>
      <c r="E3665" s="19">
        <v>31985</v>
      </c>
      <c r="F3665" s="19">
        <v>37262</v>
      </c>
      <c r="G3665" s="20">
        <f t="shared" si="57"/>
        <v>0.53810273369243433</v>
      </c>
      <c r="H3665" s="24" t="s">
        <v>583</v>
      </c>
      <c r="I3665" s="24" t="s">
        <v>617</v>
      </c>
      <c r="J3665" s="24" t="s">
        <v>618</v>
      </c>
      <c r="K3665" s="24" t="s">
        <v>614</v>
      </c>
    </row>
    <row r="3666" spans="1:11">
      <c r="A3666" s="12">
        <v>2024</v>
      </c>
      <c r="B3666" s="15" t="s">
        <v>395</v>
      </c>
      <c r="C3666" s="15" t="s">
        <v>410</v>
      </c>
      <c r="D3666" s="15" t="s">
        <v>411</v>
      </c>
      <c r="E3666" s="19">
        <v>191182</v>
      </c>
      <c r="F3666" s="19">
        <v>96899</v>
      </c>
      <c r="G3666" s="20">
        <f t="shared" si="57"/>
        <v>0.33636025978804573</v>
      </c>
      <c r="H3666" s="24" t="s">
        <v>583</v>
      </c>
      <c r="I3666" s="24" t="s">
        <v>617</v>
      </c>
      <c r="J3666" s="24" t="s">
        <v>618</v>
      </c>
      <c r="K3666" s="24" t="s">
        <v>614</v>
      </c>
    </row>
    <row r="3667" spans="1:11">
      <c r="A3667" s="12">
        <v>2024</v>
      </c>
      <c r="B3667" s="15" t="s">
        <v>395</v>
      </c>
      <c r="C3667" s="15" t="s">
        <v>412</v>
      </c>
      <c r="D3667" s="15" t="s">
        <v>413</v>
      </c>
      <c r="E3667" s="19">
        <v>74508</v>
      </c>
      <c r="F3667" s="19">
        <v>76138</v>
      </c>
      <c r="G3667" s="20">
        <f t="shared" si="57"/>
        <v>0.50541003411972441</v>
      </c>
      <c r="H3667" s="24" t="s">
        <v>583</v>
      </c>
      <c r="I3667" s="24" t="s">
        <v>617</v>
      </c>
      <c r="J3667" s="24" t="s">
        <v>618</v>
      </c>
      <c r="K3667" s="24" t="s">
        <v>614</v>
      </c>
    </row>
    <row r="3668" spans="1:11">
      <c r="A3668" s="12">
        <v>2024</v>
      </c>
      <c r="B3668" s="15" t="s">
        <v>395</v>
      </c>
      <c r="C3668" s="15" t="s">
        <v>414</v>
      </c>
      <c r="D3668" s="15" t="s">
        <v>415</v>
      </c>
      <c r="E3668" s="19">
        <v>29045</v>
      </c>
      <c r="F3668" s="19">
        <v>29639</v>
      </c>
      <c r="G3668" s="20">
        <f t="shared" si="57"/>
        <v>0.50506100470315585</v>
      </c>
      <c r="H3668" s="24" t="s">
        <v>583</v>
      </c>
      <c r="I3668" s="24" t="s">
        <v>617</v>
      </c>
      <c r="J3668" s="24" t="s">
        <v>618</v>
      </c>
      <c r="K3668" s="24" t="s">
        <v>614</v>
      </c>
    </row>
    <row r="3669" spans="1:11">
      <c r="A3669" s="12">
        <v>2024</v>
      </c>
      <c r="B3669" s="15" t="s">
        <v>395</v>
      </c>
      <c r="C3669" s="15" t="s">
        <v>416</v>
      </c>
      <c r="D3669" s="15" t="s">
        <v>417</v>
      </c>
      <c r="E3669" s="19">
        <v>253576</v>
      </c>
      <c r="F3669" s="19">
        <v>107729</v>
      </c>
      <c r="G3669" s="20">
        <f t="shared" si="57"/>
        <v>0.29816636913411104</v>
      </c>
      <c r="H3669" s="24" t="s">
        <v>583</v>
      </c>
      <c r="I3669" s="24" t="s">
        <v>617</v>
      </c>
      <c r="J3669" s="24" t="s">
        <v>618</v>
      </c>
      <c r="K3669" s="24" t="s">
        <v>614</v>
      </c>
    </row>
    <row r="3670" spans="1:11">
      <c r="A3670" s="12">
        <v>2024</v>
      </c>
      <c r="B3670" s="15" t="s">
        <v>395</v>
      </c>
      <c r="C3670" s="15" t="s">
        <v>418</v>
      </c>
      <c r="D3670" s="15" t="s">
        <v>419</v>
      </c>
      <c r="E3670" s="19">
        <v>22989</v>
      </c>
      <c r="F3670" s="19">
        <v>35380</v>
      </c>
      <c r="G3670" s="20">
        <f t="shared" si="57"/>
        <v>0.60614367215473963</v>
      </c>
      <c r="H3670" s="24" t="s">
        <v>583</v>
      </c>
      <c r="I3670" s="24" t="s">
        <v>617</v>
      </c>
      <c r="J3670" s="24" t="s">
        <v>618</v>
      </c>
      <c r="K3670" s="24" t="s">
        <v>614</v>
      </c>
    </row>
    <row r="3671" spans="1:11">
      <c r="A3671" s="12">
        <v>2024</v>
      </c>
      <c r="B3671" s="15" t="s">
        <v>395</v>
      </c>
      <c r="C3671" s="15" t="s">
        <v>420</v>
      </c>
      <c r="D3671" s="15" t="s">
        <v>421</v>
      </c>
      <c r="E3671" s="19">
        <v>248026</v>
      </c>
      <c r="F3671" s="19">
        <v>109766</v>
      </c>
      <c r="G3671" s="20">
        <f t="shared" si="57"/>
        <v>0.30678718361506124</v>
      </c>
      <c r="H3671" s="24" t="s">
        <v>583</v>
      </c>
      <c r="I3671" s="24" t="s">
        <v>617</v>
      </c>
      <c r="J3671" s="24" t="s">
        <v>618</v>
      </c>
      <c r="K3671" s="24" t="s">
        <v>614</v>
      </c>
    </row>
    <row r="3672" spans="1:11">
      <c r="A3672" s="12">
        <v>2024</v>
      </c>
      <c r="B3672" s="15" t="s">
        <v>395</v>
      </c>
      <c r="C3672" s="15" t="s">
        <v>422</v>
      </c>
      <c r="D3672" s="15" t="s">
        <v>423</v>
      </c>
      <c r="E3672" s="19">
        <v>42667</v>
      </c>
      <c r="F3672" s="19">
        <v>34579</v>
      </c>
      <c r="G3672" s="20">
        <f t="shared" si="57"/>
        <v>0.44764777464205269</v>
      </c>
      <c r="H3672" s="24" t="s">
        <v>583</v>
      </c>
      <c r="I3672" s="24" t="s">
        <v>617</v>
      </c>
      <c r="J3672" s="24" t="s">
        <v>618</v>
      </c>
      <c r="K3672" s="24" t="s">
        <v>614</v>
      </c>
    </row>
    <row r="3673" spans="1:11">
      <c r="A3673" s="12">
        <v>2024</v>
      </c>
      <c r="B3673" s="15" t="s">
        <v>395</v>
      </c>
      <c r="C3673" s="15" t="s">
        <v>424</v>
      </c>
      <c r="D3673" s="15" t="s">
        <v>425</v>
      </c>
      <c r="E3673" s="19">
        <v>42744</v>
      </c>
      <c r="F3673" s="19">
        <v>48339</v>
      </c>
      <c r="G3673" s="20">
        <f t="shared" si="57"/>
        <v>0.53071374460656762</v>
      </c>
      <c r="H3673" s="24" t="s">
        <v>583</v>
      </c>
      <c r="I3673" s="24" t="s">
        <v>617</v>
      </c>
      <c r="J3673" s="24" t="s">
        <v>618</v>
      </c>
      <c r="K3673" s="24" t="s">
        <v>614</v>
      </c>
    </row>
    <row r="3674" spans="1:11">
      <c r="A3674" s="12">
        <v>2024</v>
      </c>
      <c r="B3674" s="15" t="s">
        <v>395</v>
      </c>
      <c r="C3674" s="15" t="s">
        <v>426</v>
      </c>
      <c r="D3674" s="15" t="s">
        <v>427</v>
      </c>
      <c r="E3674" s="19">
        <v>38937</v>
      </c>
      <c r="F3674" s="19">
        <v>38221</v>
      </c>
      <c r="G3674" s="20">
        <f t="shared" si="57"/>
        <v>0.49536017004069571</v>
      </c>
      <c r="H3674" s="24" t="s">
        <v>583</v>
      </c>
      <c r="I3674" s="24" t="s">
        <v>617</v>
      </c>
      <c r="J3674" s="24" t="s">
        <v>618</v>
      </c>
      <c r="K3674" s="24" t="s">
        <v>614</v>
      </c>
    </row>
    <row r="3675" spans="1:11">
      <c r="A3675" s="12">
        <v>2024</v>
      </c>
      <c r="B3675" s="15" t="s">
        <v>395</v>
      </c>
      <c r="C3675" s="15" t="s">
        <v>428</v>
      </c>
      <c r="D3675" s="15" t="s">
        <v>429</v>
      </c>
      <c r="E3675" s="19">
        <v>28179</v>
      </c>
      <c r="F3675" s="19">
        <v>35470</v>
      </c>
      <c r="G3675" s="20">
        <f t="shared" si="57"/>
        <v>0.55727505538185984</v>
      </c>
      <c r="H3675" s="24" t="s">
        <v>583</v>
      </c>
      <c r="I3675" s="24" t="s">
        <v>617</v>
      </c>
      <c r="J3675" s="24" t="s">
        <v>618</v>
      </c>
      <c r="K3675" s="24" t="s">
        <v>614</v>
      </c>
    </row>
    <row r="3676" spans="1:11">
      <c r="A3676" s="12">
        <v>2024</v>
      </c>
      <c r="B3676" s="15" t="s">
        <v>395</v>
      </c>
      <c r="C3676" s="15" t="s">
        <v>430</v>
      </c>
      <c r="D3676" s="15" t="s">
        <v>431</v>
      </c>
      <c r="E3676" s="19">
        <v>29088</v>
      </c>
      <c r="F3676" s="19">
        <v>25507</v>
      </c>
      <c r="G3676" s="20">
        <f t="shared" si="57"/>
        <v>0.46720395640626433</v>
      </c>
      <c r="H3676" s="24" t="s">
        <v>583</v>
      </c>
      <c r="I3676" s="24" t="s">
        <v>617</v>
      </c>
      <c r="J3676" s="24" t="s">
        <v>618</v>
      </c>
      <c r="K3676" s="24" t="s">
        <v>614</v>
      </c>
    </row>
    <row r="3677" spans="1:11">
      <c r="A3677" s="12">
        <v>2024</v>
      </c>
      <c r="B3677" s="15" t="s">
        <v>395</v>
      </c>
      <c r="C3677" s="15" t="s">
        <v>432</v>
      </c>
      <c r="D3677" s="15" t="s">
        <v>433</v>
      </c>
      <c r="E3677" s="19">
        <v>23305</v>
      </c>
      <c r="F3677" s="19">
        <v>23930</v>
      </c>
      <c r="G3677" s="20">
        <f t="shared" si="57"/>
        <v>0.50661585688578381</v>
      </c>
      <c r="H3677" s="24" t="s">
        <v>583</v>
      </c>
      <c r="I3677" s="24" t="s">
        <v>617</v>
      </c>
      <c r="J3677" s="24" t="s">
        <v>618</v>
      </c>
      <c r="K3677" s="24" t="s">
        <v>614</v>
      </c>
    </row>
    <row r="3678" spans="1:11">
      <c r="A3678" s="12">
        <v>2024</v>
      </c>
      <c r="B3678" s="15" t="s">
        <v>395</v>
      </c>
      <c r="C3678" s="15" t="s">
        <v>434</v>
      </c>
      <c r="D3678" s="15" t="s">
        <v>435</v>
      </c>
      <c r="E3678" s="19">
        <v>21897</v>
      </c>
      <c r="F3678" s="19">
        <v>26660</v>
      </c>
      <c r="G3678" s="20">
        <f t="shared" si="57"/>
        <v>0.54904545173713371</v>
      </c>
      <c r="H3678" s="24" t="s">
        <v>583</v>
      </c>
      <c r="I3678" s="24" t="s">
        <v>617</v>
      </c>
      <c r="J3678" s="24" t="s">
        <v>618</v>
      </c>
      <c r="K3678" s="24" t="s">
        <v>614</v>
      </c>
    </row>
    <row r="3679" spans="1:11">
      <c r="A3679" s="12">
        <v>2024</v>
      </c>
      <c r="B3679" s="15" t="s">
        <v>395</v>
      </c>
      <c r="C3679" s="15" t="s">
        <v>436</v>
      </c>
      <c r="D3679" s="15" t="s">
        <v>437</v>
      </c>
      <c r="E3679" s="19">
        <v>54435</v>
      </c>
      <c r="F3679" s="19">
        <v>42131</v>
      </c>
      <c r="G3679" s="20">
        <f t="shared" si="57"/>
        <v>0.43629227678478966</v>
      </c>
      <c r="H3679" s="24" t="s">
        <v>583</v>
      </c>
      <c r="I3679" s="24" t="s">
        <v>617</v>
      </c>
      <c r="J3679" s="24" t="s">
        <v>618</v>
      </c>
      <c r="K3679" s="24" t="s">
        <v>614</v>
      </c>
    </row>
    <row r="3680" spans="1:11">
      <c r="A3680" s="12">
        <v>2024</v>
      </c>
      <c r="B3680" s="15" t="s">
        <v>395</v>
      </c>
      <c r="C3680" s="15" t="s">
        <v>438</v>
      </c>
      <c r="D3680" s="15" t="s">
        <v>439</v>
      </c>
      <c r="E3680" s="19">
        <v>49405</v>
      </c>
      <c r="F3680" s="19">
        <v>42876</v>
      </c>
      <c r="G3680" s="20">
        <f t="shared" si="57"/>
        <v>0.46462435387566237</v>
      </c>
      <c r="H3680" s="24" t="s">
        <v>583</v>
      </c>
      <c r="I3680" s="24" t="s">
        <v>617</v>
      </c>
      <c r="J3680" s="24" t="s">
        <v>618</v>
      </c>
      <c r="K3680" s="24" t="s">
        <v>614</v>
      </c>
    </row>
    <row r="3681" spans="1:11">
      <c r="A3681" s="12">
        <v>2024</v>
      </c>
      <c r="B3681" s="15" t="s">
        <v>440</v>
      </c>
      <c r="C3681" s="15" t="s">
        <v>22</v>
      </c>
      <c r="D3681" s="15" t="s">
        <v>440</v>
      </c>
      <c r="E3681" s="19">
        <v>2305145</v>
      </c>
      <c r="F3681" s="19">
        <v>1062576</v>
      </c>
      <c r="G3681" s="20">
        <f t="shared" si="57"/>
        <v>0.31551782347765744</v>
      </c>
      <c r="H3681" s="24" t="s">
        <v>603</v>
      </c>
      <c r="I3681" s="24" t="s">
        <v>615</v>
      </c>
      <c r="J3681" s="24" t="s">
        <v>616</v>
      </c>
      <c r="K3681" s="24" t="s">
        <v>614</v>
      </c>
    </row>
    <row r="3682" spans="1:11">
      <c r="A3682" s="12">
        <v>2024</v>
      </c>
      <c r="B3682" s="15" t="s">
        <v>440</v>
      </c>
      <c r="C3682" s="15" t="s">
        <v>441</v>
      </c>
      <c r="D3682" s="15" t="s">
        <v>442</v>
      </c>
      <c r="E3682" s="19">
        <v>234916</v>
      </c>
      <c r="F3682" s="19">
        <v>178853</v>
      </c>
      <c r="G3682" s="20">
        <f t="shared" si="57"/>
        <v>0.43225326208584985</v>
      </c>
      <c r="H3682" s="24" t="s">
        <v>603</v>
      </c>
      <c r="I3682" s="24" t="s">
        <v>623</v>
      </c>
      <c r="J3682" s="24" t="s">
        <v>624</v>
      </c>
      <c r="K3682" s="24" t="s">
        <v>614</v>
      </c>
    </row>
    <row r="3683" spans="1:11">
      <c r="A3683" s="12">
        <v>2024</v>
      </c>
      <c r="B3683" s="15" t="s">
        <v>440</v>
      </c>
      <c r="C3683" s="15" t="s">
        <v>443</v>
      </c>
      <c r="D3683" s="15" t="s">
        <v>444</v>
      </c>
      <c r="E3683" s="19">
        <v>218027</v>
      </c>
      <c r="F3683" s="19">
        <v>130243</v>
      </c>
      <c r="G3683" s="20">
        <f t="shared" si="57"/>
        <v>0.37397134407212795</v>
      </c>
      <c r="H3683" s="24" t="s">
        <v>603</v>
      </c>
      <c r="I3683" s="24" t="s">
        <v>615</v>
      </c>
      <c r="J3683" s="24" t="s">
        <v>616</v>
      </c>
      <c r="K3683" s="24" t="s">
        <v>614</v>
      </c>
    </row>
    <row r="3684" spans="1:11">
      <c r="A3684" s="12">
        <v>2024</v>
      </c>
      <c r="B3684" s="15" t="s">
        <v>440</v>
      </c>
      <c r="C3684" s="15" t="s">
        <v>445</v>
      </c>
      <c r="D3684" s="15" t="s">
        <v>446</v>
      </c>
      <c r="E3684" s="19">
        <v>21412</v>
      </c>
      <c r="F3684" s="19">
        <v>26496</v>
      </c>
      <c r="G3684" s="20">
        <f t="shared" si="57"/>
        <v>0.55306003172747764</v>
      </c>
      <c r="H3684" s="24" t="s">
        <v>603</v>
      </c>
      <c r="I3684" s="24" t="s">
        <v>623</v>
      </c>
      <c r="J3684" s="24" t="s">
        <v>624</v>
      </c>
      <c r="K3684" s="24" t="s">
        <v>614</v>
      </c>
    </row>
    <row r="3685" spans="1:11">
      <c r="A3685" s="12">
        <v>2024</v>
      </c>
      <c r="B3685" s="15" t="s">
        <v>440</v>
      </c>
      <c r="C3685" s="15" t="s">
        <v>447</v>
      </c>
      <c r="D3685" s="15" t="s">
        <v>448</v>
      </c>
      <c r="E3685" s="19">
        <v>368575</v>
      </c>
      <c r="F3685" s="19">
        <v>161430</v>
      </c>
      <c r="G3685" s="20">
        <f t="shared" si="57"/>
        <v>0.30458203224497882</v>
      </c>
      <c r="H3685" s="24" t="s">
        <v>603</v>
      </c>
      <c r="I3685" s="24" t="s">
        <v>623</v>
      </c>
      <c r="J3685" s="24" t="s">
        <v>624</v>
      </c>
      <c r="K3685" s="24" t="s">
        <v>614</v>
      </c>
    </row>
    <row r="3686" spans="1:11">
      <c r="A3686" s="12">
        <v>2024</v>
      </c>
      <c r="B3686" s="15" t="s">
        <v>440</v>
      </c>
      <c r="C3686" s="15" t="s">
        <v>450</v>
      </c>
      <c r="D3686" s="15" t="s">
        <v>451</v>
      </c>
      <c r="E3686" s="19">
        <v>117848</v>
      </c>
      <c r="F3686" s="19">
        <v>78112</v>
      </c>
      <c r="G3686" s="20">
        <f t="shared" si="57"/>
        <v>0.39861196162482138</v>
      </c>
      <c r="H3686" s="24" t="s">
        <v>603</v>
      </c>
      <c r="I3686" s="24" t="s">
        <v>615</v>
      </c>
      <c r="J3686" s="24" t="s">
        <v>616</v>
      </c>
      <c r="K3686" s="24" t="s">
        <v>614</v>
      </c>
    </row>
    <row r="3687" spans="1:11">
      <c r="A3687" s="12">
        <v>2024</v>
      </c>
      <c r="B3687" s="15" t="s">
        <v>440</v>
      </c>
      <c r="C3687" s="15" t="s">
        <v>452</v>
      </c>
      <c r="D3687" s="15" t="s">
        <v>453</v>
      </c>
      <c r="E3687" s="19">
        <v>58752</v>
      </c>
      <c r="F3687" s="19">
        <v>41113</v>
      </c>
      <c r="G3687" s="20">
        <f t="shared" si="57"/>
        <v>0.4116857757973264</v>
      </c>
      <c r="H3687" s="24" t="s">
        <v>603</v>
      </c>
      <c r="I3687" s="24" t="s">
        <v>623</v>
      </c>
      <c r="J3687" s="24" t="s">
        <v>624</v>
      </c>
      <c r="K3687" s="24" t="s">
        <v>614</v>
      </c>
    </row>
    <row r="3688" spans="1:11">
      <c r="A3688" s="12">
        <v>2024</v>
      </c>
      <c r="B3688" s="15" t="s">
        <v>440</v>
      </c>
      <c r="C3688" s="15" t="s">
        <v>454</v>
      </c>
      <c r="D3688" s="15" t="s">
        <v>455</v>
      </c>
      <c r="E3688" s="19">
        <v>20385</v>
      </c>
      <c r="F3688" s="19">
        <v>24733</v>
      </c>
      <c r="G3688" s="20">
        <f t="shared" si="57"/>
        <v>0.54818475996276428</v>
      </c>
      <c r="H3688" s="24" t="s">
        <v>603</v>
      </c>
      <c r="I3688" s="24" t="s">
        <v>623</v>
      </c>
      <c r="J3688" s="24" t="s">
        <v>624</v>
      </c>
      <c r="K3688" s="24" t="s">
        <v>614</v>
      </c>
    </row>
    <row r="3689" spans="1:11">
      <c r="A3689" s="12">
        <v>2024</v>
      </c>
      <c r="B3689" s="15" t="s">
        <v>440</v>
      </c>
      <c r="C3689" s="15" t="s">
        <v>456</v>
      </c>
      <c r="D3689" s="15" t="s">
        <v>457</v>
      </c>
      <c r="E3689" s="19">
        <v>78625</v>
      </c>
      <c r="F3689" s="19">
        <v>57611</v>
      </c>
      <c r="G3689" s="20">
        <f t="shared" si="57"/>
        <v>0.42287647905105846</v>
      </c>
      <c r="H3689" s="24" t="s">
        <v>603</v>
      </c>
      <c r="I3689" s="24" t="s">
        <v>623</v>
      </c>
      <c r="J3689" s="24" t="s">
        <v>624</v>
      </c>
      <c r="K3689" s="24" t="s">
        <v>614</v>
      </c>
    </row>
    <row r="3690" spans="1:11">
      <c r="A3690" s="12">
        <v>2024</v>
      </c>
      <c r="B3690" s="15" t="s">
        <v>440</v>
      </c>
      <c r="C3690" s="15" t="s">
        <v>458</v>
      </c>
      <c r="D3690" s="15" t="s">
        <v>459</v>
      </c>
      <c r="E3690" s="19">
        <v>29524</v>
      </c>
      <c r="F3690" s="19">
        <v>36799</v>
      </c>
      <c r="G3690" s="20">
        <f t="shared" si="57"/>
        <v>0.55484522714593731</v>
      </c>
      <c r="H3690" s="24" t="s">
        <v>603</v>
      </c>
      <c r="I3690" s="24" t="s">
        <v>623</v>
      </c>
      <c r="J3690" s="24" t="s">
        <v>624</v>
      </c>
      <c r="K3690" s="24" t="s">
        <v>614</v>
      </c>
    </row>
    <row r="3691" spans="1:11">
      <c r="A3691" s="12">
        <v>2024</v>
      </c>
      <c r="B3691" s="15" t="s">
        <v>440</v>
      </c>
      <c r="C3691" s="15" t="s">
        <v>460</v>
      </c>
      <c r="D3691" s="15" t="s">
        <v>461</v>
      </c>
      <c r="E3691" s="19">
        <v>138243</v>
      </c>
      <c r="F3691" s="19">
        <v>61875</v>
      </c>
      <c r="G3691" s="20">
        <f t="shared" si="57"/>
        <v>0.30919257637993586</v>
      </c>
      <c r="H3691" s="24" t="s">
        <v>603</v>
      </c>
      <c r="I3691" s="24" t="s">
        <v>615</v>
      </c>
      <c r="J3691" s="24" t="s">
        <v>616</v>
      </c>
      <c r="K3691" s="24" t="s">
        <v>614</v>
      </c>
    </row>
    <row r="3692" spans="1:11">
      <c r="A3692" s="12">
        <v>2024</v>
      </c>
      <c r="B3692" s="15" t="s">
        <v>440</v>
      </c>
      <c r="C3692" s="15" t="s">
        <v>462</v>
      </c>
      <c r="D3692" s="15" t="s">
        <v>463</v>
      </c>
      <c r="E3692" s="19">
        <v>28116</v>
      </c>
      <c r="F3692" s="19">
        <v>24591</v>
      </c>
      <c r="G3692" s="20">
        <f t="shared" si="57"/>
        <v>0.46656041891968808</v>
      </c>
      <c r="H3692" s="24" t="s">
        <v>603</v>
      </c>
      <c r="I3692" s="24" t="s">
        <v>623</v>
      </c>
      <c r="J3692" s="24" t="s">
        <v>624</v>
      </c>
      <c r="K3692" s="24" t="s">
        <v>614</v>
      </c>
    </row>
    <row r="3693" spans="1:11">
      <c r="A3693" s="12">
        <v>2024</v>
      </c>
      <c r="B3693" s="15" t="s">
        <v>440</v>
      </c>
      <c r="C3693" s="15" t="s">
        <v>464</v>
      </c>
      <c r="D3693" s="15" t="s">
        <v>465</v>
      </c>
      <c r="E3693" s="19">
        <v>11050</v>
      </c>
      <c r="F3693" s="19">
        <v>13196</v>
      </c>
      <c r="G3693" s="20">
        <f t="shared" si="57"/>
        <v>0.54425472242844175</v>
      </c>
      <c r="H3693" s="24" t="s">
        <v>603</v>
      </c>
      <c r="I3693" s="24" t="s">
        <v>623</v>
      </c>
      <c r="J3693" s="24" t="s">
        <v>624</v>
      </c>
      <c r="K3693" s="24" t="s">
        <v>614</v>
      </c>
    </row>
    <row r="3694" spans="1:11">
      <c r="A3694" s="12">
        <v>2024</v>
      </c>
      <c r="B3694" s="15" t="s">
        <v>440</v>
      </c>
      <c r="C3694" s="15" t="s">
        <v>466</v>
      </c>
      <c r="D3694" s="15" t="s">
        <v>467</v>
      </c>
      <c r="E3694" s="19">
        <v>89272</v>
      </c>
      <c r="F3694" s="19">
        <v>54802</v>
      </c>
      <c r="G3694" s="20">
        <f t="shared" si="57"/>
        <v>0.38037397448533394</v>
      </c>
      <c r="H3694" s="24" t="s">
        <v>603</v>
      </c>
      <c r="I3694" s="24" t="s">
        <v>623</v>
      </c>
      <c r="J3694" s="24" t="s">
        <v>624</v>
      </c>
      <c r="K3694" s="24" t="s">
        <v>614</v>
      </c>
    </row>
    <row r="3695" spans="1:11">
      <c r="A3695" s="12">
        <v>2024</v>
      </c>
      <c r="B3695" s="15" t="s">
        <v>440</v>
      </c>
      <c r="C3695" s="15" t="s">
        <v>468</v>
      </c>
      <c r="D3695" s="15" t="s">
        <v>469</v>
      </c>
      <c r="E3695" s="19">
        <v>81648</v>
      </c>
      <c r="F3695" s="19">
        <v>65971</v>
      </c>
      <c r="G3695" s="20">
        <f t="shared" si="57"/>
        <v>0.44690046674208606</v>
      </c>
      <c r="H3695" s="24" t="s">
        <v>603</v>
      </c>
      <c r="I3695" s="24" t="s">
        <v>623</v>
      </c>
      <c r="J3695" s="24" t="s">
        <v>624</v>
      </c>
      <c r="K3695" s="24" t="s">
        <v>614</v>
      </c>
    </row>
    <row r="3696" spans="1:11">
      <c r="A3696" s="12">
        <v>2024</v>
      </c>
      <c r="B3696" s="15" t="s">
        <v>440</v>
      </c>
      <c r="C3696" s="15" t="s">
        <v>470</v>
      </c>
      <c r="D3696" s="15" t="s">
        <v>471</v>
      </c>
      <c r="E3696" s="19">
        <v>43737</v>
      </c>
      <c r="F3696" s="19">
        <v>43381</v>
      </c>
      <c r="G3696" s="20">
        <f t="shared" si="57"/>
        <v>0.49795679423310912</v>
      </c>
      <c r="H3696" s="24" t="s">
        <v>603</v>
      </c>
      <c r="I3696" s="24" t="s">
        <v>623</v>
      </c>
      <c r="J3696" s="24" t="s">
        <v>624</v>
      </c>
      <c r="K3696" s="24" t="s">
        <v>614</v>
      </c>
    </row>
    <row r="3697" spans="1:11">
      <c r="A3697" s="12">
        <v>2024</v>
      </c>
      <c r="B3697" s="15" t="s">
        <v>440</v>
      </c>
      <c r="C3697" s="15" t="s">
        <v>472</v>
      </c>
      <c r="D3697" s="15" t="s">
        <v>473</v>
      </c>
      <c r="E3697" s="19">
        <v>6098</v>
      </c>
      <c r="F3697" s="19">
        <v>7793</v>
      </c>
      <c r="G3697" s="20">
        <f t="shared" si="57"/>
        <v>0.56101072636959182</v>
      </c>
      <c r="H3697" s="24" t="s">
        <v>603</v>
      </c>
      <c r="I3697" s="24" t="s">
        <v>623</v>
      </c>
      <c r="J3697" s="24" t="s">
        <v>624</v>
      </c>
      <c r="K3697" s="24" t="s">
        <v>614</v>
      </c>
    </row>
    <row r="3698" spans="1:11">
      <c r="A3698" s="12">
        <v>2024</v>
      </c>
      <c r="B3698" s="15" t="s">
        <v>440</v>
      </c>
      <c r="C3698" s="15" t="s">
        <v>474</v>
      </c>
      <c r="D3698" s="15" t="s">
        <v>475</v>
      </c>
      <c r="E3698" s="19">
        <v>39297</v>
      </c>
      <c r="F3698" s="19">
        <v>32398</v>
      </c>
      <c r="G3698" s="20">
        <f t="shared" si="57"/>
        <v>0.45188646349117789</v>
      </c>
      <c r="H3698" s="24" t="s">
        <v>603</v>
      </c>
      <c r="I3698" s="24" t="s">
        <v>623</v>
      </c>
      <c r="J3698" s="24" t="s">
        <v>624</v>
      </c>
      <c r="K3698" s="24" t="s">
        <v>614</v>
      </c>
    </row>
    <row r="3699" spans="1:11">
      <c r="A3699" s="12">
        <v>2024</v>
      </c>
      <c r="B3699" s="15" t="s">
        <v>440</v>
      </c>
      <c r="C3699" s="15" t="s">
        <v>476</v>
      </c>
      <c r="D3699" s="15" t="s">
        <v>477</v>
      </c>
      <c r="E3699" s="19">
        <v>38025</v>
      </c>
      <c r="F3699" s="19">
        <v>40018</v>
      </c>
      <c r="G3699" s="20">
        <f t="shared" si="57"/>
        <v>0.51276860192458007</v>
      </c>
      <c r="H3699" s="24" t="s">
        <v>603</v>
      </c>
      <c r="I3699" s="24" t="s">
        <v>623</v>
      </c>
      <c r="J3699" s="24" t="s">
        <v>624</v>
      </c>
      <c r="K3699" s="24" t="s">
        <v>614</v>
      </c>
    </row>
    <row r="3700" spans="1:11">
      <c r="A3700" s="12">
        <v>2024</v>
      </c>
      <c r="B3700" s="15" t="s">
        <v>440</v>
      </c>
      <c r="C3700" s="15" t="s">
        <v>478</v>
      </c>
      <c r="D3700" s="15" t="s">
        <v>479</v>
      </c>
      <c r="E3700" s="19">
        <v>30566</v>
      </c>
      <c r="F3700" s="19">
        <v>33122</v>
      </c>
      <c r="G3700" s="20">
        <f t="shared" si="57"/>
        <v>0.52006657455093586</v>
      </c>
      <c r="H3700" s="24" t="s">
        <v>603</v>
      </c>
      <c r="I3700" s="24" t="s">
        <v>623</v>
      </c>
      <c r="J3700" s="24" t="s">
        <v>624</v>
      </c>
      <c r="K3700" s="24" t="s">
        <v>614</v>
      </c>
    </row>
    <row r="3701" spans="1:11">
      <c r="A3701" s="12">
        <v>2024</v>
      </c>
      <c r="B3701" s="15" t="s">
        <v>440</v>
      </c>
      <c r="C3701" s="15" t="s">
        <v>480</v>
      </c>
      <c r="D3701" s="15" t="s">
        <v>481</v>
      </c>
      <c r="E3701" s="19">
        <v>18456</v>
      </c>
      <c r="F3701" s="19">
        <v>20190</v>
      </c>
      <c r="G3701" s="20">
        <f t="shared" si="57"/>
        <v>0.52243440459555968</v>
      </c>
      <c r="H3701" s="24" t="s">
        <v>603</v>
      </c>
      <c r="I3701" s="24" t="s">
        <v>623</v>
      </c>
      <c r="J3701" s="24" t="s">
        <v>624</v>
      </c>
      <c r="K3701" s="24" t="s">
        <v>614</v>
      </c>
    </row>
    <row r="3702" spans="1:11">
      <c r="A3702" s="12">
        <v>2024</v>
      </c>
      <c r="B3702" s="15" t="s">
        <v>440</v>
      </c>
      <c r="C3702" s="15" t="s">
        <v>482</v>
      </c>
      <c r="D3702" s="15" t="s">
        <v>483</v>
      </c>
      <c r="E3702" s="19">
        <v>85579</v>
      </c>
      <c r="F3702" s="19">
        <v>83591</v>
      </c>
      <c r="G3702" s="20">
        <f t="shared" si="57"/>
        <v>0.49412425370928653</v>
      </c>
      <c r="H3702" s="24" t="s">
        <v>603</v>
      </c>
      <c r="I3702" s="24" t="s">
        <v>623</v>
      </c>
      <c r="J3702" s="24" t="s">
        <v>624</v>
      </c>
      <c r="K3702" s="24" t="s">
        <v>614</v>
      </c>
    </row>
    <row r="3703" spans="1:11">
      <c r="A3703" s="12">
        <v>2024</v>
      </c>
      <c r="B3703" s="15" t="s">
        <v>440</v>
      </c>
      <c r="C3703" s="15" t="s">
        <v>484</v>
      </c>
      <c r="D3703" s="15" t="s">
        <v>485</v>
      </c>
      <c r="E3703" s="19">
        <v>194071</v>
      </c>
      <c r="F3703" s="19">
        <v>146214</v>
      </c>
      <c r="G3703" s="20">
        <f t="shared" si="57"/>
        <v>0.42968100268892251</v>
      </c>
      <c r="H3703" s="24" t="s">
        <v>603</v>
      </c>
      <c r="I3703" s="24" t="s">
        <v>615</v>
      </c>
      <c r="J3703" s="24" t="s">
        <v>616</v>
      </c>
      <c r="K3703" s="24" t="s">
        <v>614</v>
      </c>
    </row>
    <row r="3704" spans="1:11">
      <c r="A3704" s="12">
        <v>2024</v>
      </c>
      <c r="B3704" s="15" t="s">
        <v>440</v>
      </c>
      <c r="C3704" s="15" t="s">
        <v>486</v>
      </c>
      <c r="D3704" s="15" t="s">
        <v>487</v>
      </c>
      <c r="E3704" s="19">
        <v>239975</v>
      </c>
      <c r="F3704" s="19">
        <v>180242</v>
      </c>
      <c r="G3704" s="20">
        <f t="shared" si="57"/>
        <v>0.42892600727719249</v>
      </c>
      <c r="H3704" s="24" t="s">
        <v>603</v>
      </c>
      <c r="I3704" s="24" t="s">
        <v>615</v>
      </c>
      <c r="J3704" s="24" t="s">
        <v>616</v>
      </c>
      <c r="K3704" s="24" t="s">
        <v>614</v>
      </c>
    </row>
    <row r="3705" spans="1:11">
      <c r="A3705" s="12">
        <v>2024</v>
      </c>
      <c r="B3705" s="15" t="s">
        <v>488</v>
      </c>
      <c r="C3705" s="15" t="s">
        <v>22</v>
      </c>
      <c r="D3705" s="15" t="s">
        <v>488</v>
      </c>
      <c r="E3705" s="19">
        <v>3026531</v>
      </c>
      <c r="F3705" s="19">
        <v>969320</v>
      </c>
      <c r="G3705" s="20">
        <f t="shared" si="57"/>
        <v>0.24258161778304546</v>
      </c>
      <c r="H3705" s="24" t="s">
        <v>603</v>
      </c>
      <c r="I3705" s="24" t="s">
        <v>623</v>
      </c>
      <c r="J3705" s="24" t="s">
        <v>624</v>
      </c>
      <c r="K3705" s="24" t="s">
        <v>614</v>
      </c>
    </row>
    <row r="3706" spans="1:11">
      <c r="A3706" s="12">
        <v>2024</v>
      </c>
      <c r="B3706" s="15" t="s">
        <v>488</v>
      </c>
      <c r="C3706" s="15" t="s">
        <v>489</v>
      </c>
      <c r="D3706" s="15" t="s">
        <v>490</v>
      </c>
      <c r="E3706" s="19">
        <v>214767</v>
      </c>
      <c r="F3706" s="19">
        <v>108455</v>
      </c>
      <c r="G3706" s="20">
        <f t="shared" si="57"/>
        <v>0.33554337266646456</v>
      </c>
      <c r="H3706" s="24" t="s">
        <v>603</v>
      </c>
      <c r="I3706" s="24" t="s">
        <v>623</v>
      </c>
      <c r="J3706" s="24" t="s">
        <v>624</v>
      </c>
      <c r="K3706" s="24" t="s">
        <v>614</v>
      </c>
    </row>
    <row r="3707" spans="1:11">
      <c r="A3707" s="12">
        <v>2024</v>
      </c>
      <c r="B3707" s="15" t="s">
        <v>488</v>
      </c>
      <c r="C3707" s="15" t="s">
        <v>491</v>
      </c>
      <c r="D3707" s="15" t="s">
        <v>492</v>
      </c>
      <c r="E3707" s="19">
        <v>52814</v>
      </c>
      <c r="F3707" s="19">
        <v>37599</v>
      </c>
      <c r="G3707" s="20">
        <f t="shared" si="57"/>
        <v>0.41585833895568114</v>
      </c>
      <c r="H3707" s="24" t="s">
        <v>603</v>
      </c>
      <c r="I3707" s="24" t="s">
        <v>623</v>
      </c>
      <c r="J3707" s="24" t="s">
        <v>624</v>
      </c>
      <c r="K3707" s="24" t="s">
        <v>614</v>
      </c>
    </row>
    <row r="3708" spans="1:11">
      <c r="A3708" s="12">
        <v>2024</v>
      </c>
      <c r="B3708" s="15" t="s">
        <v>488</v>
      </c>
      <c r="C3708" s="15" t="s">
        <v>260</v>
      </c>
      <c r="D3708" s="15" t="s">
        <v>493</v>
      </c>
      <c r="E3708" s="19">
        <v>37388</v>
      </c>
      <c r="F3708" s="19">
        <v>37126</v>
      </c>
      <c r="G3708" s="20">
        <f t="shared" si="57"/>
        <v>0.49824194111173742</v>
      </c>
      <c r="H3708" s="24" t="s">
        <v>603</v>
      </c>
      <c r="I3708" s="24" t="s">
        <v>623</v>
      </c>
      <c r="J3708" s="24" t="s">
        <v>624</v>
      </c>
      <c r="K3708" s="24" t="s">
        <v>614</v>
      </c>
    </row>
    <row r="3709" spans="1:11">
      <c r="A3709" s="12">
        <v>2024</v>
      </c>
      <c r="B3709" s="15" t="s">
        <v>488</v>
      </c>
      <c r="C3709" s="15" t="s">
        <v>494</v>
      </c>
      <c r="D3709" s="15" t="s">
        <v>495</v>
      </c>
      <c r="E3709" s="19">
        <v>491328</v>
      </c>
      <c r="F3709" s="19">
        <v>264845</v>
      </c>
      <c r="G3709" s="20">
        <f t="shared" si="57"/>
        <v>0.35024392566251372</v>
      </c>
      <c r="H3709" s="24" t="s">
        <v>603</v>
      </c>
      <c r="I3709" s="24" t="s">
        <v>623</v>
      </c>
      <c r="J3709" s="24" t="s">
        <v>624</v>
      </c>
      <c r="K3709" s="24" t="s">
        <v>614</v>
      </c>
    </row>
    <row r="3710" spans="1:11">
      <c r="A3710" s="12">
        <v>2024</v>
      </c>
      <c r="B3710" s="15" t="s">
        <v>488</v>
      </c>
      <c r="C3710" s="15" t="s">
        <v>496</v>
      </c>
      <c r="D3710" s="15" t="s">
        <v>497</v>
      </c>
      <c r="E3710" s="19">
        <v>32157</v>
      </c>
      <c r="F3710" s="19">
        <v>32258</v>
      </c>
      <c r="G3710" s="20">
        <f t="shared" si="57"/>
        <v>0.50078397888690518</v>
      </c>
      <c r="H3710" s="24" t="s">
        <v>603</v>
      </c>
      <c r="I3710" s="24" t="s">
        <v>623</v>
      </c>
      <c r="J3710" s="24" t="s">
        <v>624</v>
      </c>
      <c r="K3710" s="24" t="s">
        <v>614</v>
      </c>
    </row>
    <row r="3711" spans="1:11">
      <c r="A3711" s="12">
        <v>2024</v>
      </c>
      <c r="B3711" s="15" t="s">
        <v>488</v>
      </c>
      <c r="C3711" s="15" t="s">
        <v>498</v>
      </c>
      <c r="D3711" s="15" t="s">
        <v>499</v>
      </c>
      <c r="E3711" s="19">
        <v>87107</v>
      </c>
      <c r="F3711" s="19">
        <v>61817</v>
      </c>
      <c r="G3711" s="20">
        <f t="shared" si="57"/>
        <v>0.41509091885794097</v>
      </c>
      <c r="H3711" s="24" t="s">
        <v>603</v>
      </c>
      <c r="I3711" s="24" t="s">
        <v>623</v>
      </c>
      <c r="J3711" s="24" t="s">
        <v>624</v>
      </c>
      <c r="K3711" s="24" t="s">
        <v>614</v>
      </c>
    </row>
    <row r="3712" spans="1:11">
      <c r="A3712" s="12">
        <v>2024</v>
      </c>
      <c r="B3712" s="15" t="s">
        <v>488</v>
      </c>
      <c r="C3712" s="15" t="s">
        <v>500</v>
      </c>
      <c r="D3712" s="15" t="s">
        <v>501</v>
      </c>
      <c r="E3712" s="19">
        <v>95019</v>
      </c>
      <c r="F3712" s="19">
        <v>69510</v>
      </c>
      <c r="G3712" s="20">
        <f t="shared" si="57"/>
        <v>0.42247871195959374</v>
      </c>
      <c r="H3712" s="24" t="s">
        <v>603</v>
      </c>
      <c r="I3712" s="24" t="s">
        <v>623</v>
      </c>
      <c r="J3712" s="24" t="s">
        <v>624</v>
      </c>
      <c r="K3712" s="24" t="s">
        <v>614</v>
      </c>
    </row>
    <row r="3713" spans="1:11">
      <c r="A3713" s="12">
        <v>2024</v>
      </c>
      <c r="B3713" s="15" t="s">
        <v>488</v>
      </c>
      <c r="C3713" s="15" t="s">
        <v>502</v>
      </c>
      <c r="D3713" s="15" t="s">
        <v>503</v>
      </c>
      <c r="E3713" s="19">
        <v>24892</v>
      </c>
      <c r="F3713" s="19">
        <v>29413</v>
      </c>
      <c r="G3713" s="20">
        <f t="shared" si="57"/>
        <v>0.54162600128901572</v>
      </c>
      <c r="H3713" s="24" t="s">
        <v>603</v>
      </c>
      <c r="I3713" s="24" t="s">
        <v>623</v>
      </c>
      <c r="J3713" s="24" t="s">
        <v>624</v>
      </c>
      <c r="K3713" s="24" t="s">
        <v>614</v>
      </c>
    </row>
    <row r="3714" spans="1:11">
      <c r="A3714" s="12">
        <v>2024</v>
      </c>
      <c r="B3714" s="15" t="s">
        <v>488</v>
      </c>
      <c r="C3714" s="15" t="s">
        <v>504</v>
      </c>
      <c r="D3714" s="15" t="s">
        <v>505</v>
      </c>
      <c r="E3714" s="19">
        <v>323425</v>
      </c>
      <c r="F3714" s="19">
        <v>183169</v>
      </c>
      <c r="G3714" s="20">
        <f t="shared" si="57"/>
        <v>0.36156961985337371</v>
      </c>
      <c r="H3714" s="24" t="s">
        <v>603</v>
      </c>
      <c r="I3714" s="24" t="s">
        <v>623</v>
      </c>
      <c r="J3714" s="24" t="s">
        <v>624</v>
      </c>
      <c r="K3714" s="24" t="s">
        <v>614</v>
      </c>
    </row>
    <row r="3715" spans="1:11">
      <c r="A3715" s="12">
        <v>2024</v>
      </c>
      <c r="B3715" s="15" t="s">
        <v>488</v>
      </c>
      <c r="C3715" s="15" t="s">
        <v>506</v>
      </c>
      <c r="D3715" s="15" t="s">
        <v>507</v>
      </c>
      <c r="E3715" s="19">
        <v>18649</v>
      </c>
      <c r="F3715" s="19">
        <v>21440</v>
      </c>
      <c r="G3715" s="20">
        <f t="shared" si="57"/>
        <v>0.53481004764399209</v>
      </c>
      <c r="H3715" s="24" t="s">
        <v>603</v>
      </c>
      <c r="I3715" s="24" t="s">
        <v>623</v>
      </c>
      <c r="J3715" s="24" t="s">
        <v>624</v>
      </c>
      <c r="K3715" s="24" t="s">
        <v>614</v>
      </c>
    </row>
    <row r="3716" spans="1:11">
      <c r="A3716" s="12">
        <v>2024</v>
      </c>
      <c r="B3716" s="15" t="s">
        <v>488</v>
      </c>
      <c r="C3716" s="15" t="s">
        <v>508</v>
      </c>
      <c r="D3716" s="15" t="s">
        <v>509</v>
      </c>
      <c r="E3716" s="19">
        <v>313203</v>
      </c>
      <c r="F3716" s="19">
        <v>102279</v>
      </c>
      <c r="G3716" s="20">
        <f t="shared" si="57"/>
        <v>0.24616950914841076</v>
      </c>
      <c r="H3716" s="24" t="s">
        <v>603</v>
      </c>
      <c r="I3716" s="24" t="s">
        <v>623</v>
      </c>
      <c r="J3716" s="24" t="s">
        <v>624</v>
      </c>
      <c r="K3716" s="24" t="s">
        <v>614</v>
      </c>
    </row>
    <row r="3717" spans="1:11">
      <c r="A3717" s="12">
        <v>2024</v>
      </c>
      <c r="B3717" s="15" t="s">
        <v>488</v>
      </c>
      <c r="C3717" s="15" t="s">
        <v>510</v>
      </c>
      <c r="D3717" s="15" t="s">
        <v>511</v>
      </c>
      <c r="E3717" s="19">
        <v>45854</v>
      </c>
      <c r="F3717" s="19">
        <v>44913</v>
      </c>
      <c r="G3717" s="20">
        <f t="shared" si="57"/>
        <v>0.49481639803012106</v>
      </c>
      <c r="H3717" s="24" t="s">
        <v>603</v>
      </c>
      <c r="I3717" s="24" t="s">
        <v>623</v>
      </c>
      <c r="J3717" s="24" t="s">
        <v>624</v>
      </c>
      <c r="K3717" s="24" t="s">
        <v>614</v>
      </c>
    </row>
    <row r="3718" spans="1:11">
      <c r="A3718" s="12">
        <v>2024</v>
      </c>
      <c r="B3718" s="15" t="s">
        <v>488</v>
      </c>
      <c r="C3718" s="15" t="s">
        <v>512</v>
      </c>
      <c r="D3718" s="15" t="s">
        <v>513</v>
      </c>
      <c r="E3718" s="19">
        <v>149684</v>
      </c>
      <c r="F3718" s="19">
        <v>127670</v>
      </c>
      <c r="G3718" s="20">
        <f t="shared" ref="G3718:G3730" si="58">IFERROR(F3718/(E3718+F3718),"")</f>
        <v>0.46031425542808108</v>
      </c>
      <c r="H3718" s="24" t="s">
        <v>603</v>
      </c>
      <c r="I3718" s="24" t="s">
        <v>623</v>
      </c>
      <c r="J3718" s="24" t="s">
        <v>624</v>
      </c>
      <c r="K3718" s="24" t="s">
        <v>614</v>
      </c>
    </row>
    <row r="3719" spans="1:11">
      <c r="A3719" s="12">
        <v>2024</v>
      </c>
      <c r="B3719" s="15" t="s">
        <v>488</v>
      </c>
      <c r="C3719" s="15" t="s">
        <v>514</v>
      </c>
      <c r="D3719" s="15" t="s">
        <v>515</v>
      </c>
      <c r="E3719" s="19">
        <v>154166</v>
      </c>
      <c r="F3719" s="19">
        <v>121074</v>
      </c>
      <c r="G3719" s="20">
        <f t="shared" si="58"/>
        <v>0.43988519110594393</v>
      </c>
      <c r="H3719" s="24" t="s">
        <v>603</v>
      </c>
      <c r="I3719" s="24" t="s">
        <v>623</v>
      </c>
      <c r="J3719" s="24" t="s">
        <v>624</v>
      </c>
      <c r="K3719" s="24" t="s">
        <v>614</v>
      </c>
    </row>
    <row r="3720" spans="1:11">
      <c r="A3720" s="12">
        <v>2024</v>
      </c>
      <c r="B3720" s="15" t="s">
        <v>488</v>
      </c>
      <c r="C3720" s="15" t="s">
        <v>516</v>
      </c>
      <c r="D3720" s="15" t="s">
        <v>517</v>
      </c>
      <c r="E3720" s="19">
        <v>213324</v>
      </c>
      <c r="F3720" s="19">
        <v>169723</v>
      </c>
      <c r="G3720" s="20">
        <f t="shared" si="58"/>
        <v>0.44308661861338167</v>
      </c>
      <c r="H3720" s="24" t="s">
        <v>603</v>
      </c>
      <c r="I3720" s="24" t="s">
        <v>623</v>
      </c>
      <c r="J3720" s="24" t="s">
        <v>624</v>
      </c>
      <c r="K3720" s="24" t="s">
        <v>614</v>
      </c>
    </row>
    <row r="3721" spans="1:11">
      <c r="A3721" s="12">
        <v>2024</v>
      </c>
      <c r="B3721" s="15" t="s">
        <v>488</v>
      </c>
      <c r="C3721" s="15" t="s">
        <v>518</v>
      </c>
      <c r="D3721" s="15" t="s">
        <v>519</v>
      </c>
      <c r="E3721" s="19">
        <v>181193</v>
      </c>
      <c r="F3721" s="19">
        <v>150695</v>
      </c>
      <c r="G3721" s="20">
        <f t="shared" si="58"/>
        <v>0.45405377717784312</v>
      </c>
      <c r="H3721" s="24" t="s">
        <v>603</v>
      </c>
      <c r="I3721" s="24" t="s">
        <v>623</v>
      </c>
      <c r="J3721" s="24" t="s">
        <v>624</v>
      </c>
      <c r="K3721" s="24" t="s">
        <v>614</v>
      </c>
    </row>
    <row r="3722" spans="1:11">
      <c r="A3722" s="12">
        <v>2024</v>
      </c>
      <c r="B3722" s="15" t="s">
        <v>488</v>
      </c>
      <c r="C3722" s="15" t="s">
        <v>520</v>
      </c>
      <c r="D3722" s="15" t="s">
        <v>521</v>
      </c>
      <c r="E3722" s="19">
        <v>166968</v>
      </c>
      <c r="F3722" s="19">
        <v>121292</v>
      </c>
      <c r="G3722" s="20">
        <f t="shared" si="58"/>
        <v>0.42077291334212169</v>
      </c>
      <c r="H3722" s="24" t="s">
        <v>603</v>
      </c>
      <c r="I3722" s="24" t="s">
        <v>623</v>
      </c>
      <c r="J3722" s="24" t="s">
        <v>624</v>
      </c>
      <c r="K3722" s="24" t="s">
        <v>614</v>
      </c>
    </row>
    <row r="3723" spans="1:11">
      <c r="A3723" s="12">
        <v>2024</v>
      </c>
      <c r="B3723" s="15" t="s">
        <v>488</v>
      </c>
      <c r="C3723" s="15" t="s">
        <v>522</v>
      </c>
      <c r="D3723" s="15" t="s">
        <v>523</v>
      </c>
      <c r="E3723" s="19">
        <v>107513</v>
      </c>
      <c r="F3723" s="19">
        <v>57101</v>
      </c>
      <c r="G3723" s="20">
        <f t="shared" si="58"/>
        <v>0.34687815131155308</v>
      </c>
      <c r="H3723" s="24" t="s">
        <v>603</v>
      </c>
      <c r="I3723" s="24" t="s">
        <v>623</v>
      </c>
      <c r="J3723" s="24" t="s">
        <v>624</v>
      </c>
      <c r="K3723" s="24" t="s">
        <v>614</v>
      </c>
    </row>
    <row r="3724" spans="1:11">
      <c r="A3724" s="12">
        <v>2024</v>
      </c>
      <c r="B3724" s="15" t="s">
        <v>488</v>
      </c>
      <c r="C3724" s="15" t="s">
        <v>524</v>
      </c>
      <c r="D3724" s="15" t="s">
        <v>525</v>
      </c>
      <c r="E3724" s="19">
        <v>31195</v>
      </c>
      <c r="F3724" s="19">
        <v>33726</v>
      </c>
      <c r="G3724" s="20">
        <f t="shared" si="58"/>
        <v>0.51949292216694132</v>
      </c>
      <c r="H3724" s="24" t="s">
        <v>603</v>
      </c>
      <c r="I3724" s="24" t="s">
        <v>623</v>
      </c>
      <c r="J3724" s="24" t="s">
        <v>624</v>
      </c>
      <c r="K3724" s="24" t="s">
        <v>614</v>
      </c>
    </row>
    <row r="3725" spans="1:11">
      <c r="A3725" s="12">
        <v>2024</v>
      </c>
      <c r="B3725" s="15" t="s">
        <v>488</v>
      </c>
      <c r="C3725" s="15" t="s">
        <v>526</v>
      </c>
      <c r="D3725" s="15" t="s">
        <v>527</v>
      </c>
      <c r="E3725" s="19">
        <v>43928</v>
      </c>
      <c r="F3725" s="19">
        <v>51287</v>
      </c>
      <c r="G3725" s="20">
        <f t="shared" si="58"/>
        <v>0.53864412119939087</v>
      </c>
      <c r="H3725" s="24" t="s">
        <v>603</v>
      </c>
      <c r="I3725" s="24" t="s">
        <v>623</v>
      </c>
      <c r="J3725" s="24" t="s">
        <v>624</v>
      </c>
      <c r="K3725" s="24" t="s">
        <v>614</v>
      </c>
    </row>
    <row r="3726" spans="1:11">
      <c r="A3726" s="12">
        <v>2024</v>
      </c>
      <c r="B3726" s="15" t="s">
        <v>488</v>
      </c>
      <c r="C3726" s="15" t="s">
        <v>528</v>
      </c>
      <c r="D3726" s="15" t="s">
        <v>529</v>
      </c>
      <c r="E3726" s="19">
        <v>30428</v>
      </c>
      <c r="F3726" s="19">
        <v>27360</v>
      </c>
      <c r="G3726" s="20">
        <f t="shared" si="58"/>
        <v>0.47345469647677718</v>
      </c>
      <c r="H3726" s="24" t="s">
        <v>603</v>
      </c>
      <c r="I3726" s="24" t="s">
        <v>623</v>
      </c>
      <c r="J3726" s="24" t="s">
        <v>624</v>
      </c>
      <c r="K3726" s="24" t="s">
        <v>614</v>
      </c>
    </row>
    <row r="3727" spans="1:11">
      <c r="A3727" s="12">
        <v>2024</v>
      </c>
      <c r="B3727" s="15" t="s">
        <v>488</v>
      </c>
      <c r="C3727" s="15" t="s">
        <v>530</v>
      </c>
      <c r="D3727" s="15" t="s">
        <v>531</v>
      </c>
      <c r="E3727" s="19">
        <v>31177</v>
      </c>
      <c r="F3727" s="19">
        <v>31856</v>
      </c>
      <c r="G3727" s="20">
        <f t="shared" si="58"/>
        <v>0.50538606761537608</v>
      </c>
      <c r="H3727" s="24" t="s">
        <v>603</v>
      </c>
      <c r="I3727" s="24" t="s">
        <v>623</v>
      </c>
      <c r="J3727" s="24" t="s">
        <v>624</v>
      </c>
      <c r="K3727" s="24" t="s">
        <v>614</v>
      </c>
    </row>
    <row r="3728" spans="1:11">
      <c r="A3728" s="12">
        <v>2024</v>
      </c>
      <c r="B3728" s="15" t="s">
        <v>532</v>
      </c>
      <c r="C3728" s="15" t="s">
        <v>22</v>
      </c>
      <c r="D3728" s="15" t="s">
        <v>532</v>
      </c>
      <c r="E3728" s="19">
        <v>626078</v>
      </c>
      <c r="F3728" s="19">
        <v>141177</v>
      </c>
      <c r="G3728" s="20">
        <f t="shared" si="58"/>
        <v>0.18400271096310875</v>
      </c>
      <c r="H3728" s="24" t="s">
        <v>583</v>
      </c>
      <c r="I3728" s="24" t="s">
        <v>617</v>
      </c>
      <c r="J3728" s="24" t="s">
        <v>618</v>
      </c>
      <c r="K3728" s="24" t="s">
        <v>614</v>
      </c>
    </row>
    <row r="3729" spans="1:11">
      <c r="A3729" s="12">
        <v>2024</v>
      </c>
      <c r="B3729" s="15" t="s">
        <v>532</v>
      </c>
      <c r="C3729" s="15" t="s">
        <v>533</v>
      </c>
      <c r="D3729" s="15" t="s">
        <v>534</v>
      </c>
      <c r="E3729" s="19">
        <v>156578</v>
      </c>
      <c r="F3729" s="19">
        <v>110895</v>
      </c>
      <c r="G3729" s="20">
        <f t="shared" si="58"/>
        <v>0.41460259540215272</v>
      </c>
      <c r="H3729" s="24" t="s">
        <v>583</v>
      </c>
      <c r="I3729" s="24" t="s">
        <v>617</v>
      </c>
      <c r="J3729" s="24" t="s">
        <v>618</v>
      </c>
      <c r="K3729" s="24" t="s">
        <v>614</v>
      </c>
    </row>
    <row r="3730" spans="1:11">
      <c r="A3730" s="13">
        <v>2024</v>
      </c>
      <c r="B3730" s="16" t="s">
        <v>532</v>
      </c>
      <c r="C3730" s="16" t="s">
        <v>535</v>
      </c>
      <c r="D3730" s="16" t="s">
        <v>536</v>
      </c>
      <c r="E3730" s="21">
        <v>455724</v>
      </c>
      <c r="F3730" s="21">
        <v>114646</v>
      </c>
      <c r="G3730" s="22">
        <f t="shared" si="58"/>
        <v>0.20100285779406352</v>
      </c>
      <c r="H3730" s="25" t="s">
        <v>583</v>
      </c>
      <c r="I3730" s="25" t="s">
        <v>617</v>
      </c>
      <c r="J3730" s="25" t="s">
        <v>618</v>
      </c>
      <c r="K3730" s="25" t="s">
        <v>614</v>
      </c>
    </row>
  </sheetData>
  <mergeCells count="2">
    <mergeCell ref="A1:K2"/>
    <mergeCell ref="A3:K3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workbookViewId="0">
      <selection sqref="A1:E2"/>
    </sheetView>
  </sheetViews>
  <sheetFormatPr defaultRowHeight="13.8"/>
  <cols>
    <col min="1" max="1" width="12" customWidth="1"/>
    <col min="2" max="4" width="18" customWidth="1"/>
    <col min="5" max="5" width="12" customWidth="1"/>
  </cols>
  <sheetData>
    <row r="1" spans="1:5" ht="28.05" customHeight="1">
      <c r="A1" s="135" t="s">
        <v>625</v>
      </c>
      <c r="B1" s="135"/>
      <c r="C1" s="135"/>
      <c r="D1" s="135"/>
      <c r="E1" s="135"/>
    </row>
    <row r="2" spans="1:5" ht="28.05" customHeight="1">
      <c r="A2" s="135"/>
      <c r="B2" s="135"/>
      <c r="C2" s="135"/>
      <c r="D2" s="135"/>
      <c r="E2" s="135"/>
    </row>
    <row r="3" spans="1:5" ht="31.95" customHeight="1">
      <c r="A3" s="136" t="s">
        <v>626</v>
      </c>
      <c r="B3" s="136"/>
      <c r="C3" s="136"/>
      <c r="D3" s="136"/>
      <c r="E3" s="136"/>
    </row>
    <row r="5" spans="1:5">
      <c r="A5" s="1" t="s">
        <v>540</v>
      </c>
      <c r="B5" s="1" t="s">
        <v>627</v>
      </c>
      <c r="C5" s="1" t="s">
        <v>628</v>
      </c>
      <c r="D5" s="1" t="s">
        <v>629</v>
      </c>
      <c r="E5" s="1" t="s">
        <v>630</v>
      </c>
    </row>
    <row r="6" spans="1:5">
      <c r="A6" s="5">
        <v>2011</v>
      </c>
      <c r="B6" s="8">
        <f>COUNTIF(원천데이터!$A$6:$A$3730,A6)</f>
        <v>263</v>
      </c>
      <c r="C6" s="8">
        <f>COUNTIFS(원천데이터!$A$6:$A$3730,A6,원천데이터!$G$6:$G$3730,"&gt;=0")</f>
        <v>263</v>
      </c>
      <c r="D6" s="8">
        <f t="shared" ref="D6:D19" si="0">B6-C6</f>
        <v>0</v>
      </c>
      <c r="E6" s="2" t="str">
        <f t="shared" ref="E6:E19" si="1">IF(D6=0,"OK","확인")</f>
        <v>OK</v>
      </c>
    </row>
    <row r="7" spans="1:5">
      <c r="A7" s="6">
        <v>2012</v>
      </c>
      <c r="B7" s="9">
        <f>COUNTIF(원천데이터!$A$6:$A$3730,A7)</f>
        <v>263</v>
      </c>
      <c r="C7" s="9">
        <f>COUNTIFS(원천데이터!$A$6:$A$3730,A7,원천데이터!$G$6:$G$3730,"&gt;=0")</f>
        <v>263</v>
      </c>
      <c r="D7" s="9">
        <f t="shared" si="0"/>
        <v>0</v>
      </c>
      <c r="E7" s="3" t="str">
        <f t="shared" si="1"/>
        <v>OK</v>
      </c>
    </row>
    <row r="8" spans="1:5">
      <c r="A8" s="6">
        <v>2013</v>
      </c>
      <c r="B8" s="9">
        <f>COUNTIF(원천데이터!$A$6:$A$3730,A8)</f>
        <v>267</v>
      </c>
      <c r="C8" s="9">
        <f>COUNTIFS(원천데이터!$A$6:$A$3730,A8,원천데이터!$G$6:$G$3730,"&gt;=0")</f>
        <v>267</v>
      </c>
      <c r="D8" s="9">
        <f t="shared" si="0"/>
        <v>0</v>
      </c>
      <c r="E8" s="3" t="str">
        <f t="shared" si="1"/>
        <v>OK</v>
      </c>
    </row>
    <row r="9" spans="1:5">
      <c r="A9" s="6">
        <v>2014</v>
      </c>
      <c r="B9" s="9">
        <f>COUNTIF(원천데이터!$A$6:$A$3730,A9)</f>
        <v>268</v>
      </c>
      <c r="C9" s="9">
        <f>COUNTIFS(원천데이터!$A$6:$A$3730,A9,원천데이터!$G$6:$G$3730,"&gt;=0")</f>
        <v>268</v>
      </c>
      <c r="D9" s="9">
        <f t="shared" si="0"/>
        <v>0</v>
      </c>
      <c r="E9" s="3" t="str">
        <f t="shared" si="1"/>
        <v>OK</v>
      </c>
    </row>
    <row r="10" spans="1:5">
      <c r="A10" s="6">
        <v>2015</v>
      </c>
      <c r="B10" s="9">
        <f>COUNTIF(원천데이터!$A$6:$A$3730,A10)</f>
        <v>268</v>
      </c>
      <c r="C10" s="9">
        <f>COUNTIFS(원천데이터!$A$6:$A$3730,A10,원천데이터!$G$6:$G$3730,"&gt;=0")</f>
        <v>268</v>
      </c>
      <c r="D10" s="9">
        <f t="shared" si="0"/>
        <v>0</v>
      </c>
      <c r="E10" s="3" t="str">
        <f t="shared" si="1"/>
        <v>OK</v>
      </c>
    </row>
    <row r="11" spans="1:5">
      <c r="A11" s="6">
        <v>2016</v>
      </c>
      <c r="B11" s="9">
        <f>COUNTIF(원천데이터!$A$6:$A$3730,A11)</f>
        <v>266</v>
      </c>
      <c r="C11" s="9">
        <f>COUNTIFS(원천데이터!$A$6:$A$3730,A11,원천데이터!$G$6:$G$3730,"&gt;=0")</f>
        <v>266</v>
      </c>
      <c r="D11" s="9">
        <f t="shared" si="0"/>
        <v>0</v>
      </c>
      <c r="E11" s="3" t="str">
        <f t="shared" si="1"/>
        <v>OK</v>
      </c>
    </row>
    <row r="12" spans="1:5">
      <c r="A12" s="6">
        <v>2017</v>
      </c>
      <c r="B12" s="9">
        <f>COUNTIF(원천데이터!$A$6:$A$3730,A12)</f>
        <v>266</v>
      </c>
      <c r="C12" s="9">
        <f>COUNTIFS(원천데이터!$A$6:$A$3730,A12,원천데이터!$G$6:$G$3730,"&gt;=0")</f>
        <v>266</v>
      </c>
      <c r="D12" s="9">
        <f t="shared" si="0"/>
        <v>0</v>
      </c>
      <c r="E12" s="3" t="str">
        <f t="shared" si="1"/>
        <v>OK</v>
      </c>
    </row>
    <row r="13" spans="1:5">
      <c r="A13" s="6">
        <v>2018</v>
      </c>
      <c r="B13" s="9">
        <f>COUNTIF(원천데이터!$A$6:$A$3730,A13)</f>
        <v>266</v>
      </c>
      <c r="C13" s="9">
        <f>COUNTIFS(원천데이터!$A$6:$A$3730,A13,원천데이터!$G$6:$G$3730,"&gt;=0")</f>
        <v>266</v>
      </c>
      <c r="D13" s="9">
        <f t="shared" si="0"/>
        <v>0</v>
      </c>
      <c r="E13" s="3" t="str">
        <f t="shared" si="1"/>
        <v>OK</v>
      </c>
    </row>
    <row r="14" spans="1:5">
      <c r="A14" s="6">
        <v>2019</v>
      </c>
      <c r="B14" s="9">
        <f>COUNTIF(원천데이터!$A$6:$A$3730,A14)</f>
        <v>266</v>
      </c>
      <c r="C14" s="9">
        <f>COUNTIFS(원천데이터!$A$6:$A$3730,A14,원천데이터!$G$6:$G$3730,"&gt;=0")</f>
        <v>266</v>
      </c>
      <c r="D14" s="9">
        <f t="shared" si="0"/>
        <v>0</v>
      </c>
      <c r="E14" s="3" t="str">
        <f t="shared" si="1"/>
        <v>OK</v>
      </c>
    </row>
    <row r="15" spans="1:5">
      <c r="A15" s="6">
        <v>2020</v>
      </c>
      <c r="B15" s="9">
        <f>COUNTIF(원천데이터!$A$6:$A$3730,A15)</f>
        <v>266</v>
      </c>
      <c r="C15" s="9">
        <f>COUNTIFS(원천데이터!$A$6:$A$3730,A15,원천데이터!$G$6:$G$3730,"&gt;=0")</f>
        <v>266</v>
      </c>
      <c r="D15" s="9">
        <f t="shared" si="0"/>
        <v>0</v>
      </c>
      <c r="E15" s="3" t="str">
        <f t="shared" si="1"/>
        <v>OK</v>
      </c>
    </row>
    <row r="16" spans="1:5">
      <c r="A16" s="6">
        <v>2021</v>
      </c>
      <c r="B16" s="9">
        <f>COUNTIF(원천데이터!$A$6:$A$3730,A16)</f>
        <v>266</v>
      </c>
      <c r="C16" s="9">
        <f>COUNTIFS(원천데이터!$A$6:$A$3730,A16,원천데이터!$G$6:$G$3730,"&gt;=0")</f>
        <v>266</v>
      </c>
      <c r="D16" s="9">
        <f t="shared" si="0"/>
        <v>0</v>
      </c>
      <c r="E16" s="3" t="str">
        <f t="shared" si="1"/>
        <v>OK</v>
      </c>
    </row>
    <row r="17" spans="1:5">
      <c r="A17" s="6">
        <v>2022</v>
      </c>
      <c r="B17" s="9">
        <f>COUNTIF(원천데이터!$A$6:$A$3730,A17)</f>
        <v>266</v>
      </c>
      <c r="C17" s="9">
        <f>COUNTIFS(원천데이터!$A$6:$A$3730,A17,원천데이터!$G$6:$G$3730,"&gt;=0")</f>
        <v>266</v>
      </c>
      <c r="D17" s="9">
        <f t="shared" si="0"/>
        <v>0</v>
      </c>
      <c r="E17" s="3" t="str">
        <f t="shared" si="1"/>
        <v>OK</v>
      </c>
    </row>
    <row r="18" spans="1:5">
      <c r="A18" s="6">
        <v>2023</v>
      </c>
      <c r="B18" s="9">
        <f>COUNTIF(원천데이터!$A$6:$A$3730,A18)</f>
        <v>266</v>
      </c>
      <c r="C18" s="9">
        <f>COUNTIFS(원천데이터!$A$6:$A$3730,A18,원천데이터!$G$6:$G$3730,"&gt;=0")</f>
        <v>266</v>
      </c>
      <c r="D18" s="9">
        <f t="shared" si="0"/>
        <v>0</v>
      </c>
      <c r="E18" s="3" t="str">
        <f t="shared" si="1"/>
        <v>OK</v>
      </c>
    </row>
    <row r="19" spans="1:5">
      <c r="A19" s="7">
        <v>2024</v>
      </c>
      <c r="B19" s="10">
        <f>COUNTIF(원천데이터!$A$6:$A$3730,A19)</f>
        <v>268</v>
      </c>
      <c r="C19" s="10">
        <f>COUNTIFS(원천데이터!$A$6:$A$3730,A19,원천데이터!$G$6:$G$3730,"&gt;=0")</f>
        <v>268</v>
      </c>
      <c r="D19" s="10">
        <f t="shared" si="0"/>
        <v>0</v>
      </c>
      <c r="E19" s="4" t="str">
        <f t="shared" si="1"/>
        <v>OK</v>
      </c>
    </row>
  </sheetData>
  <mergeCells count="2">
    <mergeCell ref="A1:E2"/>
    <mergeCell ref="A3:E3"/>
  </mergeCells>
  <phoneticPr fontId="8" type="noConversion"/>
  <conditionalFormatting sqref="E6:E19">
    <cfRule type="containsText" dxfId="1" priority="1" operator="containsText" text="OK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showGridLines="0" workbookViewId="0">
      <selection sqref="A1:D2"/>
    </sheetView>
  </sheetViews>
  <sheetFormatPr defaultRowHeight="13.8"/>
  <cols>
    <col min="1" max="1" width="12" customWidth="1"/>
    <col min="2" max="2" width="20" customWidth="1"/>
    <col min="3" max="3" width="72" customWidth="1"/>
    <col min="4" max="4" width="46" customWidth="1"/>
  </cols>
  <sheetData>
    <row r="1" spans="1:4" ht="28.05" customHeight="1">
      <c r="A1" s="135" t="s">
        <v>631</v>
      </c>
      <c r="B1" s="135"/>
      <c r="C1" s="135"/>
      <c r="D1" s="135"/>
    </row>
    <row r="2" spans="1:4" ht="28.05" customHeight="1">
      <c r="A2" s="135"/>
      <c r="B2" s="135"/>
      <c r="C2" s="135"/>
      <c r="D2" s="135"/>
    </row>
    <row r="3" spans="1:4" ht="31.95" customHeight="1">
      <c r="A3" s="136" t="s">
        <v>632</v>
      </c>
      <c r="B3" s="136"/>
      <c r="C3" s="136"/>
      <c r="D3" s="136"/>
    </row>
    <row r="5" spans="1:4">
      <c r="A5" s="1" t="s">
        <v>633</v>
      </c>
      <c r="B5" s="1" t="s">
        <v>634</v>
      </c>
      <c r="C5" s="1" t="s">
        <v>635</v>
      </c>
      <c r="D5" s="1" t="s">
        <v>636</v>
      </c>
    </row>
    <row r="6" spans="1:4" ht="37.950000000000003" customHeight="1">
      <c r="A6" s="29" t="s">
        <v>637</v>
      </c>
      <c r="B6" s="29" t="s">
        <v>638</v>
      </c>
      <c r="C6" s="29" t="s">
        <v>639</v>
      </c>
      <c r="D6" s="29" t="s">
        <v>640</v>
      </c>
    </row>
    <row r="7" spans="1:4" ht="37.950000000000003" customHeight="1">
      <c r="A7" s="30" t="s">
        <v>641</v>
      </c>
      <c r="B7" s="30" t="s">
        <v>642</v>
      </c>
      <c r="C7" s="30" t="s">
        <v>643</v>
      </c>
      <c r="D7" s="30" t="s">
        <v>644</v>
      </c>
    </row>
    <row r="8" spans="1:4" ht="37.950000000000003" customHeight="1">
      <c r="A8" s="30" t="s">
        <v>641</v>
      </c>
      <c r="B8" s="30" t="s">
        <v>645</v>
      </c>
      <c r="C8" s="30" t="s">
        <v>646</v>
      </c>
      <c r="D8" s="30" t="s">
        <v>647</v>
      </c>
    </row>
    <row r="9" spans="1:4" ht="37.950000000000003" customHeight="1">
      <c r="A9" s="30" t="s">
        <v>648</v>
      </c>
      <c r="B9" s="30" t="s">
        <v>649</v>
      </c>
      <c r="C9" s="30" t="s">
        <v>650</v>
      </c>
      <c r="D9" s="30" t="s">
        <v>651</v>
      </c>
    </row>
    <row r="10" spans="1:4" ht="37.950000000000003" customHeight="1">
      <c r="A10" s="30" t="s">
        <v>652</v>
      </c>
      <c r="B10" s="30" t="s">
        <v>653</v>
      </c>
      <c r="C10" s="30" t="s">
        <v>654</v>
      </c>
      <c r="D10" s="30" t="s">
        <v>655</v>
      </c>
    </row>
    <row r="11" spans="1:4" ht="37.950000000000003" customHeight="1">
      <c r="A11" s="30" t="s">
        <v>656</v>
      </c>
      <c r="B11" s="30" t="s">
        <v>657</v>
      </c>
      <c r="C11" s="30" t="s">
        <v>658</v>
      </c>
      <c r="D11" s="30" t="s">
        <v>655</v>
      </c>
    </row>
    <row r="12" spans="1:4" ht="37.950000000000003" customHeight="1">
      <c r="A12" s="30" t="s">
        <v>656</v>
      </c>
      <c r="B12" s="30" t="s">
        <v>659</v>
      </c>
      <c r="C12" s="30" t="s">
        <v>660</v>
      </c>
      <c r="D12" s="30" t="s">
        <v>661</v>
      </c>
    </row>
    <row r="13" spans="1:4" ht="37.950000000000003" customHeight="1">
      <c r="A13" s="30" t="s">
        <v>662</v>
      </c>
      <c r="B13" s="30" t="s">
        <v>663</v>
      </c>
      <c r="C13" s="30" t="s">
        <v>664</v>
      </c>
      <c r="D13" s="30" t="s">
        <v>665</v>
      </c>
    </row>
    <row r="14" spans="1:4" ht="37.950000000000003" customHeight="1">
      <c r="A14" s="31" t="s">
        <v>636</v>
      </c>
      <c r="B14" s="31" t="s">
        <v>666</v>
      </c>
      <c r="C14" s="31" t="s">
        <v>667</v>
      </c>
      <c r="D14" s="31" t="s">
        <v>668</v>
      </c>
    </row>
  </sheetData>
  <mergeCells count="2">
    <mergeCell ref="A1:D2"/>
    <mergeCell ref="A3:D3"/>
  </mergeCells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5"/>
  <sheetViews>
    <sheetView showGridLines="0" workbookViewId="0">
      <selection sqref="A1:I2"/>
    </sheetView>
  </sheetViews>
  <sheetFormatPr defaultRowHeight="13.8"/>
  <cols>
    <col min="1" max="1" width="22" customWidth="1"/>
    <col min="2" max="2" width="33" customWidth="1"/>
    <col min="3" max="3" width="11" customWidth="1"/>
    <col min="4" max="5" width="14" customWidth="1"/>
    <col min="6" max="6" width="13" customWidth="1"/>
    <col min="7" max="7" width="17" customWidth="1"/>
    <col min="8" max="8" width="24" customWidth="1"/>
    <col min="9" max="9" width="46" customWidth="1"/>
  </cols>
  <sheetData>
    <row r="1" spans="1:9" ht="28.05" customHeight="1">
      <c r="A1" s="137" t="s">
        <v>669</v>
      </c>
      <c r="B1" s="137"/>
      <c r="C1" s="137"/>
      <c r="D1" s="137"/>
      <c r="E1" s="137"/>
      <c r="F1" s="137"/>
      <c r="G1" s="137"/>
      <c r="H1" s="137"/>
      <c r="I1" s="137"/>
    </row>
    <row r="2" spans="1:9" ht="28.05" customHeight="1">
      <c r="A2" s="137"/>
      <c r="B2" s="137"/>
      <c r="C2" s="137"/>
      <c r="D2" s="137"/>
      <c r="E2" s="137"/>
      <c r="F2" s="137"/>
      <c r="G2" s="137"/>
      <c r="H2" s="137"/>
      <c r="I2" s="137"/>
    </row>
    <row r="3" spans="1:9" ht="28.05" customHeight="1">
      <c r="A3" s="138" t="s">
        <v>670</v>
      </c>
      <c r="B3" s="138"/>
      <c r="C3" s="138"/>
      <c r="D3" s="138"/>
      <c r="E3" s="138"/>
      <c r="F3" s="138"/>
      <c r="G3" s="138"/>
      <c r="H3" s="138"/>
      <c r="I3" s="138"/>
    </row>
    <row r="4" spans="1:9" ht="37.950000000000003" customHeight="1">
      <c r="A4" s="139" t="s">
        <v>671</v>
      </c>
      <c r="B4" s="139"/>
      <c r="C4" s="139"/>
      <c r="D4" s="139"/>
      <c r="E4" s="139"/>
      <c r="F4" s="139"/>
      <c r="G4" s="139"/>
      <c r="H4" s="139"/>
      <c r="I4" s="139"/>
    </row>
    <row r="6" spans="1:9" ht="34.049999999999997" customHeight="1">
      <c r="A6" s="32" t="s">
        <v>672</v>
      </c>
      <c r="B6" s="32" t="s">
        <v>673</v>
      </c>
      <c r="C6" s="32" t="s">
        <v>674</v>
      </c>
      <c r="D6" s="32" t="s">
        <v>675</v>
      </c>
      <c r="E6" s="32" t="s">
        <v>676</v>
      </c>
      <c r="F6" s="32" t="s">
        <v>677</v>
      </c>
      <c r="G6" s="32" t="s">
        <v>678</v>
      </c>
      <c r="H6" s="32" t="s">
        <v>679</v>
      </c>
      <c r="I6" s="32" t="s">
        <v>547</v>
      </c>
    </row>
    <row r="7" spans="1:9" ht="19.05" customHeight="1">
      <c r="A7" s="44" t="s">
        <v>680</v>
      </c>
      <c r="B7" s="45" t="s">
        <v>681</v>
      </c>
      <c r="C7" s="33">
        <v>0</v>
      </c>
      <c r="D7" s="39">
        <v>1.56E-3</v>
      </c>
      <c r="E7" s="39">
        <v>1.4499999999999999E-3</v>
      </c>
      <c r="F7" s="34" t="s">
        <v>682</v>
      </c>
      <c r="G7" s="34" t="s">
        <v>683</v>
      </c>
      <c r="H7" s="50" t="s">
        <v>684</v>
      </c>
      <c r="I7" s="50" t="s">
        <v>685</v>
      </c>
    </row>
    <row r="8" spans="1:9" ht="19.05" customHeight="1">
      <c r="A8" s="46" t="s">
        <v>680</v>
      </c>
      <c r="B8" s="15" t="s">
        <v>681</v>
      </c>
      <c r="C8" s="12">
        <v>5</v>
      </c>
      <c r="D8" s="40">
        <v>4.0000000000000003E-5</v>
      </c>
      <c r="E8" s="40">
        <v>4.0000000000000003E-5</v>
      </c>
      <c r="F8" s="35" t="s">
        <v>682</v>
      </c>
      <c r="G8" s="35" t="s">
        <v>683</v>
      </c>
      <c r="H8" s="24" t="s">
        <v>684</v>
      </c>
      <c r="I8" s="24" t="s">
        <v>685</v>
      </c>
    </row>
    <row r="9" spans="1:9" ht="19.05" customHeight="1">
      <c r="A9" s="46" t="s">
        <v>680</v>
      </c>
      <c r="B9" s="15" t="s">
        <v>681</v>
      </c>
      <c r="C9" s="12">
        <v>10</v>
      </c>
      <c r="D9" s="40">
        <v>3.0000000000000001E-5</v>
      </c>
      <c r="E9" s="40">
        <v>3.0000000000000001E-5</v>
      </c>
      <c r="F9" s="35" t="s">
        <v>682</v>
      </c>
      <c r="G9" s="35" t="s">
        <v>683</v>
      </c>
      <c r="H9" s="24" t="s">
        <v>684</v>
      </c>
      <c r="I9" s="24" t="s">
        <v>685</v>
      </c>
    </row>
    <row r="10" spans="1:9" ht="19.05" customHeight="1">
      <c r="A10" s="46" t="s">
        <v>680</v>
      </c>
      <c r="B10" s="15" t="s">
        <v>681</v>
      </c>
      <c r="C10" s="12">
        <v>15</v>
      </c>
      <c r="D10" s="40">
        <v>1.3999999999999999E-4</v>
      </c>
      <c r="E10" s="40">
        <v>1E-4</v>
      </c>
      <c r="F10" s="35" t="s">
        <v>682</v>
      </c>
      <c r="G10" s="35" t="s">
        <v>683</v>
      </c>
      <c r="H10" s="24" t="s">
        <v>684</v>
      </c>
      <c r="I10" s="24" t="s">
        <v>685</v>
      </c>
    </row>
    <row r="11" spans="1:9" ht="19.05" customHeight="1">
      <c r="A11" s="46" t="s">
        <v>680</v>
      </c>
      <c r="B11" s="15" t="s">
        <v>681</v>
      </c>
      <c r="C11" s="12">
        <v>20</v>
      </c>
      <c r="D11" s="40">
        <v>2.7999999999999998E-4</v>
      </c>
      <c r="E11" s="40">
        <v>2.0000000000000001E-4</v>
      </c>
      <c r="F11" s="35" t="s">
        <v>682</v>
      </c>
      <c r="G11" s="35" t="s">
        <v>683</v>
      </c>
      <c r="H11" s="24" t="s">
        <v>684</v>
      </c>
      <c r="I11" s="24" t="s">
        <v>685</v>
      </c>
    </row>
    <row r="12" spans="1:9" ht="19.05" customHeight="1">
      <c r="A12" s="46" t="s">
        <v>680</v>
      </c>
      <c r="B12" s="15" t="s">
        <v>681</v>
      </c>
      <c r="C12" s="12">
        <v>25</v>
      </c>
      <c r="D12" s="40">
        <v>3.8999999999999999E-4</v>
      </c>
      <c r="E12" s="40">
        <v>2.4000000000000001E-4</v>
      </c>
      <c r="F12" s="35" t="s">
        <v>682</v>
      </c>
      <c r="G12" s="35" t="s">
        <v>683</v>
      </c>
      <c r="H12" s="24" t="s">
        <v>684</v>
      </c>
      <c r="I12" s="24" t="s">
        <v>685</v>
      </c>
    </row>
    <row r="13" spans="1:9" ht="19.05" customHeight="1">
      <c r="A13" s="46" t="s">
        <v>680</v>
      </c>
      <c r="B13" s="15" t="s">
        <v>681</v>
      </c>
      <c r="C13" s="12">
        <v>30</v>
      </c>
      <c r="D13" s="40">
        <v>4.4999999999999999E-4</v>
      </c>
      <c r="E13" s="40">
        <v>2.5999999999999998E-4</v>
      </c>
      <c r="F13" s="35" t="s">
        <v>682</v>
      </c>
      <c r="G13" s="35" t="s">
        <v>683</v>
      </c>
      <c r="H13" s="24" t="s">
        <v>684</v>
      </c>
      <c r="I13" s="24" t="s">
        <v>685</v>
      </c>
    </row>
    <row r="14" spans="1:9" ht="19.05" customHeight="1">
      <c r="A14" s="46" t="s">
        <v>680</v>
      </c>
      <c r="B14" s="15" t="s">
        <v>681</v>
      </c>
      <c r="C14" s="12">
        <v>35</v>
      </c>
      <c r="D14" s="40">
        <v>5.2999999999999998E-4</v>
      </c>
      <c r="E14" s="40">
        <v>3.5E-4</v>
      </c>
      <c r="F14" s="35" t="s">
        <v>682</v>
      </c>
      <c r="G14" s="35" t="s">
        <v>683</v>
      </c>
      <c r="H14" s="24" t="s">
        <v>684</v>
      </c>
      <c r="I14" s="24" t="s">
        <v>685</v>
      </c>
    </row>
    <row r="15" spans="1:9" ht="19.05" customHeight="1">
      <c r="A15" s="46" t="s">
        <v>680</v>
      </c>
      <c r="B15" s="15" t="s">
        <v>681</v>
      </c>
      <c r="C15" s="12">
        <v>40</v>
      </c>
      <c r="D15" s="40">
        <v>6.4999999999999997E-4</v>
      </c>
      <c r="E15" s="40">
        <v>4.2999999999999999E-4</v>
      </c>
      <c r="F15" s="35" t="s">
        <v>682</v>
      </c>
      <c r="G15" s="35" t="s">
        <v>683</v>
      </c>
      <c r="H15" s="24" t="s">
        <v>684</v>
      </c>
      <c r="I15" s="24" t="s">
        <v>685</v>
      </c>
    </row>
    <row r="16" spans="1:9" ht="19.05" customHeight="1">
      <c r="A16" s="46" t="s">
        <v>680</v>
      </c>
      <c r="B16" s="15" t="s">
        <v>681</v>
      </c>
      <c r="C16" s="12">
        <v>45</v>
      </c>
      <c r="D16" s="40">
        <v>9.3000000000000005E-4</v>
      </c>
      <c r="E16" s="40">
        <v>5.5000000000000003E-4</v>
      </c>
      <c r="F16" s="35" t="s">
        <v>682</v>
      </c>
      <c r="G16" s="35" t="s">
        <v>683</v>
      </c>
      <c r="H16" s="24" t="s">
        <v>684</v>
      </c>
      <c r="I16" s="24" t="s">
        <v>685</v>
      </c>
    </row>
    <row r="17" spans="1:9" ht="19.05" customHeight="1">
      <c r="A17" s="46" t="s">
        <v>680</v>
      </c>
      <c r="B17" s="15" t="s">
        <v>681</v>
      </c>
      <c r="C17" s="12">
        <v>50</v>
      </c>
      <c r="D17" s="40">
        <v>1.41E-3</v>
      </c>
      <c r="E17" s="40">
        <v>7.6999999999999996E-4</v>
      </c>
      <c r="F17" s="35" t="s">
        <v>682</v>
      </c>
      <c r="G17" s="35" t="s">
        <v>683</v>
      </c>
      <c r="H17" s="24" t="s">
        <v>684</v>
      </c>
      <c r="I17" s="24" t="s">
        <v>685</v>
      </c>
    </row>
    <row r="18" spans="1:9" ht="19.05" customHeight="1">
      <c r="A18" s="46" t="s">
        <v>680</v>
      </c>
      <c r="B18" s="15" t="s">
        <v>681</v>
      </c>
      <c r="C18" s="12">
        <v>55</v>
      </c>
      <c r="D18" s="40">
        <v>2.16E-3</v>
      </c>
      <c r="E18" s="40">
        <v>1.0499999999999999E-3</v>
      </c>
      <c r="F18" s="35" t="s">
        <v>682</v>
      </c>
      <c r="G18" s="35" t="s">
        <v>683</v>
      </c>
      <c r="H18" s="24" t="s">
        <v>684</v>
      </c>
      <c r="I18" s="24" t="s">
        <v>685</v>
      </c>
    </row>
    <row r="19" spans="1:9" ht="19.05" customHeight="1">
      <c r="A19" s="46" t="s">
        <v>680</v>
      </c>
      <c r="B19" s="15" t="s">
        <v>681</v>
      </c>
      <c r="C19" s="12">
        <v>60</v>
      </c>
      <c r="D19" s="40">
        <v>3.3899999999999998E-3</v>
      </c>
      <c r="E19" s="40">
        <v>1.39E-3</v>
      </c>
      <c r="F19" s="35" t="s">
        <v>682</v>
      </c>
      <c r="G19" s="35" t="s">
        <v>683</v>
      </c>
      <c r="H19" s="24" t="s">
        <v>684</v>
      </c>
      <c r="I19" s="24" t="s">
        <v>685</v>
      </c>
    </row>
    <row r="20" spans="1:9" ht="19.05" customHeight="1">
      <c r="A20" s="46" t="s">
        <v>680</v>
      </c>
      <c r="B20" s="15" t="s">
        <v>681</v>
      </c>
      <c r="C20" s="12">
        <v>65</v>
      </c>
      <c r="D20" s="40">
        <v>5.5700000000000003E-3</v>
      </c>
      <c r="E20" s="40">
        <v>2.0799999999999998E-3</v>
      </c>
      <c r="F20" s="35" t="s">
        <v>682</v>
      </c>
      <c r="G20" s="35" t="s">
        <v>683</v>
      </c>
      <c r="H20" s="24" t="s">
        <v>684</v>
      </c>
      <c r="I20" s="24" t="s">
        <v>685</v>
      </c>
    </row>
    <row r="21" spans="1:9" ht="19.05" customHeight="1">
      <c r="A21" s="46" t="s">
        <v>680</v>
      </c>
      <c r="B21" s="15" t="s">
        <v>681</v>
      </c>
      <c r="C21" s="12">
        <v>70</v>
      </c>
      <c r="D21" s="40">
        <v>9.3500000000000007E-3</v>
      </c>
      <c r="E21" s="40">
        <v>3.5300000000000002E-3</v>
      </c>
      <c r="F21" s="35" t="s">
        <v>682</v>
      </c>
      <c r="G21" s="35" t="s">
        <v>683</v>
      </c>
      <c r="H21" s="24" t="s">
        <v>684</v>
      </c>
      <c r="I21" s="24" t="s">
        <v>685</v>
      </c>
    </row>
    <row r="22" spans="1:9" ht="19.05" customHeight="1">
      <c r="A22" s="46" t="s">
        <v>680</v>
      </c>
      <c r="B22" s="15" t="s">
        <v>681</v>
      </c>
      <c r="C22" s="12">
        <v>75</v>
      </c>
      <c r="D22" s="40">
        <v>1.7069999999999998E-2</v>
      </c>
      <c r="E22" s="40">
        <v>7.2899999999999996E-3</v>
      </c>
      <c r="F22" s="35" t="s">
        <v>682</v>
      </c>
      <c r="G22" s="35" t="s">
        <v>683</v>
      </c>
      <c r="H22" s="24" t="s">
        <v>684</v>
      </c>
      <c r="I22" s="24" t="s">
        <v>685</v>
      </c>
    </row>
    <row r="23" spans="1:9" ht="19.05" customHeight="1">
      <c r="A23" s="46" t="s">
        <v>680</v>
      </c>
      <c r="B23" s="15" t="s">
        <v>681</v>
      </c>
      <c r="C23" s="12">
        <v>80</v>
      </c>
      <c r="D23" s="40">
        <v>3.2000000000000001E-2</v>
      </c>
      <c r="E23" s="40">
        <v>1.6740000000000001E-2</v>
      </c>
      <c r="F23" s="35" t="s">
        <v>682</v>
      </c>
      <c r="G23" s="35" t="s">
        <v>683</v>
      </c>
      <c r="H23" s="24" t="s">
        <v>684</v>
      </c>
      <c r="I23" s="24" t="s">
        <v>685</v>
      </c>
    </row>
    <row r="24" spans="1:9" ht="19.05" customHeight="1">
      <c r="A24" s="46" t="s">
        <v>680</v>
      </c>
      <c r="B24" s="15" t="s">
        <v>681</v>
      </c>
      <c r="C24" s="12">
        <v>85</v>
      </c>
      <c r="D24" s="40">
        <v>5.3030000000000001E-2</v>
      </c>
      <c r="E24" s="40">
        <v>3.4299999999999997E-2</v>
      </c>
      <c r="F24" s="35" t="s">
        <v>682</v>
      </c>
      <c r="G24" s="35" t="s">
        <v>683</v>
      </c>
      <c r="H24" s="24" t="s">
        <v>684</v>
      </c>
      <c r="I24" s="24" t="s">
        <v>685</v>
      </c>
    </row>
    <row r="25" spans="1:9" ht="19.05" customHeight="1">
      <c r="A25" s="46" t="s">
        <v>680</v>
      </c>
      <c r="B25" s="15" t="s">
        <v>681</v>
      </c>
      <c r="C25" s="12">
        <v>90</v>
      </c>
      <c r="D25" s="40">
        <v>8.7239999999999998E-2</v>
      </c>
      <c r="E25" s="40">
        <v>6.9599999999999995E-2</v>
      </c>
      <c r="F25" s="35" t="s">
        <v>682</v>
      </c>
      <c r="G25" s="35" t="s">
        <v>683</v>
      </c>
      <c r="H25" s="24" t="s">
        <v>684</v>
      </c>
      <c r="I25" s="24" t="s">
        <v>685</v>
      </c>
    </row>
    <row r="26" spans="1:9" ht="19.05" customHeight="1">
      <c r="A26" s="46" t="s">
        <v>680</v>
      </c>
      <c r="B26" s="15" t="s">
        <v>681</v>
      </c>
      <c r="C26" s="12">
        <v>95</v>
      </c>
      <c r="D26" s="40">
        <v>0.13538</v>
      </c>
      <c r="E26" s="40">
        <v>0.13291</v>
      </c>
      <c r="F26" s="35" t="s">
        <v>682</v>
      </c>
      <c r="G26" s="35" t="s">
        <v>683</v>
      </c>
      <c r="H26" s="24" t="s">
        <v>684</v>
      </c>
      <c r="I26" s="24" t="s">
        <v>685</v>
      </c>
    </row>
    <row r="27" spans="1:9" ht="19.05" customHeight="1">
      <c r="A27" s="46" t="s">
        <v>680</v>
      </c>
      <c r="B27" s="15" t="s">
        <v>681</v>
      </c>
      <c r="C27" s="12">
        <v>100</v>
      </c>
      <c r="D27" s="40">
        <v>0.20669999999999999</v>
      </c>
      <c r="E27" s="40">
        <v>0.20402000000000001</v>
      </c>
      <c r="F27" s="35" t="s">
        <v>682</v>
      </c>
      <c r="G27" s="35" t="s">
        <v>683</v>
      </c>
      <c r="H27" s="24" t="s">
        <v>684</v>
      </c>
      <c r="I27" s="24" t="s">
        <v>685</v>
      </c>
    </row>
    <row r="28" spans="1:9" ht="19.05" customHeight="1">
      <c r="A28" s="47" t="s">
        <v>686</v>
      </c>
      <c r="B28" s="48" t="s">
        <v>686</v>
      </c>
      <c r="C28" s="36">
        <v>0</v>
      </c>
      <c r="D28" s="41">
        <v>1.8100000000000001E-4</v>
      </c>
      <c r="E28" s="41">
        <v>1.65E-4</v>
      </c>
      <c r="F28" s="37" t="s">
        <v>682</v>
      </c>
      <c r="G28" s="37" t="s">
        <v>683</v>
      </c>
      <c r="H28" s="51" t="s">
        <v>687</v>
      </c>
      <c r="I28" s="51" t="s">
        <v>685</v>
      </c>
    </row>
    <row r="29" spans="1:9" ht="19.05" customHeight="1">
      <c r="A29" s="46" t="s">
        <v>686</v>
      </c>
      <c r="B29" s="15" t="s">
        <v>686</v>
      </c>
      <c r="C29" s="12">
        <v>5</v>
      </c>
      <c r="D29" s="42">
        <v>1.7E-5</v>
      </c>
      <c r="E29" s="42">
        <v>1.5999999999999999E-5</v>
      </c>
      <c r="F29" s="35" t="s">
        <v>682</v>
      </c>
      <c r="G29" s="35" t="s">
        <v>683</v>
      </c>
      <c r="H29" s="24" t="s">
        <v>687</v>
      </c>
      <c r="I29" s="24" t="s">
        <v>685</v>
      </c>
    </row>
    <row r="30" spans="1:9" ht="19.05" customHeight="1">
      <c r="A30" s="46" t="s">
        <v>686</v>
      </c>
      <c r="B30" s="15" t="s">
        <v>686</v>
      </c>
      <c r="C30" s="12">
        <v>10</v>
      </c>
      <c r="D30" s="42">
        <v>1.4E-5</v>
      </c>
      <c r="E30" s="42">
        <v>1.2999999999999999E-5</v>
      </c>
      <c r="F30" s="35" t="s">
        <v>682</v>
      </c>
      <c r="G30" s="35" t="s">
        <v>683</v>
      </c>
      <c r="H30" s="24" t="s">
        <v>687</v>
      </c>
      <c r="I30" s="24" t="s">
        <v>685</v>
      </c>
    </row>
    <row r="31" spans="1:9" ht="19.05" customHeight="1">
      <c r="A31" s="46" t="s">
        <v>686</v>
      </c>
      <c r="B31" s="15" t="s">
        <v>686</v>
      </c>
      <c r="C31" s="12">
        <v>15</v>
      </c>
      <c r="D31" s="42">
        <v>5.5999999999999999E-5</v>
      </c>
      <c r="E31" s="42">
        <v>2.0000000000000002E-5</v>
      </c>
      <c r="F31" s="35" t="s">
        <v>682</v>
      </c>
      <c r="G31" s="35" t="s">
        <v>683</v>
      </c>
      <c r="H31" s="24" t="s">
        <v>687</v>
      </c>
      <c r="I31" s="24" t="s">
        <v>685</v>
      </c>
    </row>
    <row r="32" spans="1:9" ht="19.05" customHeight="1">
      <c r="A32" s="46" t="s">
        <v>686</v>
      </c>
      <c r="B32" s="15" t="s">
        <v>686</v>
      </c>
      <c r="C32" s="12">
        <v>20</v>
      </c>
      <c r="D32" s="42">
        <v>9.7E-5</v>
      </c>
      <c r="E32" s="42">
        <v>4.1999999999999998E-5</v>
      </c>
      <c r="F32" s="35" t="s">
        <v>682</v>
      </c>
      <c r="G32" s="35" t="s">
        <v>683</v>
      </c>
      <c r="H32" s="24" t="s">
        <v>687</v>
      </c>
      <c r="I32" s="24" t="s">
        <v>685</v>
      </c>
    </row>
    <row r="33" spans="1:9" ht="19.05" customHeight="1">
      <c r="A33" s="46" t="s">
        <v>686</v>
      </c>
      <c r="B33" s="15" t="s">
        <v>686</v>
      </c>
      <c r="C33" s="12">
        <v>25</v>
      </c>
      <c r="D33" s="42">
        <v>1.17E-4</v>
      </c>
      <c r="E33" s="42">
        <v>3.6999999999999998E-5</v>
      </c>
      <c r="F33" s="35" t="s">
        <v>682</v>
      </c>
      <c r="G33" s="35" t="s">
        <v>683</v>
      </c>
      <c r="H33" s="24" t="s">
        <v>687</v>
      </c>
      <c r="I33" s="24" t="s">
        <v>685</v>
      </c>
    </row>
    <row r="34" spans="1:9" ht="19.05" customHeight="1">
      <c r="A34" s="46" t="s">
        <v>686</v>
      </c>
      <c r="B34" s="15" t="s">
        <v>686</v>
      </c>
      <c r="C34" s="12">
        <v>30</v>
      </c>
      <c r="D34" s="42">
        <v>1.1E-4</v>
      </c>
      <c r="E34" s="42">
        <v>3.4E-5</v>
      </c>
      <c r="F34" s="35" t="s">
        <v>682</v>
      </c>
      <c r="G34" s="35" t="s">
        <v>683</v>
      </c>
      <c r="H34" s="24" t="s">
        <v>687</v>
      </c>
      <c r="I34" s="24" t="s">
        <v>685</v>
      </c>
    </row>
    <row r="35" spans="1:9" ht="19.05" customHeight="1">
      <c r="A35" s="46" t="s">
        <v>686</v>
      </c>
      <c r="B35" s="15" t="s">
        <v>686</v>
      </c>
      <c r="C35" s="12">
        <v>35</v>
      </c>
      <c r="D35" s="42">
        <v>1.13E-4</v>
      </c>
      <c r="E35" s="42">
        <v>3.6000000000000001E-5</v>
      </c>
      <c r="F35" s="35" t="s">
        <v>682</v>
      </c>
      <c r="G35" s="35" t="s">
        <v>683</v>
      </c>
      <c r="H35" s="24" t="s">
        <v>687</v>
      </c>
      <c r="I35" s="24" t="s">
        <v>685</v>
      </c>
    </row>
    <row r="36" spans="1:9" ht="19.05" customHeight="1">
      <c r="A36" s="46" t="s">
        <v>686</v>
      </c>
      <c r="B36" s="15" t="s">
        <v>686</v>
      </c>
      <c r="C36" s="12">
        <v>40</v>
      </c>
      <c r="D36" s="42">
        <v>1.21E-4</v>
      </c>
      <c r="E36" s="42">
        <v>3.3000000000000003E-5</v>
      </c>
      <c r="F36" s="35" t="s">
        <v>682</v>
      </c>
      <c r="G36" s="35" t="s">
        <v>683</v>
      </c>
      <c r="H36" s="24" t="s">
        <v>687</v>
      </c>
      <c r="I36" s="24" t="s">
        <v>685</v>
      </c>
    </row>
    <row r="37" spans="1:9" ht="19.05" customHeight="1">
      <c r="A37" s="46" t="s">
        <v>686</v>
      </c>
      <c r="B37" s="15" t="s">
        <v>686</v>
      </c>
      <c r="C37" s="12">
        <v>45</v>
      </c>
      <c r="D37" s="42">
        <v>1.36E-4</v>
      </c>
      <c r="E37" s="42">
        <v>3.6000000000000001E-5</v>
      </c>
      <c r="F37" s="35" t="s">
        <v>682</v>
      </c>
      <c r="G37" s="35" t="s">
        <v>683</v>
      </c>
      <c r="H37" s="24" t="s">
        <v>687</v>
      </c>
      <c r="I37" s="24" t="s">
        <v>685</v>
      </c>
    </row>
    <row r="38" spans="1:9" ht="19.05" customHeight="1">
      <c r="A38" s="46" t="s">
        <v>686</v>
      </c>
      <c r="B38" s="15" t="s">
        <v>686</v>
      </c>
      <c r="C38" s="12">
        <v>50</v>
      </c>
      <c r="D38" s="42">
        <v>1.85E-4</v>
      </c>
      <c r="E38" s="42">
        <v>4.5000000000000003E-5</v>
      </c>
      <c r="F38" s="35" t="s">
        <v>682</v>
      </c>
      <c r="G38" s="35" t="s">
        <v>683</v>
      </c>
      <c r="H38" s="24" t="s">
        <v>687</v>
      </c>
      <c r="I38" s="24" t="s">
        <v>685</v>
      </c>
    </row>
    <row r="39" spans="1:9" ht="19.05" customHeight="1">
      <c r="A39" s="46" t="s">
        <v>686</v>
      </c>
      <c r="B39" s="15" t="s">
        <v>686</v>
      </c>
      <c r="C39" s="12">
        <v>55</v>
      </c>
      <c r="D39" s="42">
        <v>2.4399999999999999E-4</v>
      </c>
      <c r="E39" s="42">
        <v>6.6000000000000005E-5</v>
      </c>
      <c r="F39" s="35" t="s">
        <v>682</v>
      </c>
      <c r="G39" s="35" t="s">
        <v>683</v>
      </c>
      <c r="H39" s="24" t="s">
        <v>687</v>
      </c>
      <c r="I39" s="24" t="s">
        <v>685</v>
      </c>
    </row>
    <row r="40" spans="1:9" ht="19.05" customHeight="1">
      <c r="A40" s="46" t="s">
        <v>686</v>
      </c>
      <c r="B40" s="15" t="s">
        <v>686</v>
      </c>
      <c r="C40" s="12">
        <v>60</v>
      </c>
      <c r="D40" s="42">
        <v>3.3199999999999999E-4</v>
      </c>
      <c r="E40" s="42">
        <v>8.3999999999999995E-5</v>
      </c>
      <c r="F40" s="35" t="s">
        <v>682</v>
      </c>
      <c r="G40" s="35" t="s">
        <v>683</v>
      </c>
      <c r="H40" s="24" t="s">
        <v>687</v>
      </c>
      <c r="I40" s="24" t="s">
        <v>685</v>
      </c>
    </row>
    <row r="41" spans="1:9" ht="19.05" customHeight="1">
      <c r="A41" s="46" t="s">
        <v>686</v>
      </c>
      <c r="B41" s="15" t="s">
        <v>686</v>
      </c>
      <c r="C41" s="12">
        <v>65</v>
      </c>
      <c r="D41" s="42">
        <v>4.6299999999999998E-4</v>
      </c>
      <c r="E41" s="42">
        <v>1.27E-4</v>
      </c>
      <c r="F41" s="35" t="s">
        <v>682</v>
      </c>
      <c r="G41" s="35" t="s">
        <v>683</v>
      </c>
      <c r="H41" s="24" t="s">
        <v>687</v>
      </c>
      <c r="I41" s="24" t="s">
        <v>685</v>
      </c>
    </row>
    <row r="42" spans="1:9" ht="19.05" customHeight="1">
      <c r="A42" s="46" t="s">
        <v>686</v>
      </c>
      <c r="B42" s="15" t="s">
        <v>686</v>
      </c>
      <c r="C42" s="12">
        <v>70</v>
      </c>
      <c r="D42" s="42">
        <v>5.9000000000000003E-4</v>
      </c>
      <c r="E42" s="42">
        <v>1.9799999999999999E-4</v>
      </c>
      <c r="F42" s="35" t="s">
        <v>682</v>
      </c>
      <c r="G42" s="35" t="s">
        <v>683</v>
      </c>
      <c r="H42" s="24" t="s">
        <v>687</v>
      </c>
      <c r="I42" s="24" t="s">
        <v>685</v>
      </c>
    </row>
    <row r="43" spans="1:9" ht="19.05" customHeight="1">
      <c r="A43" s="46" t="s">
        <v>686</v>
      </c>
      <c r="B43" s="15" t="s">
        <v>686</v>
      </c>
      <c r="C43" s="12">
        <v>75</v>
      </c>
      <c r="D43" s="42">
        <v>7.6599999999999997E-4</v>
      </c>
      <c r="E43" s="42">
        <v>3.1E-4</v>
      </c>
      <c r="F43" s="35" t="s">
        <v>682</v>
      </c>
      <c r="G43" s="35" t="s">
        <v>683</v>
      </c>
      <c r="H43" s="24" t="s">
        <v>687</v>
      </c>
      <c r="I43" s="24" t="s">
        <v>685</v>
      </c>
    </row>
    <row r="44" spans="1:9" ht="19.05" customHeight="1">
      <c r="A44" s="46" t="s">
        <v>686</v>
      </c>
      <c r="B44" s="15" t="s">
        <v>686</v>
      </c>
      <c r="C44" s="12">
        <v>80</v>
      </c>
      <c r="D44" s="42">
        <v>9.7599999999999998E-4</v>
      </c>
      <c r="E44" s="42">
        <v>4.6500000000000003E-4</v>
      </c>
      <c r="F44" s="35" t="s">
        <v>682</v>
      </c>
      <c r="G44" s="35" t="s">
        <v>683</v>
      </c>
      <c r="H44" s="24" t="s">
        <v>687</v>
      </c>
      <c r="I44" s="24" t="s">
        <v>685</v>
      </c>
    </row>
    <row r="45" spans="1:9" ht="19.05" customHeight="1">
      <c r="A45" s="46" t="s">
        <v>686</v>
      </c>
      <c r="B45" s="15" t="s">
        <v>686</v>
      </c>
      <c r="C45" s="12">
        <v>85</v>
      </c>
      <c r="D45" s="42">
        <v>1.1919999999999999E-3</v>
      </c>
      <c r="E45" s="42">
        <v>7.4700000000000005E-4</v>
      </c>
      <c r="F45" s="35" t="s">
        <v>682</v>
      </c>
      <c r="G45" s="35" t="s">
        <v>683</v>
      </c>
      <c r="H45" s="24" t="s">
        <v>687</v>
      </c>
      <c r="I45" s="24" t="s">
        <v>685</v>
      </c>
    </row>
    <row r="46" spans="1:9" ht="19.05" customHeight="1">
      <c r="A46" s="46" t="s">
        <v>686</v>
      </c>
      <c r="B46" s="15" t="s">
        <v>686</v>
      </c>
      <c r="C46" s="12">
        <v>90</v>
      </c>
      <c r="D46" s="42">
        <v>1.928E-3</v>
      </c>
      <c r="E46" s="42">
        <v>1.5319999999999999E-3</v>
      </c>
      <c r="F46" s="35" t="s">
        <v>682</v>
      </c>
      <c r="G46" s="35" t="s">
        <v>683</v>
      </c>
      <c r="H46" s="24" t="s">
        <v>687</v>
      </c>
      <c r="I46" s="24" t="s">
        <v>685</v>
      </c>
    </row>
    <row r="47" spans="1:9" ht="19.05" customHeight="1">
      <c r="A47" s="46" t="s">
        <v>686</v>
      </c>
      <c r="B47" s="15" t="s">
        <v>686</v>
      </c>
      <c r="C47" s="12">
        <v>95</v>
      </c>
      <c r="D47" s="42">
        <v>2.9610000000000001E-3</v>
      </c>
      <c r="E47" s="42">
        <v>2.673E-3</v>
      </c>
      <c r="F47" s="35" t="s">
        <v>682</v>
      </c>
      <c r="G47" s="35" t="s">
        <v>683</v>
      </c>
      <c r="H47" s="24" t="s">
        <v>687</v>
      </c>
      <c r="I47" s="24" t="s">
        <v>685</v>
      </c>
    </row>
    <row r="48" spans="1:9" ht="19.05" customHeight="1">
      <c r="A48" s="46" t="s">
        <v>686</v>
      </c>
      <c r="B48" s="15" t="s">
        <v>686</v>
      </c>
      <c r="C48" s="12">
        <v>100</v>
      </c>
      <c r="D48" s="42">
        <v>4.516E-3</v>
      </c>
      <c r="E48" s="42">
        <v>4.2240000000000003E-3</v>
      </c>
      <c r="F48" s="35" t="s">
        <v>682</v>
      </c>
      <c r="G48" s="35" t="s">
        <v>683</v>
      </c>
      <c r="H48" s="24" t="s">
        <v>687</v>
      </c>
      <c r="I48" s="24" t="s">
        <v>685</v>
      </c>
    </row>
    <row r="49" spans="1:9" ht="19.05" customHeight="1">
      <c r="A49" s="47" t="s">
        <v>688</v>
      </c>
      <c r="B49" s="48" t="s">
        <v>688</v>
      </c>
      <c r="C49" s="36">
        <v>0</v>
      </c>
      <c r="D49" s="41">
        <v>4.1899999999999999E-4</v>
      </c>
      <c r="E49" s="41">
        <v>3.8999999999999999E-4</v>
      </c>
      <c r="F49" s="37" t="s">
        <v>689</v>
      </c>
      <c r="G49" s="37" t="s">
        <v>683</v>
      </c>
      <c r="H49" s="51" t="s">
        <v>684</v>
      </c>
      <c r="I49" s="51" t="s">
        <v>685</v>
      </c>
    </row>
    <row r="50" spans="1:9" ht="19.05" customHeight="1">
      <c r="A50" s="46" t="s">
        <v>688</v>
      </c>
      <c r="B50" s="15" t="s">
        <v>688</v>
      </c>
      <c r="C50" s="12">
        <v>10</v>
      </c>
      <c r="D50" s="42">
        <v>1.46E-4</v>
      </c>
      <c r="E50" s="42">
        <v>1.54E-4</v>
      </c>
      <c r="F50" s="35" t="s">
        <v>689</v>
      </c>
      <c r="G50" s="35" t="s">
        <v>683</v>
      </c>
      <c r="H50" s="24" t="s">
        <v>684</v>
      </c>
      <c r="I50" s="24" t="s">
        <v>685</v>
      </c>
    </row>
    <row r="51" spans="1:9" ht="19.05" customHeight="1">
      <c r="A51" s="46" t="s">
        <v>688</v>
      </c>
      <c r="B51" s="15" t="s">
        <v>688</v>
      </c>
      <c r="C51" s="12">
        <v>20</v>
      </c>
      <c r="D51" s="42">
        <v>2.9300000000000002E-4</v>
      </c>
      <c r="E51" s="42">
        <v>4.9200000000000003E-4</v>
      </c>
      <c r="F51" s="35" t="s">
        <v>689</v>
      </c>
      <c r="G51" s="35" t="s">
        <v>683</v>
      </c>
      <c r="H51" s="24" t="s">
        <v>684</v>
      </c>
      <c r="I51" s="24" t="s">
        <v>685</v>
      </c>
    </row>
    <row r="52" spans="1:9" ht="19.05" customHeight="1">
      <c r="A52" s="46" t="s">
        <v>688</v>
      </c>
      <c r="B52" s="15" t="s">
        <v>688</v>
      </c>
      <c r="C52" s="12">
        <v>30</v>
      </c>
      <c r="D52" s="42">
        <v>9.6299999999999999E-4</v>
      </c>
      <c r="E52" s="42">
        <v>2.1419999999999998E-3</v>
      </c>
      <c r="F52" s="35" t="s">
        <v>689</v>
      </c>
      <c r="G52" s="35" t="s">
        <v>683</v>
      </c>
      <c r="H52" s="24" t="s">
        <v>684</v>
      </c>
      <c r="I52" s="24" t="s">
        <v>685</v>
      </c>
    </row>
    <row r="53" spans="1:9" ht="19.05" customHeight="1">
      <c r="A53" s="46" t="s">
        <v>688</v>
      </c>
      <c r="B53" s="15" t="s">
        <v>688</v>
      </c>
      <c r="C53" s="12">
        <v>40</v>
      </c>
      <c r="D53" s="42">
        <v>2.0200000000000001E-3</v>
      </c>
      <c r="E53" s="42">
        <v>4.352E-3</v>
      </c>
      <c r="F53" s="35" t="s">
        <v>689</v>
      </c>
      <c r="G53" s="35" t="s">
        <v>683</v>
      </c>
      <c r="H53" s="24" t="s">
        <v>684</v>
      </c>
      <c r="I53" s="24" t="s">
        <v>685</v>
      </c>
    </row>
    <row r="54" spans="1:9" ht="19.05" customHeight="1">
      <c r="A54" s="46" t="s">
        <v>688</v>
      </c>
      <c r="B54" s="15" t="s">
        <v>688</v>
      </c>
      <c r="C54" s="12">
        <v>50</v>
      </c>
      <c r="D54" s="42">
        <v>3.5040000000000002E-3</v>
      </c>
      <c r="E54" s="42">
        <v>5.8180000000000003E-3</v>
      </c>
      <c r="F54" s="35" t="s">
        <v>689</v>
      </c>
      <c r="G54" s="35" t="s">
        <v>683</v>
      </c>
      <c r="H54" s="24" t="s">
        <v>684</v>
      </c>
      <c r="I54" s="24" t="s">
        <v>685</v>
      </c>
    </row>
    <row r="55" spans="1:9" ht="19.05" customHeight="1">
      <c r="A55" s="46" t="s">
        <v>688</v>
      </c>
      <c r="B55" s="15" t="s">
        <v>688</v>
      </c>
      <c r="C55" s="12">
        <v>60</v>
      </c>
      <c r="D55" s="42">
        <v>8.3020000000000004E-3</v>
      </c>
      <c r="E55" s="42">
        <v>6.6239999999999997E-3</v>
      </c>
      <c r="F55" s="35" t="s">
        <v>689</v>
      </c>
      <c r="G55" s="35" t="s">
        <v>683</v>
      </c>
      <c r="H55" s="24" t="s">
        <v>684</v>
      </c>
      <c r="I55" s="24" t="s">
        <v>685</v>
      </c>
    </row>
    <row r="56" spans="1:9" ht="19.05" customHeight="1">
      <c r="A56" s="46" t="s">
        <v>688</v>
      </c>
      <c r="B56" s="15" t="s">
        <v>688</v>
      </c>
      <c r="C56" s="12">
        <v>70</v>
      </c>
      <c r="D56" s="42">
        <v>1.6916E-2</v>
      </c>
      <c r="E56" s="42">
        <v>8.149E-3</v>
      </c>
      <c r="F56" s="35" t="s">
        <v>689</v>
      </c>
      <c r="G56" s="35" t="s">
        <v>683</v>
      </c>
      <c r="H56" s="24" t="s">
        <v>684</v>
      </c>
      <c r="I56" s="24" t="s">
        <v>685</v>
      </c>
    </row>
    <row r="57" spans="1:9" ht="19.05" customHeight="1">
      <c r="A57" s="46" t="s">
        <v>688</v>
      </c>
      <c r="B57" s="15" t="s">
        <v>688</v>
      </c>
      <c r="C57" s="12">
        <v>80</v>
      </c>
      <c r="D57" s="42">
        <v>2.7649E-2</v>
      </c>
      <c r="E57" s="42">
        <v>1.1148999999999999E-2</v>
      </c>
      <c r="F57" s="35" t="s">
        <v>689</v>
      </c>
      <c r="G57" s="35" t="s">
        <v>683</v>
      </c>
      <c r="H57" s="24" t="s">
        <v>684</v>
      </c>
      <c r="I57" s="24" t="s">
        <v>685</v>
      </c>
    </row>
    <row r="58" spans="1:9" ht="19.05" customHeight="1">
      <c r="A58" s="47" t="s">
        <v>690</v>
      </c>
      <c r="B58" s="48" t="s">
        <v>690</v>
      </c>
      <c r="C58" s="36">
        <v>0</v>
      </c>
      <c r="D58" s="41">
        <v>2.8899999999999998E-4</v>
      </c>
      <c r="E58" s="41">
        <v>2.0000000000000001E-4</v>
      </c>
      <c r="F58" s="37" t="s">
        <v>689</v>
      </c>
      <c r="G58" s="37" t="s">
        <v>683</v>
      </c>
      <c r="H58" s="51" t="s">
        <v>684</v>
      </c>
      <c r="I58" s="51" t="s">
        <v>685</v>
      </c>
    </row>
    <row r="59" spans="1:9" ht="19.05" customHeight="1">
      <c r="A59" s="46" t="s">
        <v>690</v>
      </c>
      <c r="B59" s="15" t="s">
        <v>690</v>
      </c>
      <c r="C59" s="12">
        <v>10</v>
      </c>
      <c r="D59" s="42">
        <v>2.8E-5</v>
      </c>
      <c r="E59" s="42">
        <v>2.4000000000000001E-5</v>
      </c>
      <c r="F59" s="35" t="s">
        <v>689</v>
      </c>
      <c r="G59" s="35" t="s">
        <v>683</v>
      </c>
      <c r="H59" s="24" t="s">
        <v>684</v>
      </c>
      <c r="I59" s="24" t="s">
        <v>685</v>
      </c>
    </row>
    <row r="60" spans="1:9" ht="19.05" customHeight="1">
      <c r="A60" s="46" t="s">
        <v>690</v>
      </c>
      <c r="B60" s="15" t="s">
        <v>690</v>
      </c>
      <c r="C60" s="12">
        <v>20</v>
      </c>
      <c r="D60" s="42">
        <v>7.3999999999999996E-5</v>
      </c>
      <c r="E60" s="42">
        <v>7.1000000000000005E-5</v>
      </c>
      <c r="F60" s="35" t="s">
        <v>689</v>
      </c>
      <c r="G60" s="35" t="s">
        <v>683</v>
      </c>
      <c r="H60" s="24" t="s">
        <v>684</v>
      </c>
      <c r="I60" s="24" t="s">
        <v>685</v>
      </c>
    </row>
    <row r="61" spans="1:9" ht="19.05" customHeight="1">
      <c r="A61" s="46" t="s">
        <v>690</v>
      </c>
      <c r="B61" s="15" t="s">
        <v>690</v>
      </c>
      <c r="C61" s="12">
        <v>30</v>
      </c>
      <c r="D61" s="42">
        <v>2.1900000000000001E-4</v>
      </c>
      <c r="E61" s="42">
        <v>1.8699999999999999E-4</v>
      </c>
      <c r="F61" s="35" t="s">
        <v>689</v>
      </c>
      <c r="G61" s="35" t="s">
        <v>683</v>
      </c>
      <c r="H61" s="24" t="s">
        <v>684</v>
      </c>
      <c r="I61" s="24" t="s">
        <v>685</v>
      </c>
    </row>
    <row r="62" spans="1:9" ht="19.05" customHeight="1">
      <c r="A62" s="46" t="s">
        <v>690</v>
      </c>
      <c r="B62" s="15" t="s">
        <v>690</v>
      </c>
      <c r="C62" s="12">
        <v>40</v>
      </c>
      <c r="D62" s="42">
        <v>7.0399999999999998E-4</v>
      </c>
      <c r="E62" s="42">
        <v>4.1599999999999997E-4</v>
      </c>
      <c r="F62" s="35" t="s">
        <v>689</v>
      </c>
      <c r="G62" s="35" t="s">
        <v>683</v>
      </c>
      <c r="H62" s="24" t="s">
        <v>684</v>
      </c>
      <c r="I62" s="24" t="s">
        <v>685</v>
      </c>
    </row>
    <row r="63" spans="1:9" ht="19.05" customHeight="1">
      <c r="A63" s="46" t="s">
        <v>690</v>
      </c>
      <c r="B63" s="15" t="s">
        <v>690</v>
      </c>
      <c r="C63" s="12">
        <v>50</v>
      </c>
      <c r="D63" s="42">
        <v>1.456E-3</v>
      </c>
      <c r="E63" s="42">
        <v>8.9700000000000001E-4</v>
      </c>
      <c r="F63" s="35" t="s">
        <v>689</v>
      </c>
      <c r="G63" s="35" t="s">
        <v>683</v>
      </c>
      <c r="H63" s="24" t="s">
        <v>684</v>
      </c>
      <c r="I63" s="24" t="s">
        <v>685</v>
      </c>
    </row>
    <row r="64" spans="1:9" ht="19.05" customHeight="1">
      <c r="A64" s="46" t="s">
        <v>690</v>
      </c>
      <c r="B64" s="15" t="s">
        <v>690</v>
      </c>
      <c r="C64" s="12">
        <v>60</v>
      </c>
      <c r="D64" s="42">
        <v>3.0929999999999998E-3</v>
      </c>
      <c r="E64" s="42">
        <v>1.696E-3</v>
      </c>
      <c r="F64" s="35" t="s">
        <v>689</v>
      </c>
      <c r="G64" s="35" t="s">
        <v>683</v>
      </c>
      <c r="H64" s="24" t="s">
        <v>684</v>
      </c>
      <c r="I64" s="24" t="s">
        <v>685</v>
      </c>
    </row>
    <row r="65" spans="1:9" ht="19.05" customHeight="1">
      <c r="A65" s="46" t="s">
        <v>690</v>
      </c>
      <c r="B65" s="15" t="s">
        <v>690</v>
      </c>
      <c r="C65" s="12">
        <v>70</v>
      </c>
      <c r="D65" s="42">
        <v>5.5700000000000003E-3</v>
      </c>
      <c r="E65" s="42">
        <v>3.5869999999999999E-3</v>
      </c>
      <c r="F65" s="35" t="s">
        <v>689</v>
      </c>
      <c r="G65" s="35" t="s">
        <v>683</v>
      </c>
      <c r="H65" s="24" t="s">
        <v>684</v>
      </c>
      <c r="I65" s="24" t="s">
        <v>685</v>
      </c>
    </row>
    <row r="66" spans="1:9" ht="19.05" customHeight="1">
      <c r="A66" s="46" t="s">
        <v>690</v>
      </c>
      <c r="B66" s="15" t="s">
        <v>690</v>
      </c>
      <c r="C66" s="12">
        <v>80</v>
      </c>
      <c r="D66" s="42">
        <v>9.0209999999999995E-3</v>
      </c>
      <c r="E66" s="42">
        <v>7.0109999999999999E-3</v>
      </c>
      <c r="F66" s="35" t="s">
        <v>689</v>
      </c>
      <c r="G66" s="35" t="s">
        <v>683</v>
      </c>
      <c r="H66" s="24" t="s">
        <v>684</v>
      </c>
      <c r="I66" s="24" t="s">
        <v>685</v>
      </c>
    </row>
    <row r="67" spans="1:9" ht="19.05" customHeight="1">
      <c r="A67" s="47" t="s">
        <v>691</v>
      </c>
      <c r="B67" s="48" t="s">
        <v>691</v>
      </c>
      <c r="C67" s="36">
        <v>0</v>
      </c>
      <c r="D67" s="41">
        <v>1.9999999999999999E-6</v>
      </c>
      <c r="E67" s="41">
        <v>3.0000000000000001E-6</v>
      </c>
      <c r="F67" s="37" t="s">
        <v>689</v>
      </c>
      <c r="G67" s="37" t="s">
        <v>683</v>
      </c>
      <c r="H67" s="51" t="s">
        <v>684</v>
      </c>
      <c r="I67" s="51" t="s">
        <v>685</v>
      </c>
    </row>
    <row r="68" spans="1:9" ht="19.05" customHeight="1">
      <c r="A68" s="46" t="s">
        <v>691</v>
      </c>
      <c r="B68" s="15" t="s">
        <v>691</v>
      </c>
      <c r="C68" s="12">
        <v>10</v>
      </c>
      <c r="D68" s="42">
        <v>3.0000000000000001E-6</v>
      </c>
      <c r="E68" s="42">
        <v>9.9999999999999995E-7</v>
      </c>
      <c r="F68" s="35" t="s">
        <v>689</v>
      </c>
      <c r="G68" s="35" t="s">
        <v>683</v>
      </c>
      <c r="H68" s="24" t="s">
        <v>684</v>
      </c>
      <c r="I68" s="24" t="s">
        <v>685</v>
      </c>
    </row>
    <row r="69" spans="1:9" ht="19.05" customHeight="1">
      <c r="A69" s="46" t="s">
        <v>691</v>
      </c>
      <c r="B69" s="15" t="s">
        <v>691</v>
      </c>
      <c r="C69" s="12">
        <v>20</v>
      </c>
      <c r="D69" s="42">
        <v>2.3E-5</v>
      </c>
      <c r="E69" s="42">
        <v>6.9999999999999999E-6</v>
      </c>
      <c r="F69" s="35" t="s">
        <v>689</v>
      </c>
      <c r="G69" s="35" t="s">
        <v>683</v>
      </c>
      <c r="H69" s="24" t="s">
        <v>684</v>
      </c>
      <c r="I69" s="24" t="s">
        <v>685</v>
      </c>
    </row>
    <row r="70" spans="1:9" ht="19.05" customHeight="1">
      <c r="A70" s="46" t="s">
        <v>691</v>
      </c>
      <c r="B70" s="15" t="s">
        <v>691</v>
      </c>
      <c r="C70" s="12">
        <v>30</v>
      </c>
      <c r="D70" s="42">
        <v>8.1000000000000004E-5</v>
      </c>
      <c r="E70" s="42">
        <v>1.8E-5</v>
      </c>
      <c r="F70" s="35" t="s">
        <v>689</v>
      </c>
      <c r="G70" s="35" t="s">
        <v>683</v>
      </c>
      <c r="H70" s="24" t="s">
        <v>684</v>
      </c>
      <c r="I70" s="24" t="s">
        <v>685</v>
      </c>
    </row>
    <row r="71" spans="1:9" ht="19.05" customHeight="1">
      <c r="A71" s="46" t="s">
        <v>691</v>
      </c>
      <c r="B71" s="15" t="s">
        <v>691</v>
      </c>
      <c r="C71" s="12">
        <v>40</v>
      </c>
      <c r="D71" s="42">
        <v>3.3799999999999998E-4</v>
      </c>
      <c r="E71" s="42">
        <v>3.8999999999999999E-5</v>
      </c>
      <c r="F71" s="35" t="s">
        <v>689</v>
      </c>
      <c r="G71" s="35" t="s">
        <v>683</v>
      </c>
      <c r="H71" s="24" t="s">
        <v>684</v>
      </c>
      <c r="I71" s="24" t="s">
        <v>685</v>
      </c>
    </row>
    <row r="72" spans="1:9" ht="19.05" customHeight="1">
      <c r="A72" s="46" t="s">
        <v>691</v>
      </c>
      <c r="B72" s="15" t="s">
        <v>691</v>
      </c>
      <c r="C72" s="12">
        <v>50</v>
      </c>
      <c r="D72" s="42">
        <v>8.2799999999999996E-4</v>
      </c>
      <c r="E72" s="42">
        <v>9.3999999999999994E-5</v>
      </c>
      <c r="F72" s="35" t="s">
        <v>689</v>
      </c>
      <c r="G72" s="35" t="s">
        <v>683</v>
      </c>
      <c r="H72" s="24" t="s">
        <v>684</v>
      </c>
      <c r="I72" s="24" t="s">
        <v>685</v>
      </c>
    </row>
    <row r="73" spans="1:9" ht="19.05" customHeight="1">
      <c r="A73" s="46" t="s">
        <v>691</v>
      </c>
      <c r="B73" s="15" t="s">
        <v>691</v>
      </c>
      <c r="C73" s="12">
        <v>60</v>
      </c>
      <c r="D73" s="42">
        <v>1.354E-3</v>
      </c>
      <c r="E73" s="42">
        <v>2.1599999999999999E-4</v>
      </c>
      <c r="F73" s="35" t="s">
        <v>689</v>
      </c>
      <c r="G73" s="35" t="s">
        <v>683</v>
      </c>
      <c r="H73" s="24" t="s">
        <v>684</v>
      </c>
      <c r="I73" s="24" t="s">
        <v>685</v>
      </c>
    </row>
    <row r="74" spans="1:9" ht="19.05" customHeight="1">
      <c r="A74" s="46" t="s">
        <v>691</v>
      </c>
      <c r="B74" s="15" t="s">
        <v>691</v>
      </c>
      <c r="C74" s="12">
        <v>70</v>
      </c>
      <c r="D74" s="42">
        <v>1.9139999999999999E-3</v>
      </c>
      <c r="E74" s="42">
        <v>5.9999999999999995E-4</v>
      </c>
      <c r="F74" s="35" t="s">
        <v>689</v>
      </c>
      <c r="G74" s="35" t="s">
        <v>683</v>
      </c>
      <c r="H74" s="24" t="s">
        <v>684</v>
      </c>
      <c r="I74" s="24" t="s">
        <v>685</v>
      </c>
    </row>
    <row r="75" spans="1:9" ht="19.05" customHeight="1">
      <c r="A75" s="49" t="s">
        <v>691</v>
      </c>
      <c r="B75" s="16" t="s">
        <v>691</v>
      </c>
      <c r="C75" s="13">
        <v>80</v>
      </c>
      <c r="D75" s="43">
        <v>2.4459999999999998E-3</v>
      </c>
      <c r="E75" s="43">
        <v>1.2260000000000001E-3</v>
      </c>
      <c r="F75" s="38" t="s">
        <v>689</v>
      </c>
      <c r="G75" s="38" t="s">
        <v>683</v>
      </c>
      <c r="H75" s="25" t="s">
        <v>684</v>
      </c>
      <c r="I75" s="25" t="s">
        <v>685</v>
      </c>
    </row>
  </sheetData>
  <mergeCells count="3">
    <mergeCell ref="A1:I2"/>
    <mergeCell ref="A3:I3"/>
    <mergeCell ref="A4:I4"/>
  </mergeCells>
  <phoneticPr fontId="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51"/>
  <sheetViews>
    <sheetView showGridLines="0" workbookViewId="0">
      <selection sqref="A1:J2"/>
    </sheetView>
  </sheetViews>
  <sheetFormatPr defaultRowHeight="13.8"/>
  <cols>
    <col min="1" max="1" width="22" customWidth="1"/>
    <col min="2" max="2" width="33" customWidth="1"/>
    <col min="3" max="3" width="11" customWidth="1"/>
    <col min="4" max="5" width="15" customWidth="1"/>
    <col min="6" max="6" width="13" customWidth="1"/>
    <col min="7" max="7" width="18" customWidth="1"/>
    <col min="8" max="8" width="13" customWidth="1"/>
    <col min="9" max="9" width="17" customWidth="1"/>
    <col min="10" max="10" width="46" customWidth="1"/>
  </cols>
  <sheetData>
    <row r="1" spans="1:10" ht="28.05" customHeight="1">
      <c r="A1" s="137" t="s">
        <v>692</v>
      </c>
      <c r="B1" s="137"/>
      <c r="C1" s="137"/>
      <c r="D1" s="137"/>
      <c r="E1" s="137"/>
      <c r="F1" s="137"/>
      <c r="G1" s="137"/>
      <c r="H1" s="137"/>
      <c r="I1" s="137"/>
      <c r="J1" s="137"/>
    </row>
    <row r="2" spans="1:10" ht="28.0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</row>
    <row r="3" spans="1:10" ht="28.05" customHeight="1">
      <c r="A3" s="138" t="s">
        <v>693</v>
      </c>
      <c r="B3" s="138"/>
      <c r="C3" s="138"/>
      <c r="D3" s="138"/>
      <c r="E3" s="138"/>
      <c r="F3" s="138"/>
      <c r="G3" s="138"/>
      <c r="H3" s="138"/>
      <c r="I3" s="138"/>
      <c r="J3" s="138"/>
    </row>
    <row r="4" spans="1:10" ht="34.049999999999997" customHeight="1">
      <c r="A4" s="139" t="s">
        <v>694</v>
      </c>
      <c r="B4" s="139"/>
      <c r="C4" s="139"/>
      <c r="D4" s="139"/>
      <c r="E4" s="139"/>
      <c r="F4" s="139"/>
      <c r="G4" s="139"/>
      <c r="H4" s="139"/>
      <c r="I4" s="139"/>
      <c r="J4" s="139"/>
    </row>
    <row r="6" spans="1:10" ht="34.049999999999997" customHeight="1">
      <c r="A6" s="32" t="s">
        <v>672</v>
      </c>
      <c r="B6" s="32" t="s">
        <v>673</v>
      </c>
      <c r="C6" s="32" t="s">
        <v>674</v>
      </c>
      <c r="D6" s="32" t="s">
        <v>675</v>
      </c>
      <c r="E6" s="32" t="s">
        <v>676</v>
      </c>
      <c r="F6" s="32" t="s">
        <v>695</v>
      </c>
      <c r="G6" s="32" t="s">
        <v>696</v>
      </c>
      <c r="H6" s="32" t="s">
        <v>677</v>
      </c>
      <c r="I6" s="32" t="s">
        <v>678</v>
      </c>
      <c r="J6" s="32" t="s">
        <v>547</v>
      </c>
    </row>
    <row r="7" spans="1:10">
      <c r="A7" s="14" t="s">
        <v>680</v>
      </c>
      <c r="B7" s="14" t="s">
        <v>681</v>
      </c>
      <c r="C7" s="11">
        <v>0</v>
      </c>
      <c r="D7" s="53">
        <f>'보험개발원 위험률'!D7</f>
        <v>1.56E-3</v>
      </c>
      <c r="E7" s="53">
        <f>'보험개발원 위험률'!E7</f>
        <v>1.4499999999999999E-3</v>
      </c>
      <c r="F7" s="52" t="s">
        <v>697</v>
      </c>
      <c r="G7" s="52" t="s">
        <v>698</v>
      </c>
      <c r="H7" s="52" t="s">
        <v>682</v>
      </c>
      <c r="I7" s="52" t="s">
        <v>683</v>
      </c>
      <c r="J7" s="23" t="s">
        <v>685</v>
      </c>
    </row>
    <row r="8" spans="1:10">
      <c r="A8" s="15" t="s">
        <v>680</v>
      </c>
      <c r="B8" s="15" t="s">
        <v>681</v>
      </c>
      <c r="C8" s="12">
        <v>1</v>
      </c>
      <c r="D8" s="54">
        <f>'보험개발원 위험률'!D7+('보험개발원 위험률'!D8-'보험개발원 위험률'!D7)*(C8-'보험개발원 위험률'!C7)/('보험개발원 위험률'!C8-'보험개발원 위험률'!C7)</f>
        <v>1.256E-3</v>
      </c>
      <c r="E8" s="54">
        <f>'보험개발원 위험률'!E7+('보험개발원 위험률'!E8-'보험개발원 위험률'!E7)*(C8-'보험개발원 위험률'!C7)/('보험개발원 위험률'!C8-'보험개발원 위험률'!C7)</f>
        <v>1.168E-3</v>
      </c>
      <c r="F8" s="35" t="s">
        <v>699</v>
      </c>
      <c r="G8" s="35" t="s">
        <v>700</v>
      </c>
      <c r="H8" s="35" t="s">
        <v>682</v>
      </c>
      <c r="I8" s="35" t="s">
        <v>683</v>
      </c>
      <c r="J8" s="24" t="s">
        <v>685</v>
      </c>
    </row>
    <row r="9" spans="1:10">
      <c r="A9" s="15" t="s">
        <v>680</v>
      </c>
      <c r="B9" s="15" t="s">
        <v>681</v>
      </c>
      <c r="C9" s="12">
        <v>2</v>
      </c>
      <c r="D9" s="54">
        <f>'보험개발원 위험률'!D7+('보험개발원 위험률'!D8-'보험개발원 위험률'!D7)*(C9-'보험개발원 위험률'!C7)/('보험개발원 위험률'!C8-'보험개발원 위험률'!C7)</f>
        <v>9.5200000000000005E-4</v>
      </c>
      <c r="E9" s="54">
        <f>'보험개발원 위험률'!E7+('보험개발원 위험률'!E8-'보험개발원 위험률'!E7)*(C9-'보험개발원 위험률'!C7)/('보험개발원 위험률'!C8-'보험개발원 위험률'!C7)</f>
        <v>8.8599999999999996E-4</v>
      </c>
      <c r="F9" s="35" t="s">
        <v>699</v>
      </c>
      <c r="G9" s="35" t="s">
        <v>700</v>
      </c>
      <c r="H9" s="35" t="s">
        <v>682</v>
      </c>
      <c r="I9" s="35" t="s">
        <v>683</v>
      </c>
      <c r="J9" s="24" t="s">
        <v>685</v>
      </c>
    </row>
    <row r="10" spans="1:10">
      <c r="A10" s="15" t="s">
        <v>680</v>
      </c>
      <c r="B10" s="15" t="s">
        <v>681</v>
      </c>
      <c r="C10" s="12">
        <v>3</v>
      </c>
      <c r="D10" s="54">
        <f>'보험개발원 위험률'!D7+('보험개발원 위험률'!D8-'보험개발원 위험률'!D7)*(C10-'보험개발원 위험률'!C7)/('보험개발원 위험률'!C8-'보험개발원 위험률'!C7)</f>
        <v>6.4800000000000003E-4</v>
      </c>
      <c r="E10" s="54">
        <f>'보험개발원 위험률'!E7+('보험개발원 위험률'!E8-'보험개발원 위험률'!E7)*(C10-'보험개발원 위험률'!C7)/('보험개발원 위험률'!C8-'보험개발원 위험률'!C7)</f>
        <v>6.0400000000000004E-4</v>
      </c>
      <c r="F10" s="35" t="s">
        <v>699</v>
      </c>
      <c r="G10" s="35" t="s">
        <v>700</v>
      </c>
      <c r="H10" s="35" t="s">
        <v>682</v>
      </c>
      <c r="I10" s="35" t="s">
        <v>683</v>
      </c>
      <c r="J10" s="24" t="s">
        <v>685</v>
      </c>
    </row>
    <row r="11" spans="1:10">
      <c r="A11" s="15" t="s">
        <v>680</v>
      </c>
      <c r="B11" s="15" t="s">
        <v>681</v>
      </c>
      <c r="C11" s="12">
        <v>4</v>
      </c>
      <c r="D11" s="54">
        <f>'보험개발원 위험률'!D7+('보험개발원 위험률'!D8-'보험개발원 위험률'!D7)*(C11-'보험개발원 위험률'!C7)/('보험개발원 위험률'!C8-'보험개발원 위험률'!C7)</f>
        <v>3.4400000000000012E-4</v>
      </c>
      <c r="E11" s="54">
        <f>'보험개발원 위험률'!E7+('보험개발원 위험률'!E8-'보험개발원 위험률'!E7)*(C11-'보험개발원 위험률'!C7)/('보험개발원 위험률'!C8-'보험개발원 위험률'!C7)</f>
        <v>3.2200000000000002E-4</v>
      </c>
      <c r="F11" s="35" t="s">
        <v>699</v>
      </c>
      <c r="G11" s="35" t="s">
        <v>700</v>
      </c>
      <c r="H11" s="35" t="s">
        <v>682</v>
      </c>
      <c r="I11" s="35" t="s">
        <v>683</v>
      </c>
      <c r="J11" s="24" t="s">
        <v>685</v>
      </c>
    </row>
    <row r="12" spans="1:10">
      <c r="A12" s="15" t="s">
        <v>680</v>
      </c>
      <c r="B12" s="15" t="s">
        <v>681</v>
      </c>
      <c r="C12" s="12">
        <v>5</v>
      </c>
      <c r="D12" s="54">
        <f>'보험개발원 위험률'!D8</f>
        <v>4.0000000000000003E-5</v>
      </c>
      <c r="E12" s="54">
        <f>'보험개발원 위험률'!E8</f>
        <v>4.0000000000000003E-5</v>
      </c>
      <c r="F12" s="35" t="s">
        <v>697</v>
      </c>
      <c r="G12" s="35" t="s">
        <v>701</v>
      </c>
      <c r="H12" s="35" t="s">
        <v>682</v>
      </c>
      <c r="I12" s="35" t="s">
        <v>683</v>
      </c>
      <c r="J12" s="24" t="s">
        <v>685</v>
      </c>
    </row>
    <row r="13" spans="1:10">
      <c r="A13" s="15" t="s">
        <v>680</v>
      </c>
      <c r="B13" s="15" t="s">
        <v>681</v>
      </c>
      <c r="C13" s="12">
        <v>6</v>
      </c>
      <c r="D13" s="54">
        <f>'보험개발원 위험률'!D8+('보험개발원 위험률'!D9-'보험개발원 위험률'!D8)*(C13-'보험개발원 위험률'!C8)/('보험개발원 위험률'!C9-'보험개발원 위험률'!C8)</f>
        <v>3.8000000000000002E-5</v>
      </c>
      <c r="E13" s="54">
        <f>'보험개발원 위험률'!E8+('보험개발원 위험률'!E9-'보험개발원 위험률'!E8)*(C13-'보험개발원 위험률'!C8)/('보험개발원 위험률'!C9-'보험개발원 위험률'!C8)</f>
        <v>3.8000000000000002E-5</v>
      </c>
      <c r="F13" s="35" t="s">
        <v>699</v>
      </c>
      <c r="G13" s="35" t="s">
        <v>702</v>
      </c>
      <c r="H13" s="35" t="s">
        <v>682</v>
      </c>
      <c r="I13" s="35" t="s">
        <v>683</v>
      </c>
      <c r="J13" s="24" t="s">
        <v>685</v>
      </c>
    </row>
    <row r="14" spans="1:10">
      <c r="A14" s="15" t="s">
        <v>680</v>
      </c>
      <c r="B14" s="15" t="s">
        <v>681</v>
      </c>
      <c r="C14" s="12">
        <v>7</v>
      </c>
      <c r="D14" s="54">
        <f>'보험개발원 위험률'!D8+('보험개발원 위험률'!D9-'보험개발원 위험률'!D8)*(C14-'보험개발원 위험률'!C8)/('보험개발원 위험률'!C9-'보험개발원 위험률'!C8)</f>
        <v>3.6000000000000001E-5</v>
      </c>
      <c r="E14" s="54">
        <f>'보험개발원 위험률'!E8+('보험개발원 위험률'!E9-'보험개발원 위험률'!E8)*(C14-'보험개발원 위험률'!C8)/('보험개발원 위험률'!C9-'보험개발원 위험률'!C8)</f>
        <v>3.6000000000000001E-5</v>
      </c>
      <c r="F14" s="35" t="s">
        <v>699</v>
      </c>
      <c r="G14" s="35" t="s">
        <v>702</v>
      </c>
      <c r="H14" s="35" t="s">
        <v>682</v>
      </c>
      <c r="I14" s="35" t="s">
        <v>683</v>
      </c>
      <c r="J14" s="24" t="s">
        <v>685</v>
      </c>
    </row>
    <row r="15" spans="1:10">
      <c r="A15" s="15" t="s">
        <v>680</v>
      </c>
      <c r="B15" s="15" t="s">
        <v>681</v>
      </c>
      <c r="C15" s="12">
        <v>8</v>
      </c>
      <c r="D15" s="54">
        <f>'보험개발원 위험률'!D8+('보험개발원 위험률'!D9-'보험개발원 위험률'!D8)*(C15-'보험개발원 위험률'!C8)/('보험개발원 위험률'!C9-'보험개발원 위험률'!C8)</f>
        <v>3.4E-5</v>
      </c>
      <c r="E15" s="54">
        <f>'보험개발원 위험률'!E8+('보험개발원 위험률'!E9-'보험개발원 위험률'!E8)*(C15-'보험개발원 위험률'!C8)/('보험개발원 위험률'!C9-'보험개발원 위험률'!C8)</f>
        <v>3.4E-5</v>
      </c>
      <c r="F15" s="35" t="s">
        <v>699</v>
      </c>
      <c r="G15" s="35" t="s">
        <v>702</v>
      </c>
      <c r="H15" s="35" t="s">
        <v>682</v>
      </c>
      <c r="I15" s="35" t="s">
        <v>683</v>
      </c>
      <c r="J15" s="24" t="s">
        <v>685</v>
      </c>
    </row>
    <row r="16" spans="1:10">
      <c r="A16" s="15" t="s">
        <v>680</v>
      </c>
      <c r="B16" s="15" t="s">
        <v>681</v>
      </c>
      <c r="C16" s="12">
        <v>9</v>
      </c>
      <c r="D16" s="54">
        <f>'보험개발원 위험률'!D8+('보험개발원 위험률'!D9-'보험개발원 위험률'!D8)*(C16-'보험개발원 위험률'!C8)/('보험개발원 위험률'!C9-'보험개발원 위험률'!C8)</f>
        <v>3.2000000000000005E-5</v>
      </c>
      <c r="E16" s="54">
        <f>'보험개발원 위험률'!E8+('보험개발원 위험률'!E9-'보험개발원 위험률'!E8)*(C16-'보험개발원 위험률'!C8)/('보험개발원 위험률'!C9-'보험개발원 위험률'!C8)</f>
        <v>3.2000000000000005E-5</v>
      </c>
      <c r="F16" s="35" t="s">
        <v>699</v>
      </c>
      <c r="G16" s="35" t="s">
        <v>702</v>
      </c>
      <c r="H16" s="35" t="s">
        <v>682</v>
      </c>
      <c r="I16" s="35" t="s">
        <v>683</v>
      </c>
      <c r="J16" s="24" t="s">
        <v>685</v>
      </c>
    </row>
    <row r="17" spans="1:10">
      <c r="A17" s="15" t="s">
        <v>680</v>
      </c>
      <c r="B17" s="15" t="s">
        <v>681</v>
      </c>
      <c r="C17" s="12">
        <v>10</v>
      </c>
      <c r="D17" s="54">
        <f>'보험개발원 위험률'!D9</f>
        <v>3.0000000000000001E-5</v>
      </c>
      <c r="E17" s="54">
        <f>'보험개발원 위험률'!E9</f>
        <v>3.0000000000000001E-5</v>
      </c>
      <c r="F17" s="35" t="s">
        <v>697</v>
      </c>
      <c r="G17" s="35" t="s">
        <v>703</v>
      </c>
      <c r="H17" s="35" t="s">
        <v>682</v>
      </c>
      <c r="I17" s="35" t="s">
        <v>683</v>
      </c>
      <c r="J17" s="24" t="s">
        <v>685</v>
      </c>
    </row>
    <row r="18" spans="1:10">
      <c r="A18" s="15" t="s">
        <v>680</v>
      </c>
      <c r="B18" s="15" t="s">
        <v>681</v>
      </c>
      <c r="C18" s="12">
        <v>11</v>
      </c>
      <c r="D18" s="54">
        <f>'보험개발원 위험률'!D9+('보험개발원 위험률'!D10-'보험개발원 위험률'!D9)*(C18-'보험개발원 위험률'!C9)/('보험개발원 위험률'!C10-'보험개발원 위험률'!C9)</f>
        <v>5.2000000000000004E-5</v>
      </c>
      <c r="E18" s="54">
        <f>'보험개발원 위험률'!E9+('보험개발원 위험률'!E10-'보험개발원 위험률'!E9)*(C18-'보험개발원 위험률'!C9)/('보험개발원 위험률'!C10-'보험개발원 위험률'!C9)</f>
        <v>4.3999999999999999E-5</v>
      </c>
      <c r="F18" s="35" t="s">
        <v>699</v>
      </c>
      <c r="G18" s="35" t="s">
        <v>704</v>
      </c>
      <c r="H18" s="35" t="s">
        <v>682</v>
      </c>
      <c r="I18" s="35" t="s">
        <v>683</v>
      </c>
      <c r="J18" s="24" t="s">
        <v>685</v>
      </c>
    </row>
    <row r="19" spans="1:10">
      <c r="A19" s="15" t="s">
        <v>680</v>
      </c>
      <c r="B19" s="15" t="s">
        <v>681</v>
      </c>
      <c r="C19" s="12">
        <v>12</v>
      </c>
      <c r="D19" s="54">
        <f>'보험개발원 위험률'!D9+('보험개발원 위험률'!D10-'보험개발원 위험률'!D9)*(C19-'보험개발원 위험률'!C9)/('보험개발원 위험률'!C10-'보험개발원 위험률'!C9)</f>
        <v>7.3999999999999996E-5</v>
      </c>
      <c r="E19" s="54">
        <f>'보험개발원 위험률'!E9+('보험개발원 위험률'!E10-'보험개발원 위험률'!E9)*(C19-'보험개발원 위험률'!C9)/('보험개발원 위험률'!C10-'보험개발원 위험률'!C9)</f>
        <v>5.8E-5</v>
      </c>
      <c r="F19" s="35" t="s">
        <v>699</v>
      </c>
      <c r="G19" s="35" t="s">
        <v>704</v>
      </c>
      <c r="H19" s="35" t="s">
        <v>682</v>
      </c>
      <c r="I19" s="35" t="s">
        <v>683</v>
      </c>
      <c r="J19" s="24" t="s">
        <v>685</v>
      </c>
    </row>
    <row r="20" spans="1:10">
      <c r="A20" s="15" t="s">
        <v>680</v>
      </c>
      <c r="B20" s="15" t="s">
        <v>681</v>
      </c>
      <c r="C20" s="12">
        <v>13</v>
      </c>
      <c r="D20" s="54">
        <f>'보험개발원 위험률'!D9+('보험개발원 위험률'!D10-'보험개발원 위험률'!D9)*(C20-'보험개발원 위험률'!C9)/('보험개발원 위험률'!C10-'보험개발원 위험률'!C9)</f>
        <v>9.6000000000000002E-5</v>
      </c>
      <c r="E20" s="54">
        <f>'보험개발원 위험률'!E9+('보험개발원 위험률'!E10-'보험개발원 위험률'!E9)*(C20-'보험개발원 위험률'!C9)/('보험개발원 위험률'!C10-'보험개발원 위험률'!C9)</f>
        <v>7.2000000000000002E-5</v>
      </c>
      <c r="F20" s="35" t="s">
        <v>699</v>
      </c>
      <c r="G20" s="35" t="s">
        <v>704</v>
      </c>
      <c r="H20" s="35" t="s">
        <v>682</v>
      </c>
      <c r="I20" s="35" t="s">
        <v>683</v>
      </c>
      <c r="J20" s="24" t="s">
        <v>685</v>
      </c>
    </row>
    <row r="21" spans="1:10">
      <c r="A21" s="15" t="s">
        <v>680</v>
      </c>
      <c r="B21" s="15" t="s">
        <v>681</v>
      </c>
      <c r="C21" s="12">
        <v>14</v>
      </c>
      <c r="D21" s="54">
        <f>'보험개발원 위험률'!D9+('보험개발원 위험률'!D10-'보험개발원 위험률'!D9)*(C21-'보험개발원 위험률'!C9)/('보험개발원 위험률'!C10-'보험개발원 위험률'!C9)</f>
        <v>1.18E-4</v>
      </c>
      <c r="E21" s="54">
        <f>'보험개발원 위험률'!E9+('보험개발원 위험률'!E10-'보험개발원 위험률'!E9)*(C21-'보험개발원 위험률'!C9)/('보험개발원 위험률'!C10-'보험개발원 위험률'!C9)</f>
        <v>8.6000000000000003E-5</v>
      </c>
      <c r="F21" s="35" t="s">
        <v>699</v>
      </c>
      <c r="G21" s="35" t="s">
        <v>704</v>
      </c>
      <c r="H21" s="35" t="s">
        <v>682</v>
      </c>
      <c r="I21" s="35" t="s">
        <v>683</v>
      </c>
      <c r="J21" s="24" t="s">
        <v>685</v>
      </c>
    </row>
    <row r="22" spans="1:10">
      <c r="A22" s="15" t="s">
        <v>680</v>
      </c>
      <c r="B22" s="15" t="s">
        <v>681</v>
      </c>
      <c r="C22" s="12">
        <v>15</v>
      </c>
      <c r="D22" s="54">
        <f>'보험개발원 위험률'!D10</f>
        <v>1.3999999999999999E-4</v>
      </c>
      <c r="E22" s="54">
        <f>'보험개발원 위험률'!E10</f>
        <v>1E-4</v>
      </c>
      <c r="F22" s="35" t="s">
        <v>697</v>
      </c>
      <c r="G22" s="35" t="s">
        <v>705</v>
      </c>
      <c r="H22" s="35" t="s">
        <v>682</v>
      </c>
      <c r="I22" s="35" t="s">
        <v>683</v>
      </c>
      <c r="J22" s="24" t="s">
        <v>685</v>
      </c>
    </row>
    <row r="23" spans="1:10">
      <c r="A23" s="15" t="s">
        <v>680</v>
      </c>
      <c r="B23" s="15" t="s">
        <v>681</v>
      </c>
      <c r="C23" s="12">
        <v>16</v>
      </c>
      <c r="D23" s="54">
        <f>'보험개발원 위험률'!D10+('보험개발원 위험률'!D11-'보험개발원 위험률'!D10)*(C23-'보험개발원 위험률'!C10)/('보험개발원 위험률'!C11-'보험개발원 위험률'!C10)</f>
        <v>1.6799999999999999E-4</v>
      </c>
      <c r="E23" s="54">
        <f>'보험개발원 위험률'!E10+('보험개발원 위험률'!E11-'보험개발원 위험률'!E10)*(C23-'보험개발원 위험률'!C10)/('보험개발원 위험률'!C11-'보험개발원 위험률'!C10)</f>
        <v>1.2E-4</v>
      </c>
      <c r="F23" s="35" t="s">
        <v>699</v>
      </c>
      <c r="G23" s="35" t="s">
        <v>706</v>
      </c>
      <c r="H23" s="35" t="s">
        <v>682</v>
      </c>
      <c r="I23" s="35" t="s">
        <v>683</v>
      </c>
      <c r="J23" s="24" t="s">
        <v>685</v>
      </c>
    </row>
    <row r="24" spans="1:10">
      <c r="A24" s="15" t="s">
        <v>680</v>
      </c>
      <c r="B24" s="15" t="s">
        <v>681</v>
      </c>
      <c r="C24" s="12">
        <v>17</v>
      </c>
      <c r="D24" s="54">
        <f>'보험개발원 위험률'!D10+('보험개발원 위험률'!D11-'보험개발원 위험률'!D10)*(C24-'보험개발원 위험률'!C10)/('보험개발원 위험률'!C11-'보험개발원 위험률'!C10)</f>
        <v>1.9599999999999999E-4</v>
      </c>
      <c r="E24" s="54">
        <f>'보험개발원 위험률'!E10+('보험개발원 위험률'!E11-'보험개발원 위험률'!E10)*(C24-'보험개발원 위험률'!C10)/('보험개발원 위험률'!C11-'보험개발원 위험률'!C10)</f>
        <v>1.4000000000000001E-4</v>
      </c>
      <c r="F24" s="35" t="s">
        <v>699</v>
      </c>
      <c r="G24" s="35" t="s">
        <v>706</v>
      </c>
      <c r="H24" s="35" t="s">
        <v>682</v>
      </c>
      <c r="I24" s="35" t="s">
        <v>683</v>
      </c>
      <c r="J24" s="24" t="s">
        <v>685</v>
      </c>
    </row>
    <row r="25" spans="1:10">
      <c r="A25" s="15" t="s">
        <v>680</v>
      </c>
      <c r="B25" s="15" t="s">
        <v>681</v>
      </c>
      <c r="C25" s="12">
        <v>18</v>
      </c>
      <c r="D25" s="54">
        <f>'보험개발원 위험률'!D10+('보험개발원 위험률'!D11-'보험개발원 위험률'!D10)*(C25-'보험개발원 위험률'!C10)/('보험개발원 위험률'!C11-'보험개발원 위험률'!C10)</f>
        <v>2.2399999999999997E-4</v>
      </c>
      <c r="E25" s="54">
        <f>'보험개발원 위험률'!E10+('보험개발원 위험률'!E11-'보험개발원 위험률'!E10)*(C25-'보험개발원 위험률'!C10)/('보험개발원 위험률'!C11-'보험개발원 위험률'!C10)</f>
        <v>1.6000000000000001E-4</v>
      </c>
      <c r="F25" s="35" t="s">
        <v>699</v>
      </c>
      <c r="G25" s="35" t="s">
        <v>706</v>
      </c>
      <c r="H25" s="35" t="s">
        <v>682</v>
      </c>
      <c r="I25" s="35" t="s">
        <v>683</v>
      </c>
      <c r="J25" s="24" t="s">
        <v>685</v>
      </c>
    </row>
    <row r="26" spans="1:10">
      <c r="A26" s="15" t="s">
        <v>680</v>
      </c>
      <c r="B26" s="15" t="s">
        <v>681</v>
      </c>
      <c r="C26" s="12">
        <v>19</v>
      </c>
      <c r="D26" s="54">
        <f>'보험개발원 위험률'!D10+('보험개발원 위험률'!D11-'보험개발원 위험률'!D10)*(C26-'보험개발원 위험률'!C10)/('보험개발원 위험률'!C11-'보험개발원 위험률'!C10)</f>
        <v>2.5199999999999995E-4</v>
      </c>
      <c r="E26" s="54">
        <f>'보험개발원 위험률'!E10+('보험개발원 위험률'!E11-'보험개발원 위험률'!E10)*(C26-'보험개발원 위험률'!C10)/('보험개발원 위험률'!C11-'보험개발원 위험률'!C10)</f>
        <v>1.8000000000000001E-4</v>
      </c>
      <c r="F26" s="35" t="s">
        <v>699</v>
      </c>
      <c r="G26" s="35" t="s">
        <v>706</v>
      </c>
      <c r="H26" s="35" t="s">
        <v>682</v>
      </c>
      <c r="I26" s="35" t="s">
        <v>683</v>
      </c>
      <c r="J26" s="24" t="s">
        <v>685</v>
      </c>
    </row>
    <row r="27" spans="1:10">
      <c r="A27" s="15" t="s">
        <v>680</v>
      </c>
      <c r="B27" s="15" t="s">
        <v>681</v>
      </c>
      <c r="C27" s="12">
        <v>20</v>
      </c>
      <c r="D27" s="54">
        <f>'보험개발원 위험률'!D11</f>
        <v>2.7999999999999998E-4</v>
      </c>
      <c r="E27" s="54">
        <f>'보험개발원 위험률'!E11</f>
        <v>2.0000000000000001E-4</v>
      </c>
      <c r="F27" s="35" t="s">
        <v>697</v>
      </c>
      <c r="G27" s="35" t="s">
        <v>707</v>
      </c>
      <c r="H27" s="35" t="s">
        <v>682</v>
      </c>
      <c r="I27" s="35" t="s">
        <v>683</v>
      </c>
      <c r="J27" s="24" t="s">
        <v>685</v>
      </c>
    </row>
    <row r="28" spans="1:10">
      <c r="A28" s="15" t="s">
        <v>680</v>
      </c>
      <c r="B28" s="15" t="s">
        <v>681</v>
      </c>
      <c r="C28" s="12">
        <v>21</v>
      </c>
      <c r="D28" s="54">
        <f>'보험개발원 위험률'!D11+('보험개발원 위험률'!D12-'보험개발원 위험률'!D11)*(C28-'보험개발원 위험률'!C11)/('보험개발원 위험률'!C12-'보험개발원 위험률'!C11)</f>
        <v>3.0199999999999997E-4</v>
      </c>
      <c r="E28" s="54">
        <f>'보험개발원 위험률'!E11+('보험개발원 위험률'!E12-'보험개발원 위험률'!E11)*(C28-'보험개발원 위험률'!C11)/('보험개발원 위험률'!C12-'보험개발원 위험률'!C11)</f>
        <v>2.0800000000000001E-4</v>
      </c>
      <c r="F28" s="35" t="s">
        <v>699</v>
      </c>
      <c r="G28" s="35" t="s">
        <v>708</v>
      </c>
      <c r="H28" s="35" t="s">
        <v>682</v>
      </c>
      <c r="I28" s="35" t="s">
        <v>683</v>
      </c>
      <c r="J28" s="24" t="s">
        <v>685</v>
      </c>
    </row>
    <row r="29" spans="1:10">
      <c r="A29" s="15" t="s">
        <v>680</v>
      </c>
      <c r="B29" s="15" t="s">
        <v>681</v>
      </c>
      <c r="C29" s="12">
        <v>22</v>
      </c>
      <c r="D29" s="54">
        <f>'보험개발원 위험률'!D11+('보험개발원 위험률'!D12-'보험개발원 위험률'!D11)*(C29-'보험개발원 위험률'!C11)/('보험개발원 위험률'!C12-'보험개발원 위험률'!C11)</f>
        <v>3.2399999999999996E-4</v>
      </c>
      <c r="E29" s="54">
        <f>'보험개발원 위험률'!E11+('보험개발원 위험률'!E12-'보험개발원 위험률'!E11)*(C29-'보험개발원 위험률'!C11)/('보험개발원 위험률'!C12-'보험개발원 위험률'!C11)</f>
        <v>2.1600000000000002E-4</v>
      </c>
      <c r="F29" s="35" t="s">
        <v>699</v>
      </c>
      <c r="G29" s="35" t="s">
        <v>708</v>
      </c>
      <c r="H29" s="35" t="s">
        <v>682</v>
      </c>
      <c r="I29" s="35" t="s">
        <v>683</v>
      </c>
      <c r="J29" s="24" t="s">
        <v>685</v>
      </c>
    </row>
    <row r="30" spans="1:10">
      <c r="A30" s="15" t="s">
        <v>680</v>
      </c>
      <c r="B30" s="15" t="s">
        <v>681</v>
      </c>
      <c r="C30" s="12">
        <v>23</v>
      </c>
      <c r="D30" s="54">
        <f>'보험개발원 위험률'!D11+('보험개발원 위험률'!D12-'보험개발원 위험률'!D11)*(C30-'보험개발원 위험률'!C11)/('보험개발원 위험률'!C12-'보험개발원 위험률'!C11)</f>
        <v>3.4599999999999995E-4</v>
      </c>
      <c r="E30" s="54">
        <f>'보험개발원 위험률'!E11+('보험개발원 위험률'!E12-'보험개발원 위험률'!E11)*(C30-'보험개발원 위험률'!C11)/('보험개발원 위험률'!C12-'보험개발원 위험률'!C11)</f>
        <v>2.24E-4</v>
      </c>
      <c r="F30" s="35" t="s">
        <v>699</v>
      </c>
      <c r="G30" s="35" t="s">
        <v>708</v>
      </c>
      <c r="H30" s="35" t="s">
        <v>682</v>
      </c>
      <c r="I30" s="35" t="s">
        <v>683</v>
      </c>
      <c r="J30" s="24" t="s">
        <v>685</v>
      </c>
    </row>
    <row r="31" spans="1:10">
      <c r="A31" s="15" t="s">
        <v>680</v>
      </c>
      <c r="B31" s="15" t="s">
        <v>681</v>
      </c>
      <c r="C31" s="12">
        <v>24</v>
      </c>
      <c r="D31" s="54">
        <f>'보험개발원 위험률'!D11+('보험개발원 위험률'!D12-'보험개발원 위험률'!D11)*(C31-'보험개발원 위험률'!C11)/('보험개발원 위험률'!C12-'보험개발원 위험률'!C11)</f>
        <v>3.68E-4</v>
      </c>
      <c r="E31" s="54">
        <f>'보험개발원 위험률'!E11+('보험개발원 위험률'!E12-'보험개발원 위험률'!E11)*(C31-'보험개발원 위험률'!C11)/('보험개발원 위험률'!C12-'보험개발원 위험률'!C11)</f>
        <v>2.32E-4</v>
      </c>
      <c r="F31" s="35" t="s">
        <v>699</v>
      </c>
      <c r="G31" s="35" t="s">
        <v>708</v>
      </c>
      <c r="H31" s="35" t="s">
        <v>682</v>
      </c>
      <c r="I31" s="35" t="s">
        <v>683</v>
      </c>
      <c r="J31" s="24" t="s">
        <v>685</v>
      </c>
    </row>
    <row r="32" spans="1:10">
      <c r="A32" s="15" t="s">
        <v>680</v>
      </c>
      <c r="B32" s="15" t="s">
        <v>681</v>
      </c>
      <c r="C32" s="12">
        <v>25</v>
      </c>
      <c r="D32" s="54">
        <f>'보험개발원 위험률'!D12</f>
        <v>3.8999999999999999E-4</v>
      </c>
      <c r="E32" s="54">
        <f>'보험개발원 위험률'!E12</f>
        <v>2.4000000000000001E-4</v>
      </c>
      <c r="F32" s="35" t="s">
        <v>697</v>
      </c>
      <c r="G32" s="35" t="s">
        <v>709</v>
      </c>
      <c r="H32" s="35" t="s">
        <v>682</v>
      </c>
      <c r="I32" s="35" t="s">
        <v>683</v>
      </c>
      <c r="J32" s="24" t="s">
        <v>685</v>
      </c>
    </row>
    <row r="33" spans="1:10">
      <c r="A33" s="15" t="s">
        <v>680</v>
      </c>
      <c r="B33" s="15" t="s">
        <v>681</v>
      </c>
      <c r="C33" s="12">
        <v>26</v>
      </c>
      <c r="D33" s="54">
        <f>'보험개발원 위험률'!D12+('보험개발원 위험률'!D13-'보험개발원 위험률'!D12)*(C33-'보험개발원 위험률'!C12)/('보험개발원 위험률'!C13-'보험개발원 위험률'!C12)</f>
        <v>4.0200000000000001E-4</v>
      </c>
      <c r="E33" s="54">
        <f>'보험개발원 위험률'!E12+('보험개발원 위험률'!E13-'보험개발원 위험률'!E12)*(C33-'보험개발원 위험률'!C12)/('보험개발원 위험률'!C13-'보험개발원 위험률'!C12)</f>
        <v>2.4399999999999999E-4</v>
      </c>
      <c r="F33" s="35" t="s">
        <v>699</v>
      </c>
      <c r="G33" s="35" t="s">
        <v>710</v>
      </c>
      <c r="H33" s="35" t="s">
        <v>682</v>
      </c>
      <c r="I33" s="35" t="s">
        <v>683</v>
      </c>
      <c r="J33" s="24" t="s">
        <v>685</v>
      </c>
    </row>
    <row r="34" spans="1:10">
      <c r="A34" s="15" t="s">
        <v>680</v>
      </c>
      <c r="B34" s="15" t="s">
        <v>681</v>
      </c>
      <c r="C34" s="12">
        <v>27</v>
      </c>
      <c r="D34" s="54">
        <f>'보험개발원 위험률'!D12+('보험개발원 위험률'!D13-'보험개발원 위험률'!D12)*(C34-'보험개발원 위험률'!C12)/('보험개발원 위험률'!C13-'보험개발원 위험률'!C12)</f>
        <v>4.1399999999999998E-4</v>
      </c>
      <c r="E34" s="54">
        <f>'보험개발원 위험률'!E12+('보험개발원 위험률'!E13-'보험개발원 위험률'!E12)*(C34-'보험개발원 위험률'!C12)/('보험개발원 위험률'!C13-'보험개발원 위험률'!C12)</f>
        <v>2.4800000000000001E-4</v>
      </c>
      <c r="F34" s="35" t="s">
        <v>699</v>
      </c>
      <c r="G34" s="35" t="s">
        <v>710</v>
      </c>
      <c r="H34" s="35" t="s">
        <v>682</v>
      </c>
      <c r="I34" s="35" t="s">
        <v>683</v>
      </c>
      <c r="J34" s="24" t="s">
        <v>685</v>
      </c>
    </row>
    <row r="35" spans="1:10">
      <c r="A35" s="15" t="s">
        <v>680</v>
      </c>
      <c r="B35" s="15" t="s">
        <v>681</v>
      </c>
      <c r="C35" s="12">
        <v>28</v>
      </c>
      <c r="D35" s="54">
        <f>'보험개발원 위험률'!D12+('보험개발원 위험률'!D13-'보험개발원 위험률'!D12)*(C35-'보험개발원 위험률'!C12)/('보험개발원 위험률'!C13-'보험개발원 위험률'!C12)</f>
        <v>4.26E-4</v>
      </c>
      <c r="E35" s="54">
        <f>'보험개발원 위험률'!E12+('보험개발원 위험률'!E13-'보험개발원 위험률'!E12)*(C35-'보험개발원 위험률'!C12)/('보험개발원 위험률'!C13-'보험개발원 위험률'!C12)</f>
        <v>2.52E-4</v>
      </c>
      <c r="F35" s="35" t="s">
        <v>699</v>
      </c>
      <c r="G35" s="35" t="s">
        <v>710</v>
      </c>
      <c r="H35" s="35" t="s">
        <v>682</v>
      </c>
      <c r="I35" s="35" t="s">
        <v>683</v>
      </c>
      <c r="J35" s="24" t="s">
        <v>685</v>
      </c>
    </row>
    <row r="36" spans="1:10">
      <c r="A36" s="15" t="s">
        <v>680</v>
      </c>
      <c r="B36" s="15" t="s">
        <v>681</v>
      </c>
      <c r="C36" s="12">
        <v>29</v>
      </c>
      <c r="D36" s="54">
        <f>'보험개발원 위험률'!D12+('보험개발원 위험률'!D13-'보험개발원 위험률'!D12)*(C36-'보험개발원 위험률'!C12)/('보험개발원 위험률'!C13-'보험개발원 위험률'!C12)</f>
        <v>4.3799999999999997E-4</v>
      </c>
      <c r="E36" s="54">
        <f>'보험개발원 위험률'!E12+('보험개발원 위험률'!E13-'보험개발원 위험률'!E12)*(C36-'보험개발원 위험률'!C12)/('보험개발원 위험률'!C13-'보험개발원 위험률'!C12)</f>
        <v>2.5599999999999999E-4</v>
      </c>
      <c r="F36" s="35" t="s">
        <v>699</v>
      </c>
      <c r="G36" s="35" t="s">
        <v>710</v>
      </c>
      <c r="H36" s="35" t="s">
        <v>682</v>
      </c>
      <c r="I36" s="35" t="s">
        <v>683</v>
      </c>
      <c r="J36" s="24" t="s">
        <v>685</v>
      </c>
    </row>
    <row r="37" spans="1:10">
      <c r="A37" s="15" t="s">
        <v>680</v>
      </c>
      <c r="B37" s="15" t="s">
        <v>681</v>
      </c>
      <c r="C37" s="12">
        <v>30</v>
      </c>
      <c r="D37" s="54">
        <f>'보험개발원 위험률'!D13</f>
        <v>4.4999999999999999E-4</v>
      </c>
      <c r="E37" s="54">
        <f>'보험개발원 위험률'!E13</f>
        <v>2.5999999999999998E-4</v>
      </c>
      <c r="F37" s="35" t="s">
        <v>697</v>
      </c>
      <c r="G37" s="35" t="s">
        <v>711</v>
      </c>
      <c r="H37" s="35" t="s">
        <v>682</v>
      </c>
      <c r="I37" s="35" t="s">
        <v>683</v>
      </c>
      <c r="J37" s="24" t="s">
        <v>685</v>
      </c>
    </row>
    <row r="38" spans="1:10">
      <c r="A38" s="15" t="s">
        <v>680</v>
      </c>
      <c r="B38" s="15" t="s">
        <v>681</v>
      </c>
      <c r="C38" s="12">
        <v>31</v>
      </c>
      <c r="D38" s="54">
        <f>'보험개발원 위험률'!D13+('보험개발원 위험률'!D14-'보험개발원 위험률'!D13)*(C38-'보험개발원 위험률'!C13)/('보험개발원 위험률'!C14-'보험개발원 위험률'!C13)</f>
        <v>4.66E-4</v>
      </c>
      <c r="E38" s="54">
        <f>'보험개발원 위험률'!E13+('보험개발원 위험률'!E14-'보험개발원 위험률'!E13)*(C38-'보험개발원 위험률'!C13)/('보험개발원 위험률'!C14-'보험개발원 위험률'!C13)</f>
        <v>2.7799999999999998E-4</v>
      </c>
      <c r="F38" s="35" t="s">
        <v>699</v>
      </c>
      <c r="G38" s="35" t="s">
        <v>712</v>
      </c>
      <c r="H38" s="35" t="s">
        <v>682</v>
      </c>
      <c r="I38" s="35" t="s">
        <v>683</v>
      </c>
      <c r="J38" s="24" t="s">
        <v>685</v>
      </c>
    </row>
    <row r="39" spans="1:10">
      <c r="A39" s="15" t="s">
        <v>680</v>
      </c>
      <c r="B39" s="15" t="s">
        <v>681</v>
      </c>
      <c r="C39" s="12">
        <v>32</v>
      </c>
      <c r="D39" s="54">
        <f>'보험개발원 위험률'!D13+('보험개발원 위험률'!D14-'보험개발원 위험률'!D13)*(C39-'보험개발원 위험률'!C13)/('보험개발원 위험률'!C14-'보험개발원 위험률'!C13)</f>
        <v>4.8200000000000001E-4</v>
      </c>
      <c r="E39" s="54">
        <f>'보험개발원 위험률'!E13+('보험개발원 위험률'!E14-'보험개발원 위험률'!E13)*(C39-'보험개발원 위험률'!C13)/('보험개발원 위험률'!C14-'보험개발원 위험률'!C13)</f>
        <v>2.9599999999999998E-4</v>
      </c>
      <c r="F39" s="35" t="s">
        <v>699</v>
      </c>
      <c r="G39" s="35" t="s">
        <v>712</v>
      </c>
      <c r="H39" s="35" t="s">
        <v>682</v>
      </c>
      <c r="I39" s="35" t="s">
        <v>683</v>
      </c>
      <c r="J39" s="24" t="s">
        <v>685</v>
      </c>
    </row>
    <row r="40" spans="1:10">
      <c r="A40" s="15" t="s">
        <v>680</v>
      </c>
      <c r="B40" s="15" t="s">
        <v>681</v>
      </c>
      <c r="C40" s="12">
        <v>33</v>
      </c>
      <c r="D40" s="54">
        <f>'보험개발원 위험률'!D13+('보험개발원 위험률'!D14-'보험개발원 위험률'!D13)*(C40-'보험개발원 위험률'!C13)/('보험개발원 위험률'!C14-'보험개발원 위험률'!C13)</f>
        <v>4.9799999999999996E-4</v>
      </c>
      <c r="E40" s="54">
        <f>'보험개발원 위험률'!E13+('보험개발원 위험률'!E14-'보험개발원 위험률'!E13)*(C40-'보험개발원 위험률'!C13)/('보험개발원 위험률'!C14-'보험개발원 위험률'!C13)</f>
        <v>3.1399999999999999E-4</v>
      </c>
      <c r="F40" s="35" t="s">
        <v>699</v>
      </c>
      <c r="G40" s="35" t="s">
        <v>712</v>
      </c>
      <c r="H40" s="35" t="s">
        <v>682</v>
      </c>
      <c r="I40" s="35" t="s">
        <v>683</v>
      </c>
      <c r="J40" s="24" t="s">
        <v>685</v>
      </c>
    </row>
    <row r="41" spans="1:10">
      <c r="A41" s="15" t="s">
        <v>680</v>
      </c>
      <c r="B41" s="15" t="s">
        <v>681</v>
      </c>
      <c r="C41" s="12">
        <v>34</v>
      </c>
      <c r="D41" s="54">
        <f>'보험개발원 위험률'!D13+('보험개발원 위험률'!D14-'보험개발원 위험률'!D13)*(C41-'보험개발원 위험률'!C13)/('보험개발원 위험률'!C14-'보험개발원 위험률'!C13)</f>
        <v>5.1400000000000003E-4</v>
      </c>
      <c r="E41" s="54">
        <f>'보험개발원 위험률'!E13+('보험개발원 위험률'!E14-'보험개발원 위험률'!E13)*(C41-'보험개발원 위험률'!C13)/('보험개발원 위험률'!C14-'보험개발원 위험률'!C13)</f>
        <v>3.3199999999999999E-4</v>
      </c>
      <c r="F41" s="35" t="s">
        <v>699</v>
      </c>
      <c r="G41" s="35" t="s">
        <v>712</v>
      </c>
      <c r="H41" s="35" t="s">
        <v>682</v>
      </c>
      <c r="I41" s="35" t="s">
        <v>683</v>
      </c>
      <c r="J41" s="24" t="s">
        <v>685</v>
      </c>
    </row>
    <row r="42" spans="1:10">
      <c r="A42" s="15" t="s">
        <v>680</v>
      </c>
      <c r="B42" s="15" t="s">
        <v>681</v>
      </c>
      <c r="C42" s="12">
        <v>35</v>
      </c>
      <c r="D42" s="54">
        <f>'보험개발원 위험률'!D14</f>
        <v>5.2999999999999998E-4</v>
      </c>
      <c r="E42" s="54">
        <f>'보험개발원 위험률'!E14</f>
        <v>3.5E-4</v>
      </c>
      <c r="F42" s="35" t="s">
        <v>697</v>
      </c>
      <c r="G42" s="35" t="s">
        <v>713</v>
      </c>
      <c r="H42" s="35" t="s">
        <v>682</v>
      </c>
      <c r="I42" s="35" t="s">
        <v>683</v>
      </c>
      <c r="J42" s="24" t="s">
        <v>685</v>
      </c>
    </row>
    <row r="43" spans="1:10">
      <c r="A43" s="15" t="s">
        <v>680</v>
      </c>
      <c r="B43" s="15" t="s">
        <v>681</v>
      </c>
      <c r="C43" s="12">
        <v>36</v>
      </c>
      <c r="D43" s="54">
        <f>'보험개발원 위험률'!D14+('보험개발원 위험률'!D15-'보험개발원 위험률'!D14)*(C43-'보험개발원 위험률'!C14)/('보험개발원 위험률'!C15-'보험개발원 위험률'!C14)</f>
        <v>5.5400000000000002E-4</v>
      </c>
      <c r="E43" s="54">
        <f>'보험개발원 위험률'!E14+('보험개발원 위험률'!E15-'보험개발원 위험률'!E14)*(C43-'보험개발원 위험률'!C14)/('보험개발원 위험률'!C15-'보험개발원 위험률'!C14)</f>
        <v>3.6600000000000001E-4</v>
      </c>
      <c r="F43" s="35" t="s">
        <v>699</v>
      </c>
      <c r="G43" s="35" t="s">
        <v>714</v>
      </c>
      <c r="H43" s="35" t="s">
        <v>682</v>
      </c>
      <c r="I43" s="35" t="s">
        <v>683</v>
      </c>
      <c r="J43" s="24" t="s">
        <v>685</v>
      </c>
    </row>
    <row r="44" spans="1:10">
      <c r="A44" s="15" t="s">
        <v>680</v>
      </c>
      <c r="B44" s="15" t="s">
        <v>681</v>
      </c>
      <c r="C44" s="12">
        <v>37</v>
      </c>
      <c r="D44" s="54">
        <f>'보험개발원 위험률'!D14+('보험개발원 위험률'!D15-'보험개발원 위험률'!D14)*(C44-'보험개발원 위험률'!C14)/('보험개발원 위험률'!C15-'보험개발원 위험률'!C14)</f>
        <v>5.7799999999999995E-4</v>
      </c>
      <c r="E44" s="54">
        <f>'보험개발원 위험률'!E14+('보험개발원 위험률'!E15-'보험개발원 위험률'!E14)*(C44-'보험개발원 위험률'!C14)/('보험개발원 위험률'!C15-'보험개발원 위험률'!C14)</f>
        <v>3.8200000000000002E-4</v>
      </c>
      <c r="F44" s="35" t="s">
        <v>699</v>
      </c>
      <c r="G44" s="35" t="s">
        <v>714</v>
      </c>
      <c r="H44" s="35" t="s">
        <v>682</v>
      </c>
      <c r="I44" s="35" t="s">
        <v>683</v>
      </c>
      <c r="J44" s="24" t="s">
        <v>685</v>
      </c>
    </row>
    <row r="45" spans="1:10">
      <c r="A45" s="15" t="s">
        <v>680</v>
      </c>
      <c r="B45" s="15" t="s">
        <v>681</v>
      </c>
      <c r="C45" s="12">
        <v>38</v>
      </c>
      <c r="D45" s="54">
        <f>'보험개발원 위험률'!D14+('보험개발원 위험률'!D15-'보험개발원 위험률'!D14)*(C45-'보험개발원 위험률'!C14)/('보험개발원 위험률'!C15-'보험개발원 위험률'!C14)</f>
        <v>6.02E-4</v>
      </c>
      <c r="E45" s="54">
        <f>'보험개발원 위험률'!E14+('보험개발원 위험률'!E15-'보험개발원 위험률'!E14)*(C45-'보험개발원 위험률'!C14)/('보험개발원 위험률'!C15-'보험개발원 위험률'!C14)</f>
        <v>3.9799999999999997E-4</v>
      </c>
      <c r="F45" s="35" t="s">
        <v>699</v>
      </c>
      <c r="G45" s="35" t="s">
        <v>714</v>
      </c>
      <c r="H45" s="35" t="s">
        <v>682</v>
      </c>
      <c r="I45" s="35" t="s">
        <v>683</v>
      </c>
      <c r="J45" s="24" t="s">
        <v>685</v>
      </c>
    </row>
    <row r="46" spans="1:10">
      <c r="A46" s="15" t="s">
        <v>680</v>
      </c>
      <c r="B46" s="15" t="s">
        <v>681</v>
      </c>
      <c r="C46" s="12">
        <v>39</v>
      </c>
      <c r="D46" s="54">
        <f>'보험개발원 위험률'!D14+('보험개발원 위험률'!D15-'보험개발원 위험률'!D14)*(C46-'보험개발원 위험률'!C14)/('보험개발원 위험률'!C15-'보험개발원 위험률'!C14)</f>
        <v>6.2599999999999993E-4</v>
      </c>
      <c r="E46" s="54">
        <f>'보험개발원 위험률'!E14+('보험개발원 위험률'!E15-'보험개발원 위험률'!E14)*(C46-'보험개발원 위험률'!C14)/('보험개발원 위험률'!C15-'보험개발원 위험률'!C14)</f>
        <v>4.1399999999999998E-4</v>
      </c>
      <c r="F46" s="35" t="s">
        <v>699</v>
      </c>
      <c r="G46" s="35" t="s">
        <v>714</v>
      </c>
      <c r="H46" s="35" t="s">
        <v>682</v>
      </c>
      <c r="I46" s="35" t="s">
        <v>683</v>
      </c>
      <c r="J46" s="24" t="s">
        <v>685</v>
      </c>
    </row>
    <row r="47" spans="1:10">
      <c r="A47" s="15" t="s">
        <v>680</v>
      </c>
      <c r="B47" s="15" t="s">
        <v>681</v>
      </c>
      <c r="C47" s="12">
        <v>40</v>
      </c>
      <c r="D47" s="54">
        <f>'보험개발원 위험률'!D15</f>
        <v>6.4999999999999997E-4</v>
      </c>
      <c r="E47" s="54">
        <f>'보험개발원 위험률'!E15</f>
        <v>4.2999999999999999E-4</v>
      </c>
      <c r="F47" s="35" t="s">
        <v>697</v>
      </c>
      <c r="G47" s="35" t="s">
        <v>715</v>
      </c>
      <c r="H47" s="35" t="s">
        <v>682</v>
      </c>
      <c r="I47" s="35" t="s">
        <v>683</v>
      </c>
      <c r="J47" s="24" t="s">
        <v>685</v>
      </c>
    </row>
    <row r="48" spans="1:10">
      <c r="A48" s="15" t="s">
        <v>680</v>
      </c>
      <c r="B48" s="15" t="s">
        <v>681</v>
      </c>
      <c r="C48" s="12">
        <v>41</v>
      </c>
      <c r="D48" s="54">
        <f>'보험개발원 위험률'!D15+('보험개발원 위험률'!D16-'보험개발원 위험률'!D15)*(C48-'보험개발원 위험률'!C15)/('보험개발원 위험률'!C16-'보험개발원 위험률'!C15)</f>
        <v>7.0600000000000003E-4</v>
      </c>
      <c r="E48" s="54">
        <f>'보험개발원 위험률'!E15+('보험개발원 위험률'!E16-'보험개발원 위험률'!E15)*(C48-'보험개발원 위험률'!C15)/('보험개발원 위험률'!C16-'보험개발원 위험률'!C15)</f>
        <v>4.5399999999999998E-4</v>
      </c>
      <c r="F48" s="35" t="s">
        <v>699</v>
      </c>
      <c r="G48" s="35" t="s">
        <v>716</v>
      </c>
      <c r="H48" s="35" t="s">
        <v>682</v>
      </c>
      <c r="I48" s="35" t="s">
        <v>683</v>
      </c>
      <c r="J48" s="24" t="s">
        <v>685</v>
      </c>
    </row>
    <row r="49" spans="1:10">
      <c r="A49" s="15" t="s">
        <v>680</v>
      </c>
      <c r="B49" s="15" t="s">
        <v>681</v>
      </c>
      <c r="C49" s="12">
        <v>42</v>
      </c>
      <c r="D49" s="54">
        <f>'보험개발원 위험률'!D15+('보험개발원 위험률'!D16-'보험개발원 위험률'!D15)*(C49-'보험개발원 위험률'!C15)/('보험개발원 위험률'!C16-'보험개발원 위험률'!C15)</f>
        <v>7.6199999999999998E-4</v>
      </c>
      <c r="E49" s="54">
        <f>'보험개발원 위험률'!E15+('보험개발원 위험률'!E16-'보험개발원 위험률'!E15)*(C49-'보험개발원 위험률'!C15)/('보험개발원 위험률'!C16-'보험개발원 위험률'!C15)</f>
        <v>4.7800000000000002E-4</v>
      </c>
      <c r="F49" s="35" t="s">
        <v>699</v>
      </c>
      <c r="G49" s="35" t="s">
        <v>716</v>
      </c>
      <c r="H49" s="35" t="s">
        <v>682</v>
      </c>
      <c r="I49" s="35" t="s">
        <v>683</v>
      </c>
      <c r="J49" s="24" t="s">
        <v>685</v>
      </c>
    </row>
    <row r="50" spans="1:10">
      <c r="A50" s="15" t="s">
        <v>680</v>
      </c>
      <c r="B50" s="15" t="s">
        <v>681</v>
      </c>
      <c r="C50" s="12">
        <v>43</v>
      </c>
      <c r="D50" s="54">
        <f>'보험개발원 위험률'!D15+('보험개발원 위험률'!D16-'보험개발원 위험률'!D15)*(C50-'보험개발원 위험률'!C15)/('보험개발원 위험률'!C16-'보험개발원 위험률'!C15)</f>
        <v>8.1800000000000004E-4</v>
      </c>
      <c r="E50" s="54">
        <f>'보험개발원 위험률'!E15+('보험개발원 위험률'!E16-'보험개발원 위험률'!E15)*(C50-'보험개발원 위험률'!C15)/('보험개발원 위험률'!C16-'보험개발원 위험률'!C15)</f>
        <v>5.0200000000000006E-4</v>
      </c>
      <c r="F50" s="35" t="s">
        <v>699</v>
      </c>
      <c r="G50" s="35" t="s">
        <v>716</v>
      </c>
      <c r="H50" s="35" t="s">
        <v>682</v>
      </c>
      <c r="I50" s="35" t="s">
        <v>683</v>
      </c>
      <c r="J50" s="24" t="s">
        <v>685</v>
      </c>
    </row>
    <row r="51" spans="1:10">
      <c r="A51" s="15" t="s">
        <v>680</v>
      </c>
      <c r="B51" s="15" t="s">
        <v>681</v>
      </c>
      <c r="C51" s="12">
        <v>44</v>
      </c>
      <c r="D51" s="54">
        <f>'보험개발원 위험률'!D15+('보험개발원 위험률'!D16-'보험개발원 위험률'!D15)*(C51-'보험개발원 위험률'!C15)/('보험개발원 위험률'!C16-'보험개발원 위험률'!C15)</f>
        <v>8.7399999999999999E-4</v>
      </c>
      <c r="E51" s="54">
        <f>'보험개발원 위험률'!E15+('보험개발원 위험률'!E16-'보험개발원 위험률'!E15)*(C51-'보험개발원 위험률'!C15)/('보험개발원 위험률'!C16-'보험개발원 위험률'!C15)</f>
        <v>5.2599999999999999E-4</v>
      </c>
      <c r="F51" s="35" t="s">
        <v>699</v>
      </c>
      <c r="G51" s="35" t="s">
        <v>716</v>
      </c>
      <c r="H51" s="35" t="s">
        <v>682</v>
      </c>
      <c r="I51" s="35" t="s">
        <v>683</v>
      </c>
      <c r="J51" s="24" t="s">
        <v>685</v>
      </c>
    </row>
    <row r="52" spans="1:10">
      <c r="A52" s="15" t="s">
        <v>680</v>
      </c>
      <c r="B52" s="15" t="s">
        <v>681</v>
      </c>
      <c r="C52" s="12">
        <v>45</v>
      </c>
      <c r="D52" s="54">
        <f>'보험개발원 위험률'!D16</f>
        <v>9.3000000000000005E-4</v>
      </c>
      <c r="E52" s="54">
        <f>'보험개발원 위험률'!E16</f>
        <v>5.5000000000000003E-4</v>
      </c>
      <c r="F52" s="35" t="s">
        <v>697</v>
      </c>
      <c r="G52" s="35" t="s">
        <v>717</v>
      </c>
      <c r="H52" s="35" t="s">
        <v>682</v>
      </c>
      <c r="I52" s="35" t="s">
        <v>683</v>
      </c>
      <c r="J52" s="24" t="s">
        <v>685</v>
      </c>
    </row>
    <row r="53" spans="1:10">
      <c r="A53" s="15" t="s">
        <v>680</v>
      </c>
      <c r="B53" s="15" t="s">
        <v>681</v>
      </c>
      <c r="C53" s="12">
        <v>46</v>
      </c>
      <c r="D53" s="54">
        <f>'보험개발원 위험률'!D16+('보험개발원 위험률'!D17-'보험개발원 위험률'!D16)*(C53-'보험개발원 위험률'!C16)/('보험개발원 위험률'!C17-'보험개발원 위험률'!C16)</f>
        <v>1.026E-3</v>
      </c>
      <c r="E53" s="54">
        <f>'보험개발원 위험률'!E16+('보험개발원 위험률'!E17-'보험개발원 위험률'!E16)*(C53-'보험개발원 위험률'!C16)/('보험개발원 위험률'!C17-'보험개발원 위험률'!C16)</f>
        <v>5.9400000000000002E-4</v>
      </c>
      <c r="F53" s="35" t="s">
        <v>699</v>
      </c>
      <c r="G53" s="35" t="s">
        <v>718</v>
      </c>
      <c r="H53" s="35" t="s">
        <v>682</v>
      </c>
      <c r="I53" s="35" t="s">
        <v>683</v>
      </c>
      <c r="J53" s="24" t="s">
        <v>685</v>
      </c>
    </row>
    <row r="54" spans="1:10">
      <c r="A54" s="15" t="s">
        <v>680</v>
      </c>
      <c r="B54" s="15" t="s">
        <v>681</v>
      </c>
      <c r="C54" s="12">
        <v>47</v>
      </c>
      <c r="D54" s="54">
        <f>'보험개발원 위험률'!D16+('보험개발원 위험률'!D17-'보험개발원 위험률'!D16)*(C54-'보험개발원 위험률'!C16)/('보험개발원 위험률'!C17-'보험개발원 위험률'!C16)</f>
        <v>1.122E-3</v>
      </c>
      <c r="E54" s="54">
        <f>'보험개발원 위험률'!E16+('보험개발원 위험률'!E17-'보험개발원 위험률'!E16)*(C54-'보험개발원 위험률'!C16)/('보험개발원 위험률'!C17-'보험개발원 위험률'!C16)</f>
        <v>6.38E-4</v>
      </c>
      <c r="F54" s="35" t="s">
        <v>699</v>
      </c>
      <c r="G54" s="35" t="s">
        <v>718</v>
      </c>
      <c r="H54" s="35" t="s">
        <v>682</v>
      </c>
      <c r="I54" s="35" t="s">
        <v>683</v>
      </c>
      <c r="J54" s="24" t="s">
        <v>685</v>
      </c>
    </row>
    <row r="55" spans="1:10">
      <c r="A55" s="15" t="s">
        <v>680</v>
      </c>
      <c r="B55" s="15" t="s">
        <v>681</v>
      </c>
      <c r="C55" s="12">
        <v>48</v>
      </c>
      <c r="D55" s="54">
        <f>'보험개발원 위험률'!D16+('보험개발원 위험률'!D17-'보험개발원 위험률'!D16)*(C55-'보험개발원 위험률'!C16)/('보험개발원 위험률'!C17-'보험개발원 위험률'!C16)</f>
        <v>1.2179999999999999E-3</v>
      </c>
      <c r="E55" s="54">
        <f>'보험개발원 위험률'!E16+('보험개발원 위험률'!E17-'보험개발원 위험률'!E16)*(C55-'보험개발원 위험률'!C16)/('보험개발원 위험률'!C17-'보험개발원 위험률'!C16)</f>
        <v>6.8199999999999999E-4</v>
      </c>
      <c r="F55" s="35" t="s">
        <v>699</v>
      </c>
      <c r="G55" s="35" t="s">
        <v>718</v>
      </c>
      <c r="H55" s="35" t="s">
        <v>682</v>
      </c>
      <c r="I55" s="35" t="s">
        <v>683</v>
      </c>
      <c r="J55" s="24" t="s">
        <v>685</v>
      </c>
    </row>
    <row r="56" spans="1:10">
      <c r="A56" s="15" t="s">
        <v>680</v>
      </c>
      <c r="B56" s="15" t="s">
        <v>681</v>
      </c>
      <c r="C56" s="12">
        <v>49</v>
      </c>
      <c r="D56" s="54">
        <f>'보험개발원 위험률'!D16+('보험개발원 위험률'!D17-'보험개발원 위험률'!D16)*(C56-'보험개발원 위험률'!C16)/('보험개발원 위험률'!C17-'보험개발원 위험률'!C16)</f>
        <v>1.3140000000000001E-3</v>
      </c>
      <c r="E56" s="54">
        <f>'보험개발원 위험률'!E16+('보험개발원 위험률'!E17-'보험개발원 위험률'!E16)*(C56-'보험개발원 위험률'!C16)/('보험개발원 위험률'!C17-'보험개발원 위험률'!C16)</f>
        <v>7.2599999999999997E-4</v>
      </c>
      <c r="F56" s="35" t="s">
        <v>699</v>
      </c>
      <c r="G56" s="35" t="s">
        <v>718</v>
      </c>
      <c r="H56" s="35" t="s">
        <v>682</v>
      </c>
      <c r="I56" s="35" t="s">
        <v>683</v>
      </c>
      <c r="J56" s="24" t="s">
        <v>685</v>
      </c>
    </row>
    <row r="57" spans="1:10">
      <c r="A57" s="15" t="s">
        <v>680</v>
      </c>
      <c r="B57" s="15" t="s">
        <v>681</v>
      </c>
      <c r="C57" s="12">
        <v>50</v>
      </c>
      <c r="D57" s="54">
        <f>'보험개발원 위험률'!D17</f>
        <v>1.41E-3</v>
      </c>
      <c r="E57" s="54">
        <f>'보험개발원 위험률'!E17</f>
        <v>7.6999999999999996E-4</v>
      </c>
      <c r="F57" s="35" t="s">
        <v>697</v>
      </c>
      <c r="G57" s="35" t="s">
        <v>719</v>
      </c>
      <c r="H57" s="35" t="s">
        <v>682</v>
      </c>
      <c r="I57" s="35" t="s">
        <v>683</v>
      </c>
      <c r="J57" s="24" t="s">
        <v>685</v>
      </c>
    </row>
    <row r="58" spans="1:10">
      <c r="A58" s="15" t="s">
        <v>680</v>
      </c>
      <c r="B58" s="15" t="s">
        <v>681</v>
      </c>
      <c r="C58" s="12">
        <v>51</v>
      </c>
      <c r="D58" s="54">
        <f>'보험개발원 위험률'!D17+('보험개발원 위험률'!D18-'보험개발원 위험률'!D17)*(C58-'보험개발원 위험률'!C17)/('보험개발원 위험률'!C18-'보험개발원 위험률'!C17)</f>
        <v>1.56E-3</v>
      </c>
      <c r="E58" s="54">
        <f>'보험개발원 위험률'!E17+('보험개발원 위험률'!E18-'보험개발원 위험률'!E17)*(C58-'보험개발원 위험률'!C17)/('보험개발원 위험률'!C18-'보험개발원 위험률'!C17)</f>
        <v>8.2599999999999991E-4</v>
      </c>
      <c r="F58" s="35" t="s">
        <v>699</v>
      </c>
      <c r="G58" s="35" t="s">
        <v>720</v>
      </c>
      <c r="H58" s="35" t="s">
        <v>682</v>
      </c>
      <c r="I58" s="35" t="s">
        <v>683</v>
      </c>
      <c r="J58" s="24" t="s">
        <v>685</v>
      </c>
    </row>
    <row r="59" spans="1:10">
      <c r="A59" s="15" t="s">
        <v>680</v>
      </c>
      <c r="B59" s="15" t="s">
        <v>681</v>
      </c>
      <c r="C59" s="12">
        <v>52</v>
      </c>
      <c r="D59" s="54">
        <f>'보험개발원 위험률'!D17+('보험개발원 위험률'!D18-'보험개발원 위험률'!D17)*(C59-'보험개발원 위험률'!C17)/('보험개발원 위험률'!C18-'보험개발원 위험률'!C17)</f>
        <v>1.7100000000000001E-3</v>
      </c>
      <c r="E59" s="54">
        <f>'보험개발원 위험률'!E17+('보험개발원 위험률'!E18-'보험개발원 위험률'!E17)*(C59-'보험개발원 위험률'!C17)/('보험개발원 위험률'!C18-'보험개발원 위험률'!C17)</f>
        <v>8.8199999999999997E-4</v>
      </c>
      <c r="F59" s="35" t="s">
        <v>699</v>
      </c>
      <c r="G59" s="35" t="s">
        <v>720</v>
      </c>
      <c r="H59" s="35" t="s">
        <v>682</v>
      </c>
      <c r="I59" s="35" t="s">
        <v>683</v>
      </c>
      <c r="J59" s="24" t="s">
        <v>685</v>
      </c>
    </row>
    <row r="60" spans="1:10">
      <c r="A60" s="15" t="s">
        <v>680</v>
      </c>
      <c r="B60" s="15" t="s">
        <v>681</v>
      </c>
      <c r="C60" s="12">
        <v>53</v>
      </c>
      <c r="D60" s="54">
        <f>'보험개발원 위험률'!D17+('보험개발원 위험률'!D18-'보험개발원 위험률'!D17)*(C60-'보험개발원 위험률'!C17)/('보험개발원 위험률'!C18-'보험개발원 위험률'!C17)</f>
        <v>1.8600000000000001E-3</v>
      </c>
      <c r="E60" s="54">
        <f>'보험개발원 위험률'!E17+('보험개발원 위험률'!E18-'보험개발원 위험률'!E17)*(C60-'보험개발원 위험률'!C17)/('보험개발원 위험률'!C18-'보험개발원 위험률'!C17)</f>
        <v>9.3799999999999992E-4</v>
      </c>
      <c r="F60" s="35" t="s">
        <v>699</v>
      </c>
      <c r="G60" s="35" t="s">
        <v>720</v>
      </c>
      <c r="H60" s="35" t="s">
        <v>682</v>
      </c>
      <c r="I60" s="35" t="s">
        <v>683</v>
      </c>
      <c r="J60" s="24" t="s">
        <v>685</v>
      </c>
    </row>
    <row r="61" spans="1:10">
      <c r="A61" s="15" t="s">
        <v>680</v>
      </c>
      <c r="B61" s="15" t="s">
        <v>681</v>
      </c>
      <c r="C61" s="12">
        <v>54</v>
      </c>
      <c r="D61" s="54">
        <f>'보험개발원 위험률'!D17+('보험개발원 위험률'!D18-'보험개발원 위험률'!D17)*(C61-'보험개발원 위험률'!C17)/('보험개발원 위험률'!C18-'보험개발원 위험률'!C17)</f>
        <v>2.0100000000000001E-3</v>
      </c>
      <c r="E61" s="54">
        <f>'보험개발원 위험률'!E17+('보험개발원 위험률'!E18-'보험개발원 위험률'!E17)*(C61-'보험개발원 위험률'!C17)/('보험개발원 위험률'!C18-'보험개발원 위험률'!C17)</f>
        <v>9.9399999999999987E-4</v>
      </c>
      <c r="F61" s="35" t="s">
        <v>699</v>
      </c>
      <c r="G61" s="35" t="s">
        <v>720</v>
      </c>
      <c r="H61" s="35" t="s">
        <v>682</v>
      </c>
      <c r="I61" s="35" t="s">
        <v>683</v>
      </c>
      <c r="J61" s="24" t="s">
        <v>685</v>
      </c>
    </row>
    <row r="62" spans="1:10">
      <c r="A62" s="15" t="s">
        <v>680</v>
      </c>
      <c r="B62" s="15" t="s">
        <v>681</v>
      </c>
      <c r="C62" s="12">
        <v>55</v>
      </c>
      <c r="D62" s="54">
        <f>'보험개발원 위험률'!D18</f>
        <v>2.16E-3</v>
      </c>
      <c r="E62" s="54">
        <f>'보험개발원 위험률'!E18</f>
        <v>1.0499999999999999E-3</v>
      </c>
      <c r="F62" s="35" t="s">
        <v>697</v>
      </c>
      <c r="G62" s="35" t="s">
        <v>721</v>
      </c>
      <c r="H62" s="35" t="s">
        <v>682</v>
      </c>
      <c r="I62" s="35" t="s">
        <v>683</v>
      </c>
      <c r="J62" s="24" t="s">
        <v>685</v>
      </c>
    </row>
    <row r="63" spans="1:10">
      <c r="A63" s="15" t="s">
        <v>680</v>
      </c>
      <c r="B63" s="15" t="s">
        <v>681</v>
      </c>
      <c r="C63" s="12">
        <v>56</v>
      </c>
      <c r="D63" s="54">
        <f>'보험개발원 위험률'!D18+('보험개발원 위험률'!D19-'보험개발원 위험률'!D18)*(C63-'보험개발원 위험률'!C18)/('보험개발원 위험률'!C19-'보험개발원 위험률'!C18)</f>
        <v>2.4060000000000002E-3</v>
      </c>
      <c r="E63" s="54">
        <f>'보험개발원 위험률'!E18+('보험개발원 위험률'!E19-'보험개발원 위험률'!E18)*(C63-'보험개발원 위험률'!C18)/('보험개발원 위험률'!C19-'보험개발원 위험률'!C18)</f>
        <v>1.1179999999999999E-3</v>
      </c>
      <c r="F63" s="35" t="s">
        <v>699</v>
      </c>
      <c r="G63" s="35" t="s">
        <v>722</v>
      </c>
      <c r="H63" s="35" t="s">
        <v>682</v>
      </c>
      <c r="I63" s="35" t="s">
        <v>683</v>
      </c>
      <c r="J63" s="24" t="s">
        <v>685</v>
      </c>
    </row>
    <row r="64" spans="1:10">
      <c r="A64" s="15" t="s">
        <v>680</v>
      </c>
      <c r="B64" s="15" t="s">
        <v>681</v>
      </c>
      <c r="C64" s="12">
        <v>57</v>
      </c>
      <c r="D64" s="54">
        <f>'보험개발원 위험률'!D18+('보험개발원 위험률'!D19-'보험개발원 위험률'!D18)*(C64-'보험개발원 위험률'!C18)/('보험개발원 위험률'!C19-'보험개발원 위험률'!C18)</f>
        <v>2.6519999999999998E-3</v>
      </c>
      <c r="E64" s="54">
        <f>'보험개발원 위험률'!E18+('보험개발원 위험률'!E19-'보험개발원 위험률'!E18)*(C64-'보험개발원 위험률'!C18)/('보험개발원 위험률'!C19-'보험개발원 위험률'!C18)</f>
        <v>1.186E-3</v>
      </c>
      <c r="F64" s="35" t="s">
        <v>699</v>
      </c>
      <c r="G64" s="35" t="s">
        <v>722</v>
      </c>
      <c r="H64" s="35" t="s">
        <v>682</v>
      </c>
      <c r="I64" s="35" t="s">
        <v>683</v>
      </c>
      <c r="J64" s="24" t="s">
        <v>685</v>
      </c>
    </row>
    <row r="65" spans="1:10">
      <c r="A65" s="15" t="s">
        <v>680</v>
      </c>
      <c r="B65" s="15" t="s">
        <v>681</v>
      </c>
      <c r="C65" s="12">
        <v>58</v>
      </c>
      <c r="D65" s="54">
        <f>'보험개발원 위험률'!D18+('보험개발원 위험률'!D19-'보험개발원 위험률'!D18)*(C65-'보험개발원 위험률'!C18)/('보험개발원 위험률'!C19-'보험개발원 위험률'!C18)</f>
        <v>2.898E-3</v>
      </c>
      <c r="E65" s="54">
        <f>'보험개발원 위험률'!E18+('보험개발원 위험률'!E19-'보험개발원 위험률'!E18)*(C65-'보험개발원 위험률'!C18)/('보험개발원 위험률'!C19-'보험개발원 위험률'!C18)</f>
        <v>1.2539999999999999E-3</v>
      </c>
      <c r="F65" s="35" t="s">
        <v>699</v>
      </c>
      <c r="G65" s="35" t="s">
        <v>722</v>
      </c>
      <c r="H65" s="35" t="s">
        <v>682</v>
      </c>
      <c r="I65" s="35" t="s">
        <v>683</v>
      </c>
      <c r="J65" s="24" t="s">
        <v>685</v>
      </c>
    </row>
    <row r="66" spans="1:10">
      <c r="A66" s="15" t="s">
        <v>680</v>
      </c>
      <c r="B66" s="15" t="s">
        <v>681</v>
      </c>
      <c r="C66" s="12">
        <v>59</v>
      </c>
      <c r="D66" s="54">
        <f>'보험개발원 위험률'!D18+('보험개발원 위험률'!D19-'보험개발원 위험률'!D18)*(C66-'보험개발원 위험률'!C18)/('보험개발원 위험률'!C19-'보험개발원 위험률'!C18)</f>
        <v>3.1440000000000001E-3</v>
      </c>
      <c r="E66" s="54">
        <f>'보험개발원 위험률'!E18+('보험개발원 위험률'!E19-'보험개발원 위험률'!E18)*(C66-'보험개발원 위험률'!C18)/('보험개발원 위험률'!C19-'보험개발원 위험률'!C18)</f>
        <v>1.3219999999999998E-3</v>
      </c>
      <c r="F66" s="35" t="s">
        <v>699</v>
      </c>
      <c r="G66" s="35" t="s">
        <v>722</v>
      </c>
      <c r="H66" s="35" t="s">
        <v>682</v>
      </c>
      <c r="I66" s="35" t="s">
        <v>683</v>
      </c>
      <c r="J66" s="24" t="s">
        <v>685</v>
      </c>
    </row>
    <row r="67" spans="1:10">
      <c r="A67" s="15" t="s">
        <v>680</v>
      </c>
      <c r="B67" s="15" t="s">
        <v>681</v>
      </c>
      <c r="C67" s="12">
        <v>60</v>
      </c>
      <c r="D67" s="54">
        <f>'보험개발원 위험률'!D19</f>
        <v>3.3899999999999998E-3</v>
      </c>
      <c r="E67" s="54">
        <f>'보험개발원 위험률'!E19</f>
        <v>1.39E-3</v>
      </c>
      <c r="F67" s="35" t="s">
        <v>697</v>
      </c>
      <c r="G67" s="35" t="s">
        <v>723</v>
      </c>
      <c r="H67" s="35" t="s">
        <v>682</v>
      </c>
      <c r="I67" s="35" t="s">
        <v>683</v>
      </c>
      <c r="J67" s="24" t="s">
        <v>685</v>
      </c>
    </row>
    <row r="68" spans="1:10">
      <c r="A68" s="15" t="s">
        <v>680</v>
      </c>
      <c r="B68" s="15" t="s">
        <v>681</v>
      </c>
      <c r="C68" s="12">
        <v>61</v>
      </c>
      <c r="D68" s="54">
        <f>'보험개발원 위험률'!D19+('보험개발원 위험률'!D20-'보험개발원 위험률'!D19)*(C68-'보험개발원 위험률'!C19)/('보험개발원 위험률'!C20-'보험개발원 위험률'!C19)</f>
        <v>3.826E-3</v>
      </c>
      <c r="E68" s="54">
        <f>'보험개발원 위험률'!E19+('보험개발원 위험률'!E20-'보험개발원 위험률'!E19)*(C68-'보험개발원 위험률'!C19)/('보험개발원 위험률'!C20-'보험개발원 위험률'!C19)</f>
        <v>1.5279999999999998E-3</v>
      </c>
      <c r="F68" s="35" t="s">
        <v>699</v>
      </c>
      <c r="G68" s="35" t="s">
        <v>724</v>
      </c>
      <c r="H68" s="35" t="s">
        <v>682</v>
      </c>
      <c r="I68" s="35" t="s">
        <v>683</v>
      </c>
      <c r="J68" s="24" t="s">
        <v>685</v>
      </c>
    </row>
    <row r="69" spans="1:10">
      <c r="A69" s="15" t="s">
        <v>680</v>
      </c>
      <c r="B69" s="15" t="s">
        <v>681</v>
      </c>
      <c r="C69" s="12">
        <v>62</v>
      </c>
      <c r="D69" s="54">
        <f>'보험개발원 위험률'!D19+('보험개발원 위험률'!D20-'보험개발원 위험률'!D19)*(C69-'보험개발원 위험률'!C19)/('보험개발원 위험률'!C20-'보험개발원 위험률'!C19)</f>
        <v>4.2620000000000002E-3</v>
      </c>
      <c r="E69" s="54">
        <f>'보험개발원 위험률'!E19+('보험개발원 위험률'!E20-'보험개발원 위험률'!E19)*(C69-'보험개발원 위험률'!C19)/('보험개발원 위험률'!C20-'보험개발원 위험률'!C19)</f>
        <v>1.6659999999999999E-3</v>
      </c>
      <c r="F69" s="35" t="s">
        <v>699</v>
      </c>
      <c r="G69" s="35" t="s">
        <v>724</v>
      </c>
      <c r="H69" s="35" t="s">
        <v>682</v>
      </c>
      <c r="I69" s="35" t="s">
        <v>683</v>
      </c>
      <c r="J69" s="24" t="s">
        <v>685</v>
      </c>
    </row>
    <row r="70" spans="1:10">
      <c r="A70" s="15" t="s">
        <v>680</v>
      </c>
      <c r="B70" s="15" t="s">
        <v>681</v>
      </c>
      <c r="C70" s="12">
        <v>63</v>
      </c>
      <c r="D70" s="54">
        <f>'보험개발원 위험률'!D19+('보험개발원 위험률'!D20-'보험개발원 위험률'!D19)*(C70-'보험개발원 위험률'!C19)/('보험개발원 위험률'!C20-'보험개발원 위험률'!C19)</f>
        <v>4.6979999999999999E-3</v>
      </c>
      <c r="E70" s="54">
        <f>'보험개발원 위험률'!E19+('보험개발원 위험률'!E20-'보험개발원 위험률'!E19)*(C70-'보험개발원 위험률'!C19)/('보험개발원 위험률'!C20-'보험개발원 위험률'!C19)</f>
        <v>1.804E-3</v>
      </c>
      <c r="F70" s="35" t="s">
        <v>699</v>
      </c>
      <c r="G70" s="35" t="s">
        <v>724</v>
      </c>
      <c r="H70" s="35" t="s">
        <v>682</v>
      </c>
      <c r="I70" s="35" t="s">
        <v>683</v>
      </c>
      <c r="J70" s="24" t="s">
        <v>685</v>
      </c>
    </row>
    <row r="71" spans="1:10">
      <c r="A71" s="15" t="s">
        <v>680</v>
      </c>
      <c r="B71" s="15" t="s">
        <v>681</v>
      </c>
      <c r="C71" s="12">
        <v>64</v>
      </c>
      <c r="D71" s="54">
        <f>'보험개발원 위험률'!D19+('보험개발원 위험률'!D20-'보험개발원 위험률'!D19)*(C71-'보험개발원 위험률'!C19)/('보험개발원 위험률'!C20-'보험개발원 위험률'!C19)</f>
        <v>5.1339999999999997E-3</v>
      </c>
      <c r="E71" s="54">
        <f>'보험개발원 위험률'!E19+('보험개발원 위험률'!E20-'보험개발원 위험률'!E19)*(C71-'보험개발원 위험률'!C19)/('보험개발원 위험률'!C20-'보험개발원 위험률'!C19)</f>
        <v>1.9419999999999997E-3</v>
      </c>
      <c r="F71" s="35" t="s">
        <v>699</v>
      </c>
      <c r="G71" s="35" t="s">
        <v>724</v>
      </c>
      <c r="H71" s="35" t="s">
        <v>682</v>
      </c>
      <c r="I71" s="35" t="s">
        <v>683</v>
      </c>
      <c r="J71" s="24" t="s">
        <v>685</v>
      </c>
    </row>
    <row r="72" spans="1:10">
      <c r="A72" s="15" t="s">
        <v>680</v>
      </c>
      <c r="B72" s="15" t="s">
        <v>681</v>
      </c>
      <c r="C72" s="12">
        <v>65</v>
      </c>
      <c r="D72" s="54">
        <f>'보험개발원 위험률'!D20</f>
        <v>5.5700000000000003E-3</v>
      </c>
      <c r="E72" s="54">
        <f>'보험개발원 위험률'!E20</f>
        <v>2.0799999999999998E-3</v>
      </c>
      <c r="F72" s="35" t="s">
        <v>697</v>
      </c>
      <c r="G72" s="35" t="s">
        <v>725</v>
      </c>
      <c r="H72" s="35" t="s">
        <v>682</v>
      </c>
      <c r="I72" s="35" t="s">
        <v>683</v>
      </c>
      <c r="J72" s="24" t="s">
        <v>685</v>
      </c>
    </row>
    <row r="73" spans="1:10">
      <c r="A73" s="15" t="s">
        <v>680</v>
      </c>
      <c r="B73" s="15" t="s">
        <v>681</v>
      </c>
      <c r="C73" s="12">
        <v>66</v>
      </c>
      <c r="D73" s="54">
        <f>'보험개발원 위험률'!D20+('보험개발원 위험률'!D21-'보험개발원 위험률'!D20)*(C73-'보험개발원 위험률'!C20)/('보험개발원 위험률'!C21-'보험개발원 위험률'!C20)</f>
        <v>6.326E-3</v>
      </c>
      <c r="E73" s="54">
        <f>'보험개발원 위험률'!E20+('보험개발원 위험률'!E21-'보험개발원 위험률'!E20)*(C73-'보험개발원 위험률'!C20)/('보험개발원 위험률'!C21-'보험개발원 위험률'!C20)</f>
        <v>2.3699999999999997E-3</v>
      </c>
      <c r="F73" s="35" t="s">
        <v>699</v>
      </c>
      <c r="G73" s="35" t="s">
        <v>726</v>
      </c>
      <c r="H73" s="35" t="s">
        <v>682</v>
      </c>
      <c r="I73" s="35" t="s">
        <v>683</v>
      </c>
      <c r="J73" s="24" t="s">
        <v>685</v>
      </c>
    </row>
    <row r="74" spans="1:10">
      <c r="A74" s="15" t="s">
        <v>680</v>
      </c>
      <c r="B74" s="15" t="s">
        <v>681</v>
      </c>
      <c r="C74" s="12">
        <v>67</v>
      </c>
      <c r="D74" s="54">
        <f>'보험개발원 위험률'!D20+('보험개발원 위험률'!D21-'보험개발원 위험률'!D20)*(C74-'보험개발원 위험률'!C20)/('보험개발원 위험률'!C21-'보험개발원 위험률'!C20)</f>
        <v>7.0820000000000006E-3</v>
      </c>
      <c r="E74" s="54">
        <f>'보험개발원 위험률'!E20+('보험개발원 위험률'!E21-'보험개발원 위험률'!E20)*(C74-'보험개발원 위험률'!C20)/('보험개발원 위험률'!C21-'보험개발원 위험률'!C20)</f>
        <v>2.66E-3</v>
      </c>
      <c r="F74" s="35" t="s">
        <v>699</v>
      </c>
      <c r="G74" s="35" t="s">
        <v>726</v>
      </c>
      <c r="H74" s="35" t="s">
        <v>682</v>
      </c>
      <c r="I74" s="35" t="s">
        <v>683</v>
      </c>
      <c r="J74" s="24" t="s">
        <v>685</v>
      </c>
    </row>
    <row r="75" spans="1:10">
      <c r="A75" s="15" t="s">
        <v>680</v>
      </c>
      <c r="B75" s="15" t="s">
        <v>681</v>
      </c>
      <c r="C75" s="12">
        <v>68</v>
      </c>
      <c r="D75" s="54">
        <f>'보험개발원 위험률'!D20+('보험개발원 위험률'!D21-'보험개발원 위험률'!D20)*(C75-'보험개발원 위험률'!C20)/('보험개발원 위험률'!C21-'보험개발원 위험률'!C20)</f>
        <v>7.8380000000000012E-3</v>
      </c>
      <c r="E75" s="54">
        <f>'보험개발원 위험률'!E20+('보험개발원 위험률'!E21-'보험개발원 위험률'!E20)*(C75-'보험개발원 위험률'!C20)/('보험개발원 위험률'!C21-'보험개발원 위험률'!C20)</f>
        <v>2.9500000000000004E-3</v>
      </c>
      <c r="F75" s="35" t="s">
        <v>699</v>
      </c>
      <c r="G75" s="35" t="s">
        <v>726</v>
      </c>
      <c r="H75" s="35" t="s">
        <v>682</v>
      </c>
      <c r="I75" s="35" t="s">
        <v>683</v>
      </c>
      <c r="J75" s="24" t="s">
        <v>685</v>
      </c>
    </row>
    <row r="76" spans="1:10">
      <c r="A76" s="15" t="s">
        <v>680</v>
      </c>
      <c r="B76" s="15" t="s">
        <v>681</v>
      </c>
      <c r="C76" s="12">
        <v>69</v>
      </c>
      <c r="D76" s="54">
        <f>'보험개발원 위험률'!D20+('보험개발원 위험률'!D21-'보험개발원 위험률'!D20)*(C76-'보험개발원 위험률'!C20)/('보험개발원 위험률'!C21-'보험개발원 위험률'!C20)</f>
        <v>8.5940000000000009E-3</v>
      </c>
      <c r="E76" s="54">
        <f>'보험개발원 위험률'!E20+('보험개발원 위험률'!E21-'보험개발원 위험률'!E20)*(C76-'보험개발원 위험률'!C20)/('보험개발원 위험률'!C21-'보험개발원 위험률'!C20)</f>
        <v>3.2399999999999998E-3</v>
      </c>
      <c r="F76" s="35" t="s">
        <v>699</v>
      </c>
      <c r="G76" s="35" t="s">
        <v>726</v>
      </c>
      <c r="H76" s="35" t="s">
        <v>682</v>
      </c>
      <c r="I76" s="35" t="s">
        <v>683</v>
      </c>
      <c r="J76" s="24" t="s">
        <v>685</v>
      </c>
    </row>
    <row r="77" spans="1:10">
      <c r="A77" s="15" t="s">
        <v>680</v>
      </c>
      <c r="B77" s="15" t="s">
        <v>681</v>
      </c>
      <c r="C77" s="12">
        <v>70</v>
      </c>
      <c r="D77" s="54">
        <f>'보험개발원 위험률'!D21</f>
        <v>9.3500000000000007E-3</v>
      </c>
      <c r="E77" s="54">
        <f>'보험개발원 위험률'!E21</f>
        <v>3.5300000000000002E-3</v>
      </c>
      <c r="F77" s="35" t="s">
        <v>697</v>
      </c>
      <c r="G77" s="35" t="s">
        <v>727</v>
      </c>
      <c r="H77" s="35" t="s">
        <v>682</v>
      </c>
      <c r="I77" s="35" t="s">
        <v>683</v>
      </c>
      <c r="J77" s="24" t="s">
        <v>685</v>
      </c>
    </row>
    <row r="78" spans="1:10">
      <c r="A78" s="15" t="s">
        <v>680</v>
      </c>
      <c r="B78" s="15" t="s">
        <v>681</v>
      </c>
      <c r="C78" s="12">
        <v>71</v>
      </c>
      <c r="D78" s="54">
        <f>'보험개발원 위험률'!D21+('보험개발원 위험률'!D22-'보험개발원 위험률'!D21)*(C78-'보험개발원 위험률'!C21)/('보험개발원 위험률'!C22-'보험개발원 위험률'!C21)</f>
        <v>1.0894000000000001E-2</v>
      </c>
      <c r="E78" s="54">
        <f>'보험개발원 위험률'!E21+('보험개발원 위험률'!E22-'보험개발원 위험률'!E21)*(C78-'보험개발원 위험률'!C21)/('보험개발원 위험률'!C22-'보험개발원 위험률'!C21)</f>
        <v>4.2820000000000002E-3</v>
      </c>
      <c r="F78" s="35" t="s">
        <v>699</v>
      </c>
      <c r="G78" s="35" t="s">
        <v>728</v>
      </c>
      <c r="H78" s="35" t="s">
        <v>682</v>
      </c>
      <c r="I78" s="35" t="s">
        <v>683</v>
      </c>
      <c r="J78" s="24" t="s">
        <v>685</v>
      </c>
    </row>
    <row r="79" spans="1:10">
      <c r="A79" s="15" t="s">
        <v>680</v>
      </c>
      <c r="B79" s="15" t="s">
        <v>681</v>
      </c>
      <c r="C79" s="12">
        <v>72</v>
      </c>
      <c r="D79" s="54">
        <f>'보험개발원 위험률'!D21+('보험개발원 위험률'!D22-'보험개발원 위험률'!D21)*(C79-'보험개발원 위험률'!C21)/('보험개발원 위험률'!C22-'보험개발원 위험률'!C21)</f>
        <v>1.2437999999999999E-2</v>
      </c>
      <c r="E79" s="54">
        <f>'보험개발원 위험률'!E21+('보험개발원 위험률'!E22-'보험개발원 위험률'!E21)*(C79-'보험개발원 위험률'!C21)/('보험개발원 위험률'!C22-'보험개발원 위험률'!C21)</f>
        <v>5.0340000000000003E-3</v>
      </c>
      <c r="F79" s="35" t="s">
        <v>699</v>
      </c>
      <c r="G79" s="35" t="s">
        <v>728</v>
      </c>
      <c r="H79" s="35" t="s">
        <v>682</v>
      </c>
      <c r="I79" s="35" t="s">
        <v>683</v>
      </c>
      <c r="J79" s="24" t="s">
        <v>685</v>
      </c>
    </row>
    <row r="80" spans="1:10">
      <c r="A80" s="15" t="s">
        <v>680</v>
      </c>
      <c r="B80" s="15" t="s">
        <v>681</v>
      </c>
      <c r="C80" s="12">
        <v>73</v>
      </c>
      <c r="D80" s="54">
        <f>'보험개발원 위험률'!D21+('보험개발원 위험률'!D22-'보험개발원 위험률'!D21)*(C80-'보험개발원 위험률'!C21)/('보험개발원 위험률'!C22-'보험개발원 위험률'!C21)</f>
        <v>1.3982E-2</v>
      </c>
      <c r="E80" s="54">
        <f>'보험개발원 위험률'!E21+('보험개발원 위험률'!E22-'보험개발원 위험률'!E21)*(C80-'보험개발원 위험률'!C21)/('보험개발원 위험률'!C22-'보험개발원 위험률'!C21)</f>
        <v>5.7859999999999995E-3</v>
      </c>
      <c r="F80" s="35" t="s">
        <v>699</v>
      </c>
      <c r="G80" s="35" t="s">
        <v>728</v>
      </c>
      <c r="H80" s="35" t="s">
        <v>682</v>
      </c>
      <c r="I80" s="35" t="s">
        <v>683</v>
      </c>
      <c r="J80" s="24" t="s">
        <v>685</v>
      </c>
    </row>
    <row r="81" spans="1:10">
      <c r="A81" s="15" t="s">
        <v>680</v>
      </c>
      <c r="B81" s="15" t="s">
        <v>681</v>
      </c>
      <c r="C81" s="12">
        <v>74</v>
      </c>
      <c r="D81" s="54">
        <f>'보험개발원 위험률'!D21+('보험개발원 위험률'!D22-'보험개발원 위험률'!D21)*(C81-'보험개발원 위험률'!C21)/('보험개발원 위험률'!C22-'보험개발원 위험률'!C21)</f>
        <v>1.5525999999999998E-2</v>
      </c>
      <c r="E81" s="54">
        <f>'보험개발원 위험률'!E21+('보험개발원 위험률'!E22-'보험개발원 위험률'!E21)*(C81-'보험개발원 위험률'!C21)/('보험개발원 위험률'!C22-'보험개발원 위험률'!C21)</f>
        <v>6.5379999999999995E-3</v>
      </c>
      <c r="F81" s="35" t="s">
        <v>699</v>
      </c>
      <c r="G81" s="35" t="s">
        <v>728</v>
      </c>
      <c r="H81" s="35" t="s">
        <v>682</v>
      </c>
      <c r="I81" s="35" t="s">
        <v>683</v>
      </c>
      <c r="J81" s="24" t="s">
        <v>685</v>
      </c>
    </row>
    <row r="82" spans="1:10">
      <c r="A82" s="15" t="s">
        <v>680</v>
      </c>
      <c r="B82" s="15" t="s">
        <v>681</v>
      </c>
      <c r="C82" s="12">
        <v>75</v>
      </c>
      <c r="D82" s="54">
        <f>'보험개발원 위험률'!D22</f>
        <v>1.7069999999999998E-2</v>
      </c>
      <c r="E82" s="54">
        <f>'보험개발원 위험률'!E22</f>
        <v>7.2899999999999996E-3</v>
      </c>
      <c r="F82" s="35" t="s">
        <v>697</v>
      </c>
      <c r="G82" s="35" t="s">
        <v>729</v>
      </c>
      <c r="H82" s="35" t="s">
        <v>682</v>
      </c>
      <c r="I82" s="35" t="s">
        <v>683</v>
      </c>
      <c r="J82" s="24" t="s">
        <v>685</v>
      </c>
    </row>
    <row r="83" spans="1:10">
      <c r="A83" s="15" t="s">
        <v>680</v>
      </c>
      <c r="B83" s="15" t="s">
        <v>681</v>
      </c>
      <c r="C83" s="12">
        <v>76</v>
      </c>
      <c r="D83" s="54">
        <f>'보험개발원 위험률'!D22+('보험개발원 위험률'!D23-'보험개발원 위험률'!D22)*(C83-'보험개발원 위험률'!C22)/('보험개발원 위험률'!C23-'보험개발원 위험률'!C22)</f>
        <v>2.0055999999999997E-2</v>
      </c>
      <c r="E83" s="54">
        <f>'보험개발원 위험률'!E22+('보험개발원 위험률'!E23-'보험개발원 위험률'!E22)*(C83-'보험개발원 위험률'!C22)/('보험개발원 위험률'!C23-'보험개발원 위험률'!C22)</f>
        <v>9.1800000000000007E-3</v>
      </c>
      <c r="F83" s="35" t="s">
        <v>699</v>
      </c>
      <c r="G83" s="35" t="s">
        <v>730</v>
      </c>
      <c r="H83" s="35" t="s">
        <v>682</v>
      </c>
      <c r="I83" s="35" t="s">
        <v>683</v>
      </c>
      <c r="J83" s="24" t="s">
        <v>685</v>
      </c>
    </row>
    <row r="84" spans="1:10">
      <c r="A84" s="15" t="s">
        <v>680</v>
      </c>
      <c r="B84" s="15" t="s">
        <v>681</v>
      </c>
      <c r="C84" s="12">
        <v>77</v>
      </c>
      <c r="D84" s="54">
        <f>'보험개발원 위험률'!D22+('보험개발원 위험률'!D23-'보험개발원 위험률'!D22)*(C84-'보험개발원 위험률'!C22)/('보험개발원 위험률'!C23-'보험개발원 위험률'!C22)</f>
        <v>2.3042E-2</v>
      </c>
      <c r="E84" s="54">
        <f>'보험개발원 위험률'!E22+('보험개발원 위험률'!E23-'보험개발원 위험률'!E22)*(C84-'보험개발원 위험률'!C22)/('보험개발원 위험률'!C23-'보험개발원 위험률'!C22)</f>
        <v>1.107E-2</v>
      </c>
      <c r="F84" s="35" t="s">
        <v>699</v>
      </c>
      <c r="G84" s="35" t="s">
        <v>730</v>
      </c>
      <c r="H84" s="35" t="s">
        <v>682</v>
      </c>
      <c r="I84" s="35" t="s">
        <v>683</v>
      </c>
      <c r="J84" s="24" t="s">
        <v>685</v>
      </c>
    </row>
    <row r="85" spans="1:10">
      <c r="A85" s="15" t="s">
        <v>680</v>
      </c>
      <c r="B85" s="15" t="s">
        <v>681</v>
      </c>
      <c r="C85" s="12">
        <v>78</v>
      </c>
      <c r="D85" s="54">
        <f>'보험개발원 위험률'!D22+('보험개발원 위험률'!D23-'보험개발원 위험률'!D22)*(C85-'보험개발원 위험률'!C22)/('보험개발원 위험률'!C23-'보험개발원 위험률'!C22)</f>
        <v>2.6028000000000003E-2</v>
      </c>
      <c r="E85" s="54">
        <f>'보험개발원 위험률'!E22+('보험개발원 위험률'!E23-'보험개발원 위험률'!E22)*(C85-'보험개발원 위험률'!C22)/('보험개발원 위험률'!C23-'보험개발원 위험률'!C22)</f>
        <v>1.2960000000000001E-2</v>
      </c>
      <c r="F85" s="35" t="s">
        <v>699</v>
      </c>
      <c r="G85" s="35" t="s">
        <v>730</v>
      </c>
      <c r="H85" s="35" t="s">
        <v>682</v>
      </c>
      <c r="I85" s="35" t="s">
        <v>683</v>
      </c>
      <c r="J85" s="24" t="s">
        <v>685</v>
      </c>
    </row>
    <row r="86" spans="1:10">
      <c r="A86" s="15" t="s">
        <v>680</v>
      </c>
      <c r="B86" s="15" t="s">
        <v>681</v>
      </c>
      <c r="C86" s="12">
        <v>79</v>
      </c>
      <c r="D86" s="54">
        <f>'보험개발원 위험률'!D22+('보험개발원 위험률'!D23-'보험개발원 위험률'!D22)*(C86-'보험개발원 위험률'!C22)/('보험개발원 위험률'!C23-'보험개발원 위험률'!C22)</f>
        <v>2.9013999999999998E-2</v>
      </c>
      <c r="E86" s="54">
        <f>'보험개발원 위험률'!E22+('보험개발원 위험률'!E23-'보험개발원 위험률'!E22)*(C86-'보험개발원 위험률'!C22)/('보험개발원 위험률'!C23-'보험개발원 위험률'!C22)</f>
        <v>1.4850000000000002E-2</v>
      </c>
      <c r="F86" s="35" t="s">
        <v>699</v>
      </c>
      <c r="G86" s="35" t="s">
        <v>730</v>
      </c>
      <c r="H86" s="35" t="s">
        <v>682</v>
      </c>
      <c r="I86" s="35" t="s">
        <v>683</v>
      </c>
      <c r="J86" s="24" t="s">
        <v>685</v>
      </c>
    </row>
    <row r="87" spans="1:10">
      <c r="A87" s="15" t="s">
        <v>680</v>
      </c>
      <c r="B87" s="15" t="s">
        <v>681</v>
      </c>
      <c r="C87" s="12">
        <v>80</v>
      </c>
      <c r="D87" s="54">
        <f>'보험개발원 위험률'!D23</f>
        <v>3.2000000000000001E-2</v>
      </c>
      <c r="E87" s="54">
        <f>'보험개발원 위험률'!E23</f>
        <v>1.6740000000000001E-2</v>
      </c>
      <c r="F87" s="35" t="s">
        <v>697</v>
      </c>
      <c r="G87" s="35" t="s">
        <v>731</v>
      </c>
      <c r="H87" s="35" t="s">
        <v>682</v>
      </c>
      <c r="I87" s="35" t="s">
        <v>683</v>
      </c>
      <c r="J87" s="24" t="s">
        <v>685</v>
      </c>
    </row>
    <row r="88" spans="1:10">
      <c r="A88" s="15" t="s">
        <v>680</v>
      </c>
      <c r="B88" s="15" t="s">
        <v>681</v>
      </c>
      <c r="C88" s="12">
        <v>81</v>
      </c>
      <c r="D88" s="54">
        <f>'보험개발원 위험률'!D23+('보험개발원 위험률'!D24-'보험개발원 위험률'!D23)*(C88-'보험개발원 위험률'!C23)/('보험개발원 위험률'!C24-'보험개발원 위험률'!C23)</f>
        <v>3.6206000000000002E-2</v>
      </c>
      <c r="E88" s="54">
        <f>'보험개발원 위험률'!E23+('보험개발원 위험률'!E24-'보험개발원 위험률'!E23)*(C88-'보험개발원 위험률'!C23)/('보험개발원 위험률'!C24-'보험개발원 위험률'!C23)</f>
        <v>2.0251999999999999E-2</v>
      </c>
      <c r="F88" s="35" t="s">
        <v>699</v>
      </c>
      <c r="G88" s="35" t="s">
        <v>732</v>
      </c>
      <c r="H88" s="35" t="s">
        <v>682</v>
      </c>
      <c r="I88" s="35" t="s">
        <v>683</v>
      </c>
      <c r="J88" s="24" t="s">
        <v>685</v>
      </c>
    </row>
    <row r="89" spans="1:10">
      <c r="A89" s="15" t="s">
        <v>680</v>
      </c>
      <c r="B89" s="15" t="s">
        <v>681</v>
      </c>
      <c r="C89" s="12">
        <v>82</v>
      </c>
      <c r="D89" s="54">
        <f>'보험개발원 위험률'!D23+('보험개발원 위험률'!D24-'보험개발원 위험률'!D23)*(C89-'보험개발원 위험률'!C23)/('보험개발원 위험률'!C24-'보험개발원 위험률'!C23)</f>
        <v>4.0412000000000003E-2</v>
      </c>
      <c r="E89" s="54">
        <f>'보험개발원 위험률'!E23+('보험개발원 위험률'!E24-'보험개발원 위험률'!E23)*(C89-'보험개발원 위험률'!C23)/('보험개발원 위험률'!C24-'보험개발원 위험률'!C23)</f>
        <v>2.3764E-2</v>
      </c>
      <c r="F89" s="35" t="s">
        <v>699</v>
      </c>
      <c r="G89" s="35" t="s">
        <v>732</v>
      </c>
      <c r="H89" s="35" t="s">
        <v>682</v>
      </c>
      <c r="I89" s="35" t="s">
        <v>683</v>
      </c>
      <c r="J89" s="24" t="s">
        <v>685</v>
      </c>
    </row>
    <row r="90" spans="1:10">
      <c r="A90" s="15" t="s">
        <v>680</v>
      </c>
      <c r="B90" s="15" t="s">
        <v>681</v>
      </c>
      <c r="C90" s="12">
        <v>83</v>
      </c>
      <c r="D90" s="54">
        <f>'보험개발원 위험률'!D23+('보험개발원 위험률'!D24-'보험개발원 위험률'!D23)*(C90-'보험개발원 위험률'!C23)/('보험개발원 위험률'!C24-'보험개발원 위험률'!C23)</f>
        <v>4.4618000000000005E-2</v>
      </c>
      <c r="E90" s="54">
        <f>'보험개발원 위험률'!E23+('보험개발원 위험률'!E24-'보험개발원 위험률'!E23)*(C90-'보험개발원 위험률'!C23)/('보험개발원 위험률'!C24-'보험개발원 위험률'!C23)</f>
        <v>2.7276000000000002E-2</v>
      </c>
      <c r="F90" s="35" t="s">
        <v>699</v>
      </c>
      <c r="G90" s="35" t="s">
        <v>732</v>
      </c>
      <c r="H90" s="35" t="s">
        <v>682</v>
      </c>
      <c r="I90" s="35" t="s">
        <v>683</v>
      </c>
      <c r="J90" s="24" t="s">
        <v>685</v>
      </c>
    </row>
    <row r="91" spans="1:10">
      <c r="A91" s="15" t="s">
        <v>680</v>
      </c>
      <c r="B91" s="15" t="s">
        <v>681</v>
      </c>
      <c r="C91" s="12">
        <v>84</v>
      </c>
      <c r="D91" s="54">
        <f>'보험개발원 위험률'!D23+('보험개발원 위험률'!D24-'보험개발원 위험률'!D23)*(C91-'보험개발원 위험률'!C23)/('보험개발원 위험률'!C24-'보험개발원 위험률'!C23)</f>
        <v>4.8823999999999999E-2</v>
      </c>
      <c r="E91" s="54">
        <f>'보험개발원 위험률'!E23+('보험개발원 위험률'!E24-'보험개발원 위험률'!E23)*(C91-'보험개발원 위험률'!C23)/('보험개발원 위험률'!C24-'보험개발원 위험률'!C23)</f>
        <v>3.0787999999999996E-2</v>
      </c>
      <c r="F91" s="35" t="s">
        <v>699</v>
      </c>
      <c r="G91" s="35" t="s">
        <v>732</v>
      </c>
      <c r="H91" s="35" t="s">
        <v>682</v>
      </c>
      <c r="I91" s="35" t="s">
        <v>683</v>
      </c>
      <c r="J91" s="24" t="s">
        <v>685</v>
      </c>
    </row>
    <row r="92" spans="1:10">
      <c r="A92" s="15" t="s">
        <v>680</v>
      </c>
      <c r="B92" s="15" t="s">
        <v>681</v>
      </c>
      <c r="C92" s="12">
        <v>85</v>
      </c>
      <c r="D92" s="54">
        <f>'보험개발원 위험률'!D24</f>
        <v>5.3030000000000001E-2</v>
      </c>
      <c r="E92" s="54">
        <f>'보험개발원 위험률'!E24</f>
        <v>3.4299999999999997E-2</v>
      </c>
      <c r="F92" s="35" t="s">
        <v>697</v>
      </c>
      <c r="G92" s="35" t="s">
        <v>733</v>
      </c>
      <c r="H92" s="35" t="s">
        <v>682</v>
      </c>
      <c r="I92" s="35" t="s">
        <v>683</v>
      </c>
      <c r="J92" s="24" t="s">
        <v>685</v>
      </c>
    </row>
    <row r="93" spans="1:10">
      <c r="A93" s="15" t="s">
        <v>680</v>
      </c>
      <c r="B93" s="15" t="s">
        <v>681</v>
      </c>
      <c r="C93" s="12">
        <v>86</v>
      </c>
      <c r="D93" s="54">
        <f>'보험개발원 위험률'!D24+('보험개발원 위험률'!D25-'보험개발원 위험률'!D24)*(C93-'보험개발원 위험률'!C24)/('보험개발원 위험률'!C25-'보험개발원 위험률'!C24)</f>
        <v>5.9872000000000002E-2</v>
      </c>
      <c r="E93" s="54">
        <f>'보험개발원 위험률'!E24+('보험개발원 위험률'!E25-'보험개발원 위험률'!E24)*(C93-'보험개발원 위험률'!C24)/('보험개발원 위험률'!C25-'보험개발원 위험률'!C24)</f>
        <v>4.1359999999999994E-2</v>
      </c>
      <c r="F93" s="35" t="s">
        <v>699</v>
      </c>
      <c r="G93" s="35" t="s">
        <v>734</v>
      </c>
      <c r="H93" s="35" t="s">
        <v>682</v>
      </c>
      <c r="I93" s="35" t="s">
        <v>683</v>
      </c>
      <c r="J93" s="24" t="s">
        <v>685</v>
      </c>
    </row>
    <row r="94" spans="1:10">
      <c r="A94" s="15" t="s">
        <v>680</v>
      </c>
      <c r="B94" s="15" t="s">
        <v>681</v>
      </c>
      <c r="C94" s="12">
        <v>87</v>
      </c>
      <c r="D94" s="54">
        <f>'보험개발원 위험률'!D24+('보험개발원 위험률'!D25-'보험개발원 위험률'!D24)*(C94-'보험개발원 위험률'!C24)/('보험개발원 위험률'!C25-'보험개발원 위험률'!C24)</f>
        <v>6.6713999999999996E-2</v>
      </c>
      <c r="E94" s="54">
        <f>'보험개발원 위험률'!E24+('보험개발원 위험률'!E25-'보험개발원 위험률'!E24)*(C94-'보험개발원 위험률'!C24)/('보험개발원 위험률'!C25-'보험개발원 위험률'!C24)</f>
        <v>4.8419999999999998E-2</v>
      </c>
      <c r="F94" s="35" t="s">
        <v>699</v>
      </c>
      <c r="G94" s="35" t="s">
        <v>734</v>
      </c>
      <c r="H94" s="35" t="s">
        <v>682</v>
      </c>
      <c r="I94" s="35" t="s">
        <v>683</v>
      </c>
      <c r="J94" s="24" t="s">
        <v>685</v>
      </c>
    </row>
    <row r="95" spans="1:10">
      <c r="A95" s="15" t="s">
        <v>680</v>
      </c>
      <c r="B95" s="15" t="s">
        <v>681</v>
      </c>
      <c r="C95" s="12">
        <v>88</v>
      </c>
      <c r="D95" s="54">
        <f>'보험개발원 위험률'!D24+('보험개발원 위험률'!D25-'보험개발원 위험률'!D24)*(C95-'보험개발원 위험률'!C24)/('보험개발원 위험률'!C25-'보험개발원 위험률'!C24)</f>
        <v>7.3555999999999996E-2</v>
      </c>
      <c r="E95" s="54">
        <f>'보험개발원 위험률'!E24+('보험개발원 위험률'!E25-'보험개발원 위험률'!E24)*(C95-'보험개발원 위험률'!C24)/('보험개발원 위험률'!C25-'보험개발원 위험률'!C24)</f>
        <v>5.5479999999999995E-2</v>
      </c>
      <c r="F95" s="35" t="s">
        <v>699</v>
      </c>
      <c r="G95" s="35" t="s">
        <v>734</v>
      </c>
      <c r="H95" s="35" t="s">
        <v>682</v>
      </c>
      <c r="I95" s="35" t="s">
        <v>683</v>
      </c>
      <c r="J95" s="24" t="s">
        <v>685</v>
      </c>
    </row>
    <row r="96" spans="1:10">
      <c r="A96" s="15" t="s">
        <v>680</v>
      </c>
      <c r="B96" s="15" t="s">
        <v>681</v>
      </c>
      <c r="C96" s="12">
        <v>89</v>
      </c>
      <c r="D96" s="54">
        <f>'보험개발원 위험률'!D24+('보험개발원 위험률'!D25-'보험개발원 위험률'!D24)*(C96-'보험개발원 위험률'!C24)/('보험개발원 위험률'!C25-'보험개발원 위험률'!C24)</f>
        <v>8.0397999999999997E-2</v>
      </c>
      <c r="E96" s="54">
        <f>'보험개발원 위험률'!E24+('보험개발원 위험률'!E25-'보험개발원 위험률'!E24)*(C96-'보험개발원 위험률'!C24)/('보험개발원 위험률'!C25-'보험개발원 위험률'!C24)</f>
        <v>6.2539999999999998E-2</v>
      </c>
      <c r="F96" s="35" t="s">
        <v>699</v>
      </c>
      <c r="G96" s="35" t="s">
        <v>734</v>
      </c>
      <c r="H96" s="35" t="s">
        <v>682</v>
      </c>
      <c r="I96" s="35" t="s">
        <v>683</v>
      </c>
      <c r="J96" s="24" t="s">
        <v>685</v>
      </c>
    </row>
    <row r="97" spans="1:10">
      <c r="A97" s="15" t="s">
        <v>680</v>
      </c>
      <c r="B97" s="15" t="s">
        <v>681</v>
      </c>
      <c r="C97" s="12">
        <v>90</v>
      </c>
      <c r="D97" s="54">
        <f>'보험개발원 위험률'!D25</f>
        <v>8.7239999999999998E-2</v>
      </c>
      <c r="E97" s="54">
        <f>'보험개발원 위험률'!E25</f>
        <v>6.9599999999999995E-2</v>
      </c>
      <c r="F97" s="35" t="s">
        <v>697</v>
      </c>
      <c r="G97" s="35" t="s">
        <v>735</v>
      </c>
      <c r="H97" s="35" t="s">
        <v>682</v>
      </c>
      <c r="I97" s="35" t="s">
        <v>683</v>
      </c>
      <c r="J97" s="24" t="s">
        <v>685</v>
      </c>
    </row>
    <row r="98" spans="1:10">
      <c r="A98" s="15" t="s">
        <v>680</v>
      </c>
      <c r="B98" s="15" t="s">
        <v>681</v>
      </c>
      <c r="C98" s="12">
        <v>91</v>
      </c>
      <c r="D98" s="54">
        <f>'보험개발원 위험률'!D25+('보험개발원 위험률'!D26-'보험개발원 위험률'!D25)*(C98-'보험개발원 위험률'!C25)/('보험개발원 위험률'!C26-'보험개발원 위험률'!C25)</f>
        <v>9.6867999999999996E-2</v>
      </c>
      <c r="E98" s="54">
        <f>'보험개발원 위험률'!E25+('보험개발원 위험률'!E26-'보험개발원 위험률'!E25)*(C98-'보험개발원 위험률'!C25)/('보험개발원 위험률'!C26-'보험개발원 위험률'!C25)</f>
        <v>8.2262000000000002E-2</v>
      </c>
      <c r="F98" s="35" t="s">
        <v>699</v>
      </c>
      <c r="G98" s="35" t="s">
        <v>736</v>
      </c>
      <c r="H98" s="35" t="s">
        <v>682</v>
      </c>
      <c r="I98" s="35" t="s">
        <v>683</v>
      </c>
      <c r="J98" s="24" t="s">
        <v>685</v>
      </c>
    </row>
    <row r="99" spans="1:10">
      <c r="A99" s="15" t="s">
        <v>680</v>
      </c>
      <c r="B99" s="15" t="s">
        <v>681</v>
      </c>
      <c r="C99" s="12">
        <v>92</v>
      </c>
      <c r="D99" s="54">
        <f>'보험개발원 위험률'!D25+('보험개발원 위험률'!D26-'보험개발원 위험률'!D25)*(C99-'보험개발원 위험률'!C25)/('보험개발원 위험률'!C26-'보험개발원 위험률'!C25)</f>
        <v>0.10649600000000001</v>
      </c>
      <c r="E99" s="54">
        <f>'보험개발원 위험률'!E25+('보험개발원 위험률'!E26-'보험개발원 위험률'!E25)*(C99-'보험개발원 위험률'!C25)/('보험개발원 위험률'!C26-'보험개발원 위험률'!C25)</f>
        <v>9.4923999999999994E-2</v>
      </c>
      <c r="F99" s="35" t="s">
        <v>699</v>
      </c>
      <c r="G99" s="35" t="s">
        <v>736</v>
      </c>
      <c r="H99" s="35" t="s">
        <v>682</v>
      </c>
      <c r="I99" s="35" t="s">
        <v>683</v>
      </c>
      <c r="J99" s="24" t="s">
        <v>685</v>
      </c>
    </row>
    <row r="100" spans="1:10">
      <c r="A100" s="15" t="s">
        <v>680</v>
      </c>
      <c r="B100" s="15" t="s">
        <v>681</v>
      </c>
      <c r="C100" s="12">
        <v>93</v>
      </c>
      <c r="D100" s="54">
        <f>'보험개발원 위험률'!D25+('보험개발원 위험률'!D26-'보험개발원 위험률'!D25)*(C100-'보험개발원 위험률'!C25)/('보험개발원 위험률'!C26-'보험개발원 위험률'!C25)</f>
        <v>0.116124</v>
      </c>
      <c r="E100" s="54">
        <f>'보험개발원 위험률'!E25+('보험개발원 위험률'!E26-'보험개발원 위험률'!E25)*(C100-'보험개발원 위험률'!C25)/('보험개발원 위험률'!C26-'보험개발원 위험률'!C25)</f>
        <v>0.107586</v>
      </c>
      <c r="F100" s="35" t="s">
        <v>699</v>
      </c>
      <c r="G100" s="35" t="s">
        <v>736</v>
      </c>
      <c r="H100" s="35" t="s">
        <v>682</v>
      </c>
      <c r="I100" s="35" t="s">
        <v>683</v>
      </c>
      <c r="J100" s="24" t="s">
        <v>685</v>
      </c>
    </row>
    <row r="101" spans="1:10">
      <c r="A101" s="15" t="s">
        <v>680</v>
      </c>
      <c r="B101" s="15" t="s">
        <v>681</v>
      </c>
      <c r="C101" s="12">
        <v>94</v>
      </c>
      <c r="D101" s="54">
        <f>'보험개발원 위험률'!D25+('보험개발원 위험률'!D26-'보험개발원 위험률'!D25)*(C101-'보험개발원 위험률'!C25)/('보험개발원 위험률'!C26-'보험개발원 위험률'!C25)</f>
        <v>0.125752</v>
      </c>
      <c r="E101" s="54">
        <f>'보험개발원 위험률'!E25+('보험개발원 위험률'!E26-'보험개발원 위험률'!E25)*(C101-'보험개발원 위험률'!C25)/('보험개발원 위험률'!C26-'보험개발원 위험률'!C25)</f>
        <v>0.12024799999999999</v>
      </c>
      <c r="F101" s="35" t="s">
        <v>699</v>
      </c>
      <c r="G101" s="35" t="s">
        <v>736</v>
      </c>
      <c r="H101" s="35" t="s">
        <v>682</v>
      </c>
      <c r="I101" s="35" t="s">
        <v>683</v>
      </c>
      <c r="J101" s="24" t="s">
        <v>685</v>
      </c>
    </row>
    <row r="102" spans="1:10">
      <c r="A102" s="15" t="s">
        <v>680</v>
      </c>
      <c r="B102" s="15" t="s">
        <v>681</v>
      </c>
      <c r="C102" s="12">
        <v>95</v>
      </c>
      <c r="D102" s="54">
        <f>'보험개발원 위험률'!D26</f>
        <v>0.13538</v>
      </c>
      <c r="E102" s="54">
        <f>'보험개발원 위험률'!E26</f>
        <v>0.13291</v>
      </c>
      <c r="F102" s="35" t="s">
        <v>697</v>
      </c>
      <c r="G102" s="35" t="s">
        <v>737</v>
      </c>
      <c r="H102" s="35" t="s">
        <v>682</v>
      </c>
      <c r="I102" s="35" t="s">
        <v>683</v>
      </c>
      <c r="J102" s="24" t="s">
        <v>685</v>
      </c>
    </row>
    <row r="103" spans="1:10">
      <c r="A103" s="15" t="s">
        <v>680</v>
      </c>
      <c r="B103" s="15" t="s">
        <v>681</v>
      </c>
      <c r="C103" s="12">
        <v>96</v>
      </c>
      <c r="D103" s="54">
        <f>'보험개발원 위험률'!D26+('보험개발원 위험률'!D27-'보험개발원 위험률'!D26)*(C103-'보험개발원 위험률'!C26)/('보험개발원 위험률'!C27-'보험개발원 위험률'!C26)</f>
        <v>0.149644</v>
      </c>
      <c r="E103" s="54">
        <f>'보험개발원 위험률'!E26+('보험개발원 위험률'!E27-'보험개발원 위험률'!E26)*(C103-'보험개발원 위험률'!C26)/('보험개발원 위험률'!C27-'보험개발원 위험률'!C26)</f>
        <v>0.14713200000000001</v>
      </c>
      <c r="F103" s="35" t="s">
        <v>699</v>
      </c>
      <c r="G103" s="35" t="s">
        <v>738</v>
      </c>
      <c r="H103" s="35" t="s">
        <v>682</v>
      </c>
      <c r="I103" s="35" t="s">
        <v>683</v>
      </c>
      <c r="J103" s="24" t="s">
        <v>685</v>
      </c>
    </row>
    <row r="104" spans="1:10">
      <c r="A104" s="15" t="s">
        <v>680</v>
      </c>
      <c r="B104" s="15" t="s">
        <v>681</v>
      </c>
      <c r="C104" s="12">
        <v>97</v>
      </c>
      <c r="D104" s="54">
        <f>'보험개발원 위험률'!D26+('보험개발원 위험률'!D27-'보험개발원 위험률'!D26)*(C104-'보험개발원 위험률'!C26)/('보험개발원 위험률'!C27-'보험개발원 위험률'!C26)</f>
        <v>0.163908</v>
      </c>
      <c r="E104" s="54">
        <f>'보험개발원 위험률'!E26+('보험개발원 위험률'!E27-'보험개발원 위험률'!E26)*(C104-'보험개발원 위험률'!C26)/('보험개발원 위험률'!C27-'보험개발원 위험률'!C26)</f>
        <v>0.161354</v>
      </c>
      <c r="F104" s="35" t="s">
        <v>699</v>
      </c>
      <c r="G104" s="35" t="s">
        <v>738</v>
      </c>
      <c r="H104" s="35" t="s">
        <v>682</v>
      </c>
      <c r="I104" s="35" t="s">
        <v>683</v>
      </c>
      <c r="J104" s="24" t="s">
        <v>685</v>
      </c>
    </row>
    <row r="105" spans="1:10">
      <c r="A105" s="15" t="s">
        <v>680</v>
      </c>
      <c r="B105" s="15" t="s">
        <v>681</v>
      </c>
      <c r="C105" s="12">
        <v>98</v>
      </c>
      <c r="D105" s="54">
        <f>'보험개발원 위험률'!D26+('보험개발원 위험률'!D27-'보험개발원 위험률'!D26)*(C105-'보험개발원 위험률'!C26)/('보험개발원 위험률'!C27-'보험개발원 위험률'!C26)</f>
        <v>0.178172</v>
      </c>
      <c r="E105" s="54">
        <f>'보험개발원 위험률'!E26+('보험개발원 위험률'!E27-'보험개발원 위험률'!E26)*(C105-'보험개발원 위험률'!C26)/('보험개발원 위험률'!C27-'보험개발원 위험률'!C26)</f>
        <v>0.17557600000000001</v>
      </c>
      <c r="F105" s="35" t="s">
        <v>699</v>
      </c>
      <c r="G105" s="35" t="s">
        <v>738</v>
      </c>
      <c r="H105" s="35" t="s">
        <v>682</v>
      </c>
      <c r="I105" s="35" t="s">
        <v>683</v>
      </c>
      <c r="J105" s="24" t="s">
        <v>685</v>
      </c>
    </row>
    <row r="106" spans="1:10">
      <c r="A106" s="15" t="s">
        <v>680</v>
      </c>
      <c r="B106" s="15" t="s">
        <v>681</v>
      </c>
      <c r="C106" s="12">
        <v>99</v>
      </c>
      <c r="D106" s="54">
        <f>'보험개발원 위험률'!D26+('보험개발원 위험률'!D27-'보험개발원 위험률'!D26)*(C106-'보험개발원 위험률'!C26)/('보험개발원 위험률'!C27-'보험개발원 위험률'!C26)</f>
        <v>0.192436</v>
      </c>
      <c r="E106" s="54">
        <f>'보험개발원 위험률'!E26+('보험개발원 위험률'!E27-'보험개발원 위험률'!E26)*(C106-'보험개발원 위험률'!C26)/('보험개발원 위험률'!C27-'보험개발원 위험률'!C26)</f>
        <v>0.18979800000000002</v>
      </c>
      <c r="F106" s="35" t="s">
        <v>699</v>
      </c>
      <c r="G106" s="35" t="s">
        <v>738</v>
      </c>
      <c r="H106" s="35" t="s">
        <v>682</v>
      </c>
      <c r="I106" s="35" t="s">
        <v>683</v>
      </c>
      <c r="J106" s="24" t="s">
        <v>685</v>
      </c>
    </row>
    <row r="107" spans="1:10">
      <c r="A107" s="15" t="s">
        <v>680</v>
      </c>
      <c r="B107" s="15" t="s">
        <v>681</v>
      </c>
      <c r="C107" s="12">
        <v>100</v>
      </c>
      <c r="D107" s="54">
        <f>'보험개발원 위험률'!D27</f>
        <v>0.20669999999999999</v>
      </c>
      <c r="E107" s="54">
        <f>'보험개발원 위험률'!E27</f>
        <v>0.20402000000000001</v>
      </c>
      <c r="F107" s="35" t="s">
        <v>697</v>
      </c>
      <c r="G107" s="35" t="s">
        <v>739</v>
      </c>
      <c r="H107" s="35" t="s">
        <v>682</v>
      </c>
      <c r="I107" s="35" t="s">
        <v>683</v>
      </c>
      <c r="J107" s="24" t="s">
        <v>685</v>
      </c>
    </row>
    <row r="108" spans="1:10">
      <c r="A108" s="15" t="s">
        <v>686</v>
      </c>
      <c r="B108" s="15" t="s">
        <v>686</v>
      </c>
      <c r="C108" s="12">
        <v>0</v>
      </c>
      <c r="D108" s="54">
        <f>'보험개발원 위험률'!D28</f>
        <v>1.8100000000000001E-4</v>
      </c>
      <c r="E108" s="54">
        <f>'보험개발원 위험률'!E28</f>
        <v>1.65E-4</v>
      </c>
      <c r="F108" s="35" t="s">
        <v>697</v>
      </c>
      <c r="G108" s="35" t="s">
        <v>698</v>
      </c>
      <c r="H108" s="35" t="s">
        <v>682</v>
      </c>
      <c r="I108" s="35" t="s">
        <v>683</v>
      </c>
      <c r="J108" s="24" t="s">
        <v>685</v>
      </c>
    </row>
    <row r="109" spans="1:10">
      <c r="A109" s="15" t="s">
        <v>686</v>
      </c>
      <c r="B109" s="15" t="s">
        <v>686</v>
      </c>
      <c r="C109" s="12">
        <v>1</v>
      </c>
      <c r="D109" s="54">
        <f>'보험개발원 위험률'!D28+('보험개발원 위험률'!D29-'보험개발원 위험률'!D28)*(C109-'보험개발원 위험률'!C28)/('보험개발원 위험률'!C29-'보험개발원 위험률'!C28)</f>
        <v>1.4820000000000002E-4</v>
      </c>
      <c r="E109" s="54">
        <f>'보험개발원 위험률'!E28+('보험개발원 위험률'!E29-'보험개발원 위험률'!E28)*(C109-'보험개발원 위험률'!C28)/('보험개발원 위험률'!C29-'보험개발원 위험률'!C28)</f>
        <v>1.3520000000000001E-4</v>
      </c>
      <c r="F109" s="35" t="s">
        <v>699</v>
      </c>
      <c r="G109" s="35" t="s">
        <v>700</v>
      </c>
      <c r="H109" s="35" t="s">
        <v>682</v>
      </c>
      <c r="I109" s="35" t="s">
        <v>683</v>
      </c>
      <c r="J109" s="24" t="s">
        <v>685</v>
      </c>
    </row>
    <row r="110" spans="1:10">
      <c r="A110" s="15" t="s">
        <v>686</v>
      </c>
      <c r="B110" s="15" t="s">
        <v>686</v>
      </c>
      <c r="C110" s="12">
        <v>2</v>
      </c>
      <c r="D110" s="54">
        <f>'보험개발원 위험률'!D28+('보험개발원 위험률'!D29-'보험개발원 위험률'!D28)*(C110-'보험개발원 위험률'!C28)/('보험개발원 위험률'!C29-'보험개발원 위험률'!C28)</f>
        <v>1.1540000000000001E-4</v>
      </c>
      <c r="E110" s="54">
        <f>'보험개발원 위험률'!E28+('보험개발원 위험률'!E29-'보험개발원 위험률'!E28)*(C110-'보험개발원 위험률'!C28)/('보험개발원 위험률'!C29-'보험개발원 위험률'!C28)</f>
        <v>1.054E-4</v>
      </c>
      <c r="F110" s="35" t="s">
        <v>699</v>
      </c>
      <c r="G110" s="35" t="s">
        <v>700</v>
      </c>
      <c r="H110" s="35" t="s">
        <v>682</v>
      </c>
      <c r="I110" s="35" t="s">
        <v>683</v>
      </c>
      <c r="J110" s="24" t="s">
        <v>685</v>
      </c>
    </row>
    <row r="111" spans="1:10">
      <c r="A111" s="15" t="s">
        <v>686</v>
      </c>
      <c r="B111" s="15" t="s">
        <v>686</v>
      </c>
      <c r="C111" s="12">
        <v>3</v>
      </c>
      <c r="D111" s="54">
        <f>'보험개발원 위험률'!D28+('보험개발원 위험률'!D29-'보험개발원 위험률'!D28)*(C111-'보험개발원 위험률'!C28)/('보험개발원 위험률'!C29-'보험개발원 위험률'!C28)</f>
        <v>8.2600000000000002E-5</v>
      </c>
      <c r="E111" s="54">
        <f>'보험개발원 위험률'!E28+('보험개발원 위험률'!E29-'보험개발원 위험률'!E28)*(C111-'보험개발원 위험률'!C28)/('보험개발원 위험률'!C29-'보험개발원 위험률'!C28)</f>
        <v>7.5600000000000008E-5</v>
      </c>
      <c r="F111" s="35" t="s">
        <v>699</v>
      </c>
      <c r="G111" s="35" t="s">
        <v>700</v>
      </c>
      <c r="H111" s="35" t="s">
        <v>682</v>
      </c>
      <c r="I111" s="35" t="s">
        <v>683</v>
      </c>
      <c r="J111" s="24" t="s">
        <v>685</v>
      </c>
    </row>
    <row r="112" spans="1:10">
      <c r="A112" s="15" t="s">
        <v>686</v>
      </c>
      <c r="B112" s="15" t="s">
        <v>686</v>
      </c>
      <c r="C112" s="12">
        <v>4</v>
      </c>
      <c r="D112" s="54">
        <f>'보험개발원 위험률'!D28+('보험개발원 위험률'!D29-'보험개발원 위험률'!D28)*(C112-'보험개발원 위험률'!C28)/('보험개발원 위험률'!C29-'보험개발원 위험률'!C28)</f>
        <v>4.9800000000000018E-5</v>
      </c>
      <c r="E112" s="54">
        <f>'보험개발원 위험률'!E28+('보험개발원 위험률'!E29-'보험개발원 위험률'!E28)*(C112-'보험개발원 위험률'!C28)/('보험개발원 위험률'!C29-'보험개발원 위험률'!C28)</f>
        <v>4.5800000000000002E-5</v>
      </c>
      <c r="F112" s="35" t="s">
        <v>699</v>
      </c>
      <c r="G112" s="35" t="s">
        <v>700</v>
      </c>
      <c r="H112" s="35" t="s">
        <v>682</v>
      </c>
      <c r="I112" s="35" t="s">
        <v>683</v>
      </c>
      <c r="J112" s="24" t="s">
        <v>685</v>
      </c>
    </row>
    <row r="113" spans="1:10">
      <c r="A113" s="15" t="s">
        <v>686</v>
      </c>
      <c r="B113" s="15" t="s">
        <v>686</v>
      </c>
      <c r="C113" s="12">
        <v>5</v>
      </c>
      <c r="D113" s="54">
        <f>'보험개발원 위험률'!D29</f>
        <v>1.7E-5</v>
      </c>
      <c r="E113" s="54">
        <f>'보험개발원 위험률'!E29</f>
        <v>1.5999999999999999E-5</v>
      </c>
      <c r="F113" s="35" t="s">
        <v>697</v>
      </c>
      <c r="G113" s="35" t="s">
        <v>701</v>
      </c>
      <c r="H113" s="35" t="s">
        <v>682</v>
      </c>
      <c r="I113" s="35" t="s">
        <v>683</v>
      </c>
      <c r="J113" s="24" t="s">
        <v>685</v>
      </c>
    </row>
    <row r="114" spans="1:10">
      <c r="A114" s="15" t="s">
        <v>686</v>
      </c>
      <c r="B114" s="15" t="s">
        <v>686</v>
      </c>
      <c r="C114" s="12">
        <v>6</v>
      </c>
      <c r="D114" s="54">
        <f>'보험개발원 위험률'!D29+('보험개발원 위험률'!D30-'보험개발원 위험률'!D29)*(C114-'보험개발원 위험률'!C29)/('보험개발원 위험률'!C30-'보험개발원 위험률'!C29)</f>
        <v>1.6399999999999999E-5</v>
      </c>
      <c r="E114" s="54">
        <f>'보험개발원 위험률'!E29+('보험개발원 위험률'!E30-'보험개발원 위험률'!E29)*(C114-'보험개발원 위험률'!C29)/('보험개발원 위험률'!C30-'보험개발원 위험률'!C29)</f>
        <v>1.5399999999999998E-5</v>
      </c>
      <c r="F114" s="35" t="s">
        <v>699</v>
      </c>
      <c r="G114" s="35" t="s">
        <v>702</v>
      </c>
      <c r="H114" s="35" t="s">
        <v>682</v>
      </c>
      <c r="I114" s="35" t="s">
        <v>683</v>
      </c>
      <c r="J114" s="24" t="s">
        <v>685</v>
      </c>
    </row>
    <row r="115" spans="1:10">
      <c r="A115" s="15" t="s">
        <v>686</v>
      </c>
      <c r="B115" s="15" t="s">
        <v>686</v>
      </c>
      <c r="C115" s="12">
        <v>7</v>
      </c>
      <c r="D115" s="54">
        <f>'보험개발원 위험률'!D29+('보험개발원 위험률'!D30-'보험개발원 위험률'!D29)*(C115-'보험개발원 위험률'!C29)/('보험개발원 위험률'!C30-'보험개발원 위험률'!C29)</f>
        <v>1.5800000000000001E-5</v>
      </c>
      <c r="E115" s="54">
        <f>'보험개발원 위험률'!E29+('보험개발원 위험률'!E30-'보험개발원 위험률'!E29)*(C115-'보험개발원 위험률'!C29)/('보험개발원 위험률'!C30-'보험개발원 위험률'!C29)</f>
        <v>1.4799999999999999E-5</v>
      </c>
      <c r="F115" s="35" t="s">
        <v>699</v>
      </c>
      <c r="G115" s="35" t="s">
        <v>702</v>
      </c>
      <c r="H115" s="35" t="s">
        <v>682</v>
      </c>
      <c r="I115" s="35" t="s">
        <v>683</v>
      </c>
      <c r="J115" s="24" t="s">
        <v>685</v>
      </c>
    </row>
    <row r="116" spans="1:10">
      <c r="A116" s="15" t="s">
        <v>686</v>
      </c>
      <c r="B116" s="15" t="s">
        <v>686</v>
      </c>
      <c r="C116" s="12">
        <v>8</v>
      </c>
      <c r="D116" s="54">
        <f>'보험개발원 위험률'!D29+('보험개발원 위험률'!D30-'보험개발원 위험률'!D29)*(C116-'보험개발원 위험률'!C29)/('보험개발원 위험률'!C30-'보험개발원 위험률'!C29)</f>
        <v>1.52E-5</v>
      </c>
      <c r="E116" s="54">
        <f>'보험개발원 위험률'!E29+('보험개발원 위험률'!E30-'보험개발원 위험률'!E29)*(C116-'보험개발원 위험률'!C29)/('보험개발원 위험률'!C30-'보험개발원 위험률'!C29)</f>
        <v>1.42E-5</v>
      </c>
      <c r="F116" s="35" t="s">
        <v>699</v>
      </c>
      <c r="G116" s="35" t="s">
        <v>702</v>
      </c>
      <c r="H116" s="35" t="s">
        <v>682</v>
      </c>
      <c r="I116" s="35" t="s">
        <v>683</v>
      </c>
      <c r="J116" s="24" t="s">
        <v>685</v>
      </c>
    </row>
    <row r="117" spans="1:10">
      <c r="A117" s="15" t="s">
        <v>686</v>
      </c>
      <c r="B117" s="15" t="s">
        <v>686</v>
      </c>
      <c r="C117" s="12">
        <v>9</v>
      </c>
      <c r="D117" s="54">
        <f>'보험개발원 위험률'!D29+('보험개발원 위험률'!D30-'보험개발원 위험률'!D29)*(C117-'보험개발원 위험률'!C29)/('보험개발원 위험률'!C30-'보험개발원 위험률'!C29)</f>
        <v>1.4599999999999999E-5</v>
      </c>
      <c r="E117" s="54">
        <f>'보험개발원 위험률'!E29+('보험개발원 위험률'!E30-'보험개발원 위험률'!E29)*(C117-'보험개발원 위험률'!C29)/('보험개발원 위험률'!C30-'보험개발원 위험률'!C29)</f>
        <v>1.3599999999999999E-5</v>
      </c>
      <c r="F117" s="35" t="s">
        <v>699</v>
      </c>
      <c r="G117" s="35" t="s">
        <v>702</v>
      </c>
      <c r="H117" s="35" t="s">
        <v>682</v>
      </c>
      <c r="I117" s="35" t="s">
        <v>683</v>
      </c>
      <c r="J117" s="24" t="s">
        <v>685</v>
      </c>
    </row>
    <row r="118" spans="1:10">
      <c r="A118" s="15" t="s">
        <v>686</v>
      </c>
      <c r="B118" s="15" t="s">
        <v>686</v>
      </c>
      <c r="C118" s="12">
        <v>10</v>
      </c>
      <c r="D118" s="54">
        <f>'보험개발원 위험률'!D30</f>
        <v>1.4E-5</v>
      </c>
      <c r="E118" s="54">
        <f>'보험개발원 위험률'!E30</f>
        <v>1.2999999999999999E-5</v>
      </c>
      <c r="F118" s="35" t="s">
        <v>697</v>
      </c>
      <c r="G118" s="35" t="s">
        <v>703</v>
      </c>
      <c r="H118" s="35" t="s">
        <v>682</v>
      </c>
      <c r="I118" s="35" t="s">
        <v>683</v>
      </c>
      <c r="J118" s="24" t="s">
        <v>685</v>
      </c>
    </row>
    <row r="119" spans="1:10">
      <c r="A119" s="15" t="s">
        <v>686</v>
      </c>
      <c r="B119" s="15" t="s">
        <v>686</v>
      </c>
      <c r="C119" s="12">
        <v>11</v>
      </c>
      <c r="D119" s="54">
        <f>'보험개발원 위험률'!D30+('보험개발원 위험률'!D31-'보험개발원 위험률'!D30)*(C119-'보험개발원 위험률'!C30)/('보험개발원 위험률'!C31-'보험개발원 위험률'!C30)</f>
        <v>2.2399999999999999E-5</v>
      </c>
      <c r="E119" s="54">
        <f>'보험개발원 위험률'!E30+('보험개발원 위험률'!E31-'보험개발원 위험률'!E30)*(C119-'보험개발원 위험률'!C30)/('보험개발원 위험률'!C31-'보험개발원 위험률'!C30)</f>
        <v>1.4399999999999999E-5</v>
      </c>
      <c r="F119" s="35" t="s">
        <v>699</v>
      </c>
      <c r="G119" s="35" t="s">
        <v>704</v>
      </c>
      <c r="H119" s="35" t="s">
        <v>682</v>
      </c>
      <c r="I119" s="35" t="s">
        <v>683</v>
      </c>
      <c r="J119" s="24" t="s">
        <v>685</v>
      </c>
    </row>
    <row r="120" spans="1:10">
      <c r="A120" s="15" t="s">
        <v>686</v>
      </c>
      <c r="B120" s="15" t="s">
        <v>686</v>
      </c>
      <c r="C120" s="12">
        <v>12</v>
      </c>
      <c r="D120" s="54">
        <f>'보험개발원 위험률'!D30+('보험개발원 위험률'!D31-'보험개발원 위험률'!D30)*(C120-'보험개발원 위험률'!C30)/('보험개발원 위험률'!C31-'보험개발원 위험률'!C30)</f>
        <v>3.0799999999999996E-5</v>
      </c>
      <c r="E120" s="54">
        <f>'보험개발원 위험률'!E30+('보험개발원 위험률'!E31-'보험개발원 위험률'!E30)*(C120-'보험개발원 위험률'!C30)/('보험개발원 위험률'!C31-'보험개발원 위험률'!C30)</f>
        <v>1.5800000000000001E-5</v>
      </c>
      <c r="F120" s="35" t="s">
        <v>699</v>
      </c>
      <c r="G120" s="35" t="s">
        <v>704</v>
      </c>
      <c r="H120" s="35" t="s">
        <v>682</v>
      </c>
      <c r="I120" s="35" t="s">
        <v>683</v>
      </c>
      <c r="J120" s="24" t="s">
        <v>685</v>
      </c>
    </row>
    <row r="121" spans="1:10">
      <c r="A121" s="15" t="s">
        <v>686</v>
      </c>
      <c r="B121" s="15" t="s">
        <v>686</v>
      </c>
      <c r="C121" s="12">
        <v>13</v>
      </c>
      <c r="D121" s="54">
        <f>'보험개발원 위험률'!D30+('보험개발원 위험률'!D31-'보험개발원 위험률'!D30)*(C121-'보험개발원 위험률'!C30)/('보험개발원 위험률'!C31-'보험개발원 위험률'!C30)</f>
        <v>3.9199999999999997E-5</v>
      </c>
      <c r="E121" s="54">
        <f>'보험개발원 위험률'!E30+('보험개발원 위험률'!E31-'보험개발원 위험률'!E30)*(C121-'보험개발원 위험률'!C30)/('보험개발원 위험률'!C31-'보험개발원 위험률'!C30)</f>
        <v>1.7200000000000001E-5</v>
      </c>
      <c r="F121" s="35" t="s">
        <v>699</v>
      </c>
      <c r="G121" s="35" t="s">
        <v>704</v>
      </c>
      <c r="H121" s="35" t="s">
        <v>682</v>
      </c>
      <c r="I121" s="35" t="s">
        <v>683</v>
      </c>
      <c r="J121" s="24" t="s">
        <v>685</v>
      </c>
    </row>
    <row r="122" spans="1:10">
      <c r="A122" s="15" t="s">
        <v>686</v>
      </c>
      <c r="B122" s="15" t="s">
        <v>686</v>
      </c>
      <c r="C122" s="12">
        <v>14</v>
      </c>
      <c r="D122" s="54">
        <f>'보험개발원 위험률'!D30+('보험개발원 위험률'!D31-'보험개발원 위험률'!D30)*(C122-'보험개발원 위험률'!C30)/('보험개발원 위험률'!C31-'보험개발원 위험률'!C30)</f>
        <v>4.7599999999999998E-5</v>
      </c>
      <c r="E122" s="54">
        <f>'보험개발원 위험률'!E30+('보험개발원 위험률'!E31-'보험개발원 위험률'!E30)*(C122-'보험개발원 위험률'!C30)/('보험개발원 위험률'!C31-'보험개발원 위험률'!C30)</f>
        <v>1.8600000000000001E-5</v>
      </c>
      <c r="F122" s="35" t="s">
        <v>699</v>
      </c>
      <c r="G122" s="35" t="s">
        <v>704</v>
      </c>
      <c r="H122" s="35" t="s">
        <v>682</v>
      </c>
      <c r="I122" s="35" t="s">
        <v>683</v>
      </c>
      <c r="J122" s="24" t="s">
        <v>685</v>
      </c>
    </row>
    <row r="123" spans="1:10">
      <c r="A123" s="15" t="s">
        <v>686</v>
      </c>
      <c r="B123" s="15" t="s">
        <v>686</v>
      </c>
      <c r="C123" s="12">
        <v>15</v>
      </c>
      <c r="D123" s="54">
        <f>'보험개발원 위험률'!D31</f>
        <v>5.5999999999999999E-5</v>
      </c>
      <c r="E123" s="54">
        <f>'보험개발원 위험률'!E31</f>
        <v>2.0000000000000002E-5</v>
      </c>
      <c r="F123" s="35" t="s">
        <v>697</v>
      </c>
      <c r="G123" s="35" t="s">
        <v>705</v>
      </c>
      <c r="H123" s="35" t="s">
        <v>682</v>
      </c>
      <c r="I123" s="35" t="s">
        <v>683</v>
      </c>
      <c r="J123" s="24" t="s">
        <v>685</v>
      </c>
    </row>
    <row r="124" spans="1:10">
      <c r="A124" s="15" t="s">
        <v>686</v>
      </c>
      <c r="B124" s="15" t="s">
        <v>686</v>
      </c>
      <c r="C124" s="12">
        <v>16</v>
      </c>
      <c r="D124" s="54">
        <f>'보험개발원 위험률'!D31+('보험개발원 위험률'!D32-'보험개발원 위험률'!D31)*(C124-'보험개발원 위험률'!C31)/('보험개발원 위험률'!C32-'보험개발원 위험률'!C31)</f>
        <v>6.4200000000000002E-5</v>
      </c>
      <c r="E124" s="54">
        <f>'보험개발원 위험률'!E31+('보험개발원 위험률'!E32-'보험개발원 위험률'!E31)*(C124-'보험개발원 위험률'!C31)/('보험개발원 위험률'!C32-'보험개발원 위험률'!C31)</f>
        <v>2.44E-5</v>
      </c>
      <c r="F124" s="35" t="s">
        <v>699</v>
      </c>
      <c r="G124" s="35" t="s">
        <v>706</v>
      </c>
      <c r="H124" s="35" t="s">
        <v>682</v>
      </c>
      <c r="I124" s="35" t="s">
        <v>683</v>
      </c>
      <c r="J124" s="24" t="s">
        <v>685</v>
      </c>
    </row>
    <row r="125" spans="1:10">
      <c r="A125" s="15" t="s">
        <v>686</v>
      </c>
      <c r="B125" s="15" t="s">
        <v>686</v>
      </c>
      <c r="C125" s="12">
        <v>17</v>
      </c>
      <c r="D125" s="54">
        <f>'보험개발원 위험률'!D31+('보험개발원 위험률'!D32-'보험개발원 위험률'!D31)*(C125-'보험개발원 위험률'!C31)/('보험개발원 위험률'!C32-'보험개발원 위험률'!C31)</f>
        <v>7.2399999999999998E-5</v>
      </c>
      <c r="E125" s="54">
        <f>'보험개발원 위험률'!E31+('보험개발원 위험률'!E32-'보험개발원 위험률'!E31)*(C125-'보험개발원 위험률'!C31)/('보험개발원 위험률'!C32-'보험개발원 위험률'!C31)</f>
        <v>2.8800000000000002E-5</v>
      </c>
      <c r="F125" s="35" t="s">
        <v>699</v>
      </c>
      <c r="G125" s="35" t="s">
        <v>706</v>
      </c>
      <c r="H125" s="35" t="s">
        <v>682</v>
      </c>
      <c r="I125" s="35" t="s">
        <v>683</v>
      </c>
      <c r="J125" s="24" t="s">
        <v>685</v>
      </c>
    </row>
    <row r="126" spans="1:10">
      <c r="A126" s="15" t="s">
        <v>686</v>
      </c>
      <c r="B126" s="15" t="s">
        <v>686</v>
      </c>
      <c r="C126" s="12">
        <v>18</v>
      </c>
      <c r="D126" s="54">
        <f>'보험개발원 위험률'!D31+('보험개발원 위험률'!D32-'보험개발원 위험률'!D31)*(C126-'보험개발원 위험률'!C31)/('보험개발원 위험률'!C32-'보험개발원 위험률'!C31)</f>
        <v>8.0600000000000008E-5</v>
      </c>
      <c r="E126" s="54">
        <f>'보험개발원 위험률'!E31+('보험개발원 위험률'!E32-'보험개발원 위험률'!E31)*(C126-'보험개발원 위험률'!C31)/('보험개발원 위험률'!C32-'보험개발원 위험률'!C31)</f>
        <v>3.3200000000000001E-5</v>
      </c>
      <c r="F126" s="35" t="s">
        <v>699</v>
      </c>
      <c r="G126" s="35" t="s">
        <v>706</v>
      </c>
      <c r="H126" s="35" t="s">
        <v>682</v>
      </c>
      <c r="I126" s="35" t="s">
        <v>683</v>
      </c>
      <c r="J126" s="24" t="s">
        <v>685</v>
      </c>
    </row>
    <row r="127" spans="1:10">
      <c r="A127" s="15" t="s">
        <v>686</v>
      </c>
      <c r="B127" s="15" t="s">
        <v>686</v>
      </c>
      <c r="C127" s="12">
        <v>19</v>
      </c>
      <c r="D127" s="54">
        <f>'보험개발원 위험률'!D31+('보험개발원 위험률'!D32-'보험개발원 위험률'!D31)*(C127-'보험개발원 위험률'!C31)/('보험개발원 위험률'!C32-'보험개발원 위험률'!C31)</f>
        <v>8.879999999999999E-5</v>
      </c>
      <c r="E127" s="54">
        <f>'보험개발원 위험률'!E31+('보험개발원 위험률'!E32-'보험개발원 위험률'!E31)*(C127-'보험개발원 위험률'!C31)/('보험개발원 위험률'!C32-'보험개발원 위험률'!C31)</f>
        <v>3.7599999999999999E-5</v>
      </c>
      <c r="F127" s="35" t="s">
        <v>699</v>
      </c>
      <c r="G127" s="35" t="s">
        <v>706</v>
      </c>
      <c r="H127" s="35" t="s">
        <v>682</v>
      </c>
      <c r="I127" s="35" t="s">
        <v>683</v>
      </c>
      <c r="J127" s="24" t="s">
        <v>685</v>
      </c>
    </row>
    <row r="128" spans="1:10">
      <c r="A128" s="15" t="s">
        <v>686</v>
      </c>
      <c r="B128" s="15" t="s">
        <v>686</v>
      </c>
      <c r="C128" s="12">
        <v>20</v>
      </c>
      <c r="D128" s="54">
        <f>'보험개발원 위험률'!D32</f>
        <v>9.7E-5</v>
      </c>
      <c r="E128" s="54">
        <f>'보험개발원 위험률'!E32</f>
        <v>4.1999999999999998E-5</v>
      </c>
      <c r="F128" s="35" t="s">
        <v>697</v>
      </c>
      <c r="G128" s="35" t="s">
        <v>707</v>
      </c>
      <c r="H128" s="35" t="s">
        <v>682</v>
      </c>
      <c r="I128" s="35" t="s">
        <v>683</v>
      </c>
      <c r="J128" s="24" t="s">
        <v>685</v>
      </c>
    </row>
    <row r="129" spans="1:10">
      <c r="A129" s="15" t="s">
        <v>686</v>
      </c>
      <c r="B129" s="15" t="s">
        <v>686</v>
      </c>
      <c r="C129" s="12">
        <v>21</v>
      </c>
      <c r="D129" s="54">
        <f>'보험개발원 위험률'!D32+('보험개발원 위험률'!D33-'보험개발원 위험률'!D32)*(C129-'보험개발원 위험률'!C32)/('보험개발원 위험률'!C33-'보험개발원 위험률'!C32)</f>
        <v>1.01E-4</v>
      </c>
      <c r="E129" s="54">
        <f>'보험개발원 위험률'!E32+('보험개발원 위험률'!E33-'보험개발원 위험률'!E32)*(C129-'보험개발원 위험률'!C32)/('보험개발원 위험률'!C33-'보험개발원 위험률'!C32)</f>
        <v>4.1E-5</v>
      </c>
      <c r="F129" s="35" t="s">
        <v>699</v>
      </c>
      <c r="G129" s="35" t="s">
        <v>708</v>
      </c>
      <c r="H129" s="35" t="s">
        <v>682</v>
      </c>
      <c r="I129" s="35" t="s">
        <v>683</v>
      </c>
      <c r="J129" s="24" t="s">
        <v>685</v>
      </c>
    </row>
    <row r="130" spans="1:10">
      <c r="A130" s="15" t="s">
        <v>686</v>
      </c>
      <c r="B130" s="15" t="s">
        <v>686</v>
      </c>
      <c r="C130" s="12">
        <v>22</v>
      </c>
      <c r="D130" s="54">
        <f>'보험개발원 위험률'!D32+('보험개발원 위험률'!D33-'보험개발원 위험률'!D32)*(C130-'보험개발원 위험률'!C32)/('보험개발원 위험률'!C33-'보험개발원 위험률'!C32)</f>
        <v>1.05E-4</v>
      </c>
      <c r="E130" s="54">
        <f>'보험개발원 위험률'!E32+('보험개발원 위험률'!E33-'보험개발원 위험률'!E32)*(C130-'보험개발원 위험률'!C32)/('보험개발원 위험률'!C33-'보험개발원 위험률'!C32)</f>
        <v>3.9999999999999996E-5</v>
      </c>
      <c r="F130" s="35" t="s">
        <v>699</v>
      </c>
      <c r="G130" s="35" t="s">
        <v>708</v>
      </c>
      <c r="H130" s="35" t="s">
        <v>682</v>
      </c>
      <c r="I130" s="35" t="s">
        <v>683</v>
      </c>
      <c r="J130" s="24" t="s">
        <v>685</v>
      </c>
    </row>
    <row r="131" spans="1:10">
      <c r="A131" s="15" t="s">
        <v>686</v>
      </c>
      <c r="B131" s="15" t="s">
        <v>686</v>
      </c>
      <c r="C131" s="12">
        <v>23</v>
      </c>
      <c r="D131" s="54">
        <f>'보험개발원 위험률'!D32+('보험개발원 위험률'!D33-'보험개발원 위험률'!D32)*(C131-'보험개발원 위험률'!C32)/('보험개발원 위험률'!C33-'보험개발원 위험률'!C32)</f>
        <v>1.0899999999999999E-4</v>
      </c>
      <c r="E131" s="54">
        <f>'보험개발원 위험률'!E32+('보험개발원 위험률'!E33-'보험개발원 위험률'!E32)*(C131-'보험개발원 위험률'!C32)/('보험개발원 위험률'!C33-'보험개발원 위험률'!C32)</f>
        <v>3.8999999999999999E-5</v>
      </c>
      <c r="F131" s="35" t="s">
        <v>699</v>
      </c>
      <c r="G131" s="35" t="s">
        <v>708</v>
      </c>
      <c r="H131" s="35" t="s">
        <v>682</v>
      </c>
      <c r="I131" s="35" t="s">
        <v>683</v>
      </c>
      <c r="J131" s="24" t="s">
        <v>685</v>
      </c>
    </row>
    <row r="132" spans="1:10">
      <c r="A132" s="15" t="s">
        <v>686</v>
      </c>
      <c r="B132" s="15" t="s">
        <v>686</v>
      </c>
      <c r="C132" s="12">
        <v>24</v>
      </c>
      <c r="D132" s="54">
        <f>'보험개발원 위험률'!D32+('보험개발원 위험률'!D33-'보험개발원 위험률'!D32)*(C132-'보험개발원 위험률'!C32)/('보험개발원 위험률'!C33-'보험개발원 위험률'!C32)</f>
        <v>1.13E-4</v>
      </c>
      <c r="E132" s="54">
        <f>'보험개발원 위험률'!E32+('보험개발원 위험률'!E33-'보험개발원 위험률'!E32)*(C132-'보험개발원 위험률'!C32)/('보험개발원 위험률'!C33-'보험개발원 위험률'!C32)</f>
        <v>3.7999999999999995E-5</v>
      </c>
      <c r="F132" s="35" t="s">
        <v>699</v>
      </c>
      <c r="G132" s="35" t="s">
        <v>708</v>
      </c>
      <c r="H132" s="35" t="s">
        <v>682</v>
      </c>
      <c r="I132" s="35" t="s">
        <v>683</v>
      </c>
      <c r="J132" s="24" t="s">
        <v>685</v>
      </c>
    </row>
    <row r="133" spans="1:10">
      <c r="A133" s="15" t="s">
        <v>686</v>
      </c>
      <c r="B133" s="15" t="s">
        <v>686</v>
      </c>
      <c r="C133" s="12">
        <v>25</v>
      </c>
      <c r="D133" s="54">
        <f>'보험개발원 위험률'!D33</f>
        <v>1.17E-4</v>
      </c>
      <c r="E133" s="54">
        <f>'보험개발원 위험률'!E33</f>
        <v>3.6999999999999998E-5</v>
      </c>
      <c r="F133" s="35" t="s">
        <v>697</v>
      </c>
      <c r="G133" s="35" t="s">
        <v>709</v>
      </c>
      <c r="H133" s="35" t="s">
        <v>682</v>
      </c>
      <c r="I133" s="35" t="s">
        <v>683</v>
      </c>
      <c r="J133" s="24" t="s">
        <v>685</v>
      </c>
    </row>
    <row r="134" spans="1:10">
      <c r="A134" s="15" t="s">
        <v>686</v>
      </c>
      <c r="B134" s="15" t="s">
        <v>686</v>
      </c>
      <c r="C134" s="12">
        <v>26</v>
      </c>
      <c r="D134" s="54">
        <f>'보험개발원 위험률'!D33+('보험개발원 위험률'!D34-'보험개발원 위험률'!D33)*(C134-'보험개발원 위험률'!C33)/('보험개발원 위험률'!C34-'보험개발원 위험률'!C33)</f>
        <v>1.156E-4</v>
      </c>
      <c r="E134" s="54">
        <f>'보험개발원 위험률'!E33+('보험개발원 위험률'!E34-'보험개발원 위험률'!E33)*(C134-'보험개발원 위험률'!C33)/('보험개발원 위험률'!C34-'보험개발원 위험률'!C33)</f>
        <v>3.6399999999999997E-5</v>
      </c>
      <c r="F134" s="35" t="s">
        <v>699</v>
      </c>
      <c r="G134" s="35" t="s">
        <v>710</v>
      </c>
      <c r="H134" s="35" t="s">
        <v>682</v>
      </c>
      <c r="I134" s="35" t="s">
        <v>683</v>
      </c>
      <c r="J134" s="24" t="s">
        <v>685</v>
      </c>
    </row>
    <row r="135" spans="1:10">
      <c r="A135" s="15" t="s">
        <v>686</v>
      </c>
      <c r="B135" s="15" t="s">
        <v>686</v>
      </c>
      <c r="C135" s="12">
        <v>27</v>
      </c>
      <c r="D135" s="54">
        <f>'보험개발원 위험률'!D33+('보험개발원 위험률'!D34-'보험개발원 위험률'!D33)*(C135-'보험개발원 위험률'!C33)/('보험개발원 위험률'!C34-'보험개발원 위험률'!C33)</f>
        <v>1.142E-4</v>
      </c>
      <c r="E135" s="54">
        <f>'보험개발원 위험률'!E33+('보험개발원 위험률'!E34-'보험개발원 위험률'!E33)*(C135-'보험개발원 위험률'!C33)/('보험개발원 위험률'!C34-'보험개발원 위험률'!C33)</f>
        <v>3.5799999999999996E-5</v>
      </c>
      <c r="F135" s="35" t="s">
        <v>699</v>
      </c>
      <c r="G135" s="35" t="s">
        <v>710</v>
      </c>
      <c r="H135" s="35" t="s">
        <v>682</v>
      </c>
      <c r="I135" s="35" t="s">
        <v>683</v>
      </c>
      <c r="J135" s="24" t="s">
        <v>685</v>
      </c>
    </row>
    <row r="136" spans="1:10">
      <c r="A136" s="15" t="s">
        <v>686</v>
      </c>
      <c r="B136" s="15" t="s">
        <v>686</v>
      </c>
      <c r="C136" s="12">
        <v>28</v>
      </c>
      <c r="D136" s="54">
        <f>'보험개발원 위험률'!D33+('보험개발원 위험률'!D34-'보험개발원 위험률'!D33)*(C136-'보험개발원 위험률'!C33)/('보험개발원 위험률'!C34-'보험개발원 위험률'!C33)</f>
        <v>1.128E-4</v>
      </c>
      <c r="E136" s="54">
        <f>'보험개발원 위험률'!E33+('보험개발원 위험률'!E34-'보험개발원 위험률'!E33)*(C136-'보험개발원 위험률'!C33)/('보험개발원 위험률'!C34-'보험개발원 위험률'!C33)</f>
        <v>3.5200000000000002E-5</v>
      </c>
      <c r="F136" s="35" t="s">
        <v>699</v>
      </c>
      <c r="G136" s="35" t="s">
        <v>710</v>
      </c>
      <c r="H136" s="35" t="s">
        <v>682</v>
      </c>
      <c r="I136" s="35" t="s">
        <v>683</v>
      </c>
      <c r="J136" s="24" t="s">
        <v>685</v>
      </c>
    </row>
    <row r="137" spans="1:10">
      <c r="A137" s="15" t="s">
        <v>686</v>
      </c>
      <c r="B137" s="15" t="s">
        <v>686</v>
      </c>
      <c r="C137" s="12">
        <v>29</v>
      </c>
      <c r="D137" s="54">
        <f>'보험개발원 위험률'!D33+('보험개발원 위험률'!D34-'보험개발원 위험률'!D33)*(C137-'보험개발원 위험률'!C33)/('보험개발원 위험률'!C34-'보험개발원 위험률'!C33)</f>
        <v>1.114E-4</v>
      </c>
      <c r="E137" s="54">
        <f>'보험개발원 위험률'!E33+('보험개발원 위험률'!E34-'보험개발원 위험률'!E33)*(C137-'보험개발원 위험률'!C33)/('보험개발원 위험률'!C34-'보험개발원 위험률'!C33)</f>
        <v>3.4600000000000001E-5</v>
      </c>
      <c r="F137" s="35" t="s">
        <v>699</v>
      </c>
      <c r="G137" s="35" t="s">
        <v>710</v>
      </c>
      <c r="H137" s="35" t="s">
        <v>682</v>
      </c>
      <c r="I137" s="35" t="s">
        <v>683</v>
      </c>
      <c r="J137" s="24" t="s">
        <v>685</v>
      </c>
    </row>
    <row r="138" spans="1:10">
      <c r="A138" s="15" t="s">
        <v>686</v>
      </c>
      <c r="B138" s="15" t="s">
        <v>686</v>
      </c>
      <c r="C138" s="12">
        <v>30</v>
      </c>
      <c r="D138" s="54">
        <f>'보험개발원 위험률'!D34</f>
        <v>1.1E-4</v>
      </c>
      <c r="E138" s="54">
        <f>'보험개발원 위험률'!E34</f>
        <v>3.4E-5</v>
      </c>
      <c r="F138" s="35" t="s">
        <v>697</v>
      </c>
      <c r="G138" s="35" t="s">
        <v>711</v>
      </c>
      <c r="H138" s="35" t="s">
        <v>682</v>
      </c>
      <c r="I138" s="35" t="s">
        <v>683</v>
      </c>
      <c r="J138" s="24" t="s">
        <v>685</v>
      </c>
    </row>
    <row r="139" spans="1:10">
      <c r="A139" s="15" t="s">
        <v>686</v>
      </c>
      <c r="B139" s="15" t="s">
        <v>686</v>
      </c>
      <c r="C139" s="12">
        <v>31</v>
      </c>
      <c r="D139" s="54">
        <f>'보험개발원 위험률'!D34+('보험개발원 위험률'!D35-'보험개발원 위험률'!D34)*(C139-'보험개발원 위험률'!C34)/('보험개발원 위험률'!C35-'보험개발원 위험률'!C34)</f>
        <v>1.106E-4</v>
      </c>
      <c r="E139" s="54">
        <f>'보험개발원 위험률'!E34+('보험개발원 위험률'!E35-'보험개발원 위험률'!E34)*(C139-'보험개발원 위험률'!C34)/('보험개발원 위험률'!C35-'보험개발원 위험률'!C34)</f>
        <v>3.4400000000000003E-5</v>
      </c>
      <c r="F139" s="35" t="s">
        <v>699</v>
      </c>
      <c r="G139" s="35" t="s">
        <v>712</v>
      </c>
      <c r="H139" s="35" t="s">
        <v>682</v>
      </c>
      <c r="I139" s="35" t="s">
        <v>683</v>
      </c>
      <c r="J139" s="24" t="s">
        <v>685</v>
      </c>
    </row>
    <row r="140" spans="1:10">
      <c r="A140" s="15" t="s">
        <v>686</v>
      </c>
      <c r="B140" s="15" t="s">
        <v>686</v>
      </c>
      <c r="C140" s="12">
        <v>32</v>
      </c>
      <c r="D140" s="54">
        <f>'보험개발원 위험률'!D34+('보험개발원 위험률'!D35-'보험개발원 위험률'!D34)*(C140-'보험개발원 위험률'!C34)/('보험개발원 위험률'!C35-'보험개발원 위험률'!C34)</f>
        <v>1.1120000000000001E-4</v>
      </c>
      <c r="E140" s="54">
        <f>'보험개발원 위험률'!E34+('보험개발원 위험률'!E35-'보험개발원 위험률'!E34)*(C140-'보험개발원 위험률'!C34)/('보험개발원 위험률'!C35-'보험개발원 위험률'!C34)</f>
        <v>3.4799999999999999E-5</v>
      </c>
      <c r="F140" s="35" t="s">
        <v>699</v>
      </c>
      <c r="G140" s="35" t="s">
        <v>712</v>
      </c>
      <c r="H140" s="35" t="s">
        <v>682</v>
      </c>
      <c r="I140" s="35" t="s">
        <v>683</v>
      </c>
      <c r="J140" s="24" t="s">
        <v>685</v>
      </c>
    </row>
    <row r="141" spans="1:10">
      <c r="A141" s="15" t="s">
        <v>686</v>
      </c>
      <c r="B141" s="15" t="s">
        <v>686</v>
      </c>
      <c r="C141" s="12">
        <v>33</v>
      </c>
      <c r="D141" s="54">
        <f>'보험개발원 위험률'!D34+('보험개발원 위험률'!D35-'보험개발원 위험률'!D34)*(C141-'보험개발원 위험률'!C34)/('보험개발원 위험률'!C35-'보험개발원 위험률'!C34)</f>
        <v>1.1179999999999999E-4</v>
      </c>
      <c r="E141" s="54">
        <f>'보험개발원 위험률'!E34+('보험개발원 위험률'!E35-'보험개발원 위험률'!E34)*(C141-'보험개발원 위험률'!C34)/('보험개발원 위험률'!C35-'보험개발원 위험률'!C34)</f>
        <v>3.5200000000000002E-5</v>
      </c>
      <c r="F141" s="35" t="s">
        <v>699</v>
      </c>
      <c r="G141" s="35" t="s">
        <v>712</v>
      </c>
      <c r="H141" s="35" t="s">
        <v>682</v>
      </c>
      <c r="I141" s="35" t="s">
        <v>683</v>
      </c>
      <c r="J141" s="24" t="s">
        <v>685</v>
      </c>
    </row>
    <row r="142" spans="1:10">
      <c r="A142" s="15" t="s">
        <v>686</v>
      </c>
      <c r="B142" s="15" t="s">
        <v>686</v>
      </c>
      <c r="C142" s="12">
        <v>34</v>
      </c>
      <c r="D142" s="54">
        <f>'보험개발원 위험률'!D34+('보험개발원 위험률'!D35-'보험개발원 위험률'!D34)*(C142-'보험개발원 위험률'!C34)/('보험개발원 위험률'!C35-'보험개발원 위험률'!C34)</f>
        <v>1.1239999999999999E-4</v>
      </c>
      <c r="E142" s="54">
        <f>'보험개발원 위험률'!E34+('보험개발원 위험률'!E35-'보험개발원 위험률'!E34)*(C142-'보험개발원 위험률'!C34)/('보험개발원 위험률'!C35-'보험개발원 위험률'!C34)</f>
        <v>3.5599999999999998E-5</v>
      </c>
      <c r="F142" s="35" t="s">
        <v>699</v>
      </c>
      <c r="G142" s="35" t="s">
        <v>712</v>
      </c>
      <c r="H142" s="35" t="s">
        <v>682</v>
      </c>
      <c r="I142" s="35" t="s">
        <v>683</v>
      </c>
      <c r="J142" s="24" t="s">
        <v>685</v>
      </c>
    </row>
    <row r="143" spans="1:10">
      <c r="A143" s="15" t="s">
        <v>686</v>
      </c>
      <c r="B143" s="15" t="s">
        <v>686</v>
      </c>
      <c r="C143" s="12">
        <v>35</v>
      </c>
      <c r="D143" s="54">
        <f>'보험개발원 위험률'!D35</f>
        <v>1.13E-4</v>
      </c>
      <c r="E143" s="54">
        <f>'보험개발원 위험률'!E35</f>
        <v>3.6000000000000001E-5</v>
      </c>
      <c r="F143" s="35" t="s">
        <v>697</v>
      </c>
      <c r="G143" s="35" t="s">
        <v>713</v>
      </c>
      <c r="H143" s="35" t="s">
        <v>682</v>
      </c>
      <c r="I143" s="35" t="s">
        <v>683</v>
      </c>
      <c r="J143" s="24" t="s">
        <v>685</v>
      </c>
    </row>
    <row r="144" spans="1:10">
      <c r="A144" s="15" t="s">
        <v>686</v>
      </c>
      <c r="B144" s="15" t="s">
        <v>686</v>
      </c>
      <c r="C144" s="12">
        <v>36</v>
      </c>
      <c r="D144" s="54">
        <f>'보험개발원 위험률'!D35+('보험개발원 위험률'!D36-'보험개발원 위험률'!D35)*(C144-'보험개발원 위험률'!C35)/('보험개발원 위험률'!C36-'보험개발원 위험률'!C35)</f>
        <v>1.1459999999999999E-4</v>
      </c>
      <c r="E144" s="54">
        <f>'보험개발원 위험률'!E35+('보험개발원 위험률'!E36-'보험개발원 위험률'!E35)*(C144-'보험개발원 위험률'!C35)/('보험개발원 위험률'!C36-'보험개발원 위험률'!C35)</f>
        <v>3.54E-5</v>
      </c>
      <c r="F144" s="35" t="s">
        <v>699</v>
      </c>
      <c r="G144" s="35" t="s">
        <v>714</v>
      </c>
      <c r="H144" s="35" t="s">
        <v>682</v>
      </c>
      <c r="I144" s="35" t="s">
        <v>683</v>
      </c>
      <c r="J144" s="24" t="s">
        <v>685</v>
      </c>
    </row>
    <row r="145" spans="1:10">
      <c r="A145" s="15" t="s">
        <v>686</v>
      </c>
      <c r="B145" s="15" t="s">
        <v>686</v>
      </c>
      <c r="C145" s="12">
        <v>37</v>
      </c>
      <c r="D145" s="54">
        <f>'보험개발원 위험률'!D35+('보험개발원 위험률'!D36-'보험개발원 위험률'!D35)*(C145-'보험개발원 위험률'!C35)/('보험개발원 위험률'!C36-'보험개발원 위험률'!C35)</f>
        <v>1.1619999999999999E-4</v>
      </c>
      <c r="E145" s="54">
        <f>'보험개발원 위험률'!E35+('보험개발원 위험률'!E36-'보험개발원 위험률'!E35)*(C145-'보험개발원 위험률'!C35)/('보험개발원 위험률'!C36-'보험개발원 위험률'!C35)</f>
        <v>3.4799999999999999E-5</v>
      </c>
      <c r="F145" s="35" t="s">
        <v>699</v>
      </c>
      <c r="G145" s="35" t="s">
        <v>714</v>
      </c>
      <c r="H145" s="35" t="s">
        <v>682</v>
      </c>
      <c r="I145" s="35" t="s">
        <v>683</v>
      </c>
      <c r="J145" s="24" t="s">
        <v>685</v>
      </c>
    </row>
    <row r="146" spans="1:10">
      <c r="A146" s="15" t="s">
        <v>686</v>
      </c>
      <c r="B146" s="15" t="s">
        <v>686</v>
      </c>
      <c r="C146" s="12">
        <v>38</v>
      </c>
      <c r="D146" s="54">
        <f>'보험개발원 위험률'!D35+('보험개발원 위험률'!D36-'보험개발원 위험률'!D35)*(C146-'보험개발원 위험률'!C35)/('보험개발원 위험률'!C36-'보험개발원 위험률'!C35)</f>
        <v>1.178E-4</v>
      </c>
      <c r="E146" s="54">
        <f>'보험개발원 위험률'!E35+('보험개발원 위험률'!E36-'보험개발원 위험률'!E35)*(C146-'보험개발원 위험률'!C35)/('보험개발원 위험률'!C36-'보험개발원 위험률'!C35)</f>
        <v>3.4200000000000005E-5</v>
      </c>
      <c r="F146" s="35" t="s">
        <v>699</v>
      </c>
      <c r="G146" s="35" t="s">
        <v>714</v>
      </c>
      <c r="H146" s="35" t="s">
        <v>682</v>
      </c>
      <c r="I146" s="35" t="s">
        <v>683</v>
      </c>
      <c r="J146" s="24" t="s">
        <v>685</v>
      </c>
    </row>
    <row r="147" spans="1:10">
      <c r="A147" s="15" t="s">
        <v>686</v>
      </c>
      <c r="B147" s="15" t="s">
        <v>686</v>
      </c>
      <c r="C147" s="12">
        <v>39</v>
      </c>
      <c r="D147" s="54">
        <f>'보험개발원 위험률'!D35+('보험개발원 위험률'!D36-'보험개발원 위험률'!D35)*(C147-'보험개발원 위험률'!C35)/('보험개발원 위험률'!C36-'보험개발원 위험률'!C35)</f>
        <v>1.194E-4</v>
      </c>
      <c r="E147" s="54">
        <f>'보험개발원 위험률'!E35+('보험개발원 위험률'!E36-'보험개발원 위험률'!E35)*(C147-'보험개발원 위험률'!C35)/('보험개발원 위험률'!C36-'보험개발원 위험률'!C35)</f>
        <v>3.3600000000000004E-5</v>
      </c>
      <c r="F147" s="35" t="s">
        <v>699</v>
      </c>
      <c r="G147" s="35" t="s">
        <v>714</v>
      </c>
      <c r="H147" s="35" t="s">
        <v>682</v>
      </c>
      <c r="I147" s="35" t="s">
        <v>683</v>
      </c>
      <c r="J147" s="24" t="s">
        <v>685</v>
      </c>
    </row>
    <row r="148" spans="1:10">
      <c r="A148" s="15" t="s">
        <v>686</v>
      </c>
      <c r="B148" s="15" t="s">
        <v>686</v>
      </c>
      <c r="C148" s="12">
        <v>40</v>
      </c>
      <c r="D148" s="54">
        <f>'보험개발원 위험률'!D36</f>
        <v>1.21E-4</v>
      </c>
      <c r="E148" s="54">
        <f>'보험개발원 위험률'!E36</f>
        <v>3.3000000000000003E-5</v>
      </c>
      <c r="F148" s="35" t="s">
        <v>697</v>
      </c>
      <c r="G148" s="35" t="s">
        <v>715</v>
      </c>
      <c r="H148" s="35" t="s">
        <v>682</v>
      </c>
      <c r="I148" s="35" t="s">
        <v>683</v>
      </c>
      <c r="J148" s="24" t="s">
        <v>685</v>
      </c>
    </row>
    <row r="149" spans="1:10">
      <c r="A149" s="15" t="s">
        <v>686</v>
      </c>
      <c r="B149" s="15" t="s">
        <v>686</v>
      </c>
      <c r="C149" s="12">
        <v>41</v>
      </c>
      <c r="D149" s="54">
        <f>'보험개발원 위험률'!D36+('보험개발원 위험률'!D37-'보험개발원 위험률'!D36)*(C149-'보험개발원 위험률'!C36)/('보험개발원 위험률'!C37-'보험개발원 위험률'!C36)</f>
        <v>1.2400000000000001E-4</v>
      </c>
      <c r="E149" s="54">
        <f>'보험개발원 위험률'!E36+('보험개발원 위험률'!E37-'보험개발원 위험률'!E36)*(C149-'보험개발원 위험률'!C36)/('보험개발원 위험률'!C37-'보험개발원 위험률'!C36)</f>
        <v>3.3600000000000004E-5</v>
      </c>
      <c r="F149" s="35" t="s">
        <v>699</v>
      </c>
      <c r="G149" s="35" t="s">
        <v>716</v>
      </c>
      <c r="H149" s="35" t="s">
        <v>682</v>
      </c>
      <c r="I149" s="35" t="s">
        <v>683</v>
      </c>
      <c r="J149" s="24" t="s">
        <v>685</v>
      </c>
    </row>
    <row r="150" spans="1:10">
      <c r="A150" s="15" t="s">
        <v>686</v>
      </c>
      <c r="B150" s="15" t="s">
        <v>686</v>
      </c>
      <c r="C150" s="12">
        <v>42</v>
      </c>
      <c r="D150" s="54">
        <f>'보험개발원 위험률'!D36+('보험개발원 위험률'!D37-'보험개발원 위험률'!D36)*(C150-'보험개발원 위험률'!C36)/('보험개발원 위험률'!C37-'보험개발원 위험률'!C36)</f>
        <v>1.27E-4</v>
      </c>
      <c r="E150" s="54">
        <f>'보험개발원 위험률'!E36+('보험개발원 위험률'!E37-'보험개발원 위험률'!E36)*(C150-'보험개발원 위험률'!C36)/('보험개발원 위험률'!C37-'보험개발원 위험률'!C36)</f>
        <v>3.4200000000000005E-5</v>
      </c>
      <c r="F150" s="35" t="s">
        <v>699</v>
      </c>
      <c r="G150" s="35" t="s">
        <v>716</v>
      </c>
      <c r="H150" s="35" t="s">
        <v>682</v>
      </c>
      <c r="I150" s="35" t="s">
        <v>683</v>
      </c>
      <c r="J150" s="24" t="s">
        <v>685</v>
      </c>
    </row>
    <row r="151" spans="1:10">
      <c r="A151" s="15" t="s">
        <v>686</v>
      </c>
      <c r="B151" s="15" t="s">
        <v>686</v>
      </c>
      <c r="C151" s="12">
        <v>43</v>
      </c>
      <c r="D151" s="54">
        <f>'보험개발원 위험률'!D36+('보험개발원 위험률'!D37-'보험개발원 위험률'!D36)*(C151-'보험개발원 위험률'!C36)/('보험개발원 위험률'!C37-'보험개발원 위험률'!C36)</f>
        <v>1.2999999999999999E-4</v>
      </c>
      <c r="E151" s="54">
        <f>'보험개발원 위험률'!E36+('보험개발원 위험률'!E37-'보험개발원 위험률'!E36)*(C151-'보험개발원 위험률'!C36)/('보험개발원 위험률'!C37-'보험개발원 위험률'!C36)</f>
        <v>3.4799999999999999E-5</v>
      </c>
      <c r="F151" s="35" t="s">
        <v>699</v>
      </c>
      <c r="G151" s="35" t="s">
        <v>716</v>
      </c>
      <c r="H151" s="35" t="s">
        <v>682</v>
      </c>
      <c r="I151" s="35" t="s">
        <v>683</v>
      </c>
      <c r="J151" s="24" t="s">
        <v>685</v>
      </c>
    </row>
    <row r="152" spans="1:10">
      <c r="A152" s="15" t="s">
        <v>686</v>
      </c>
      <c r="B152" s="15" t="s">
        <v>686</v>
      </c>
      <c r="C152" s="12">
        <v>44</v>
      </c>
      <c r="D152" s="54">
        <f>'보험개발원 위험률'!D36+('보험개발원 위험률'!D37-'보험개발원 위험률'!D36)*(C152-'보험개발원 위험률'!C36)/('보험개발원 위험률'!C37-'보험개발원 위험률'!C36)</f>
        <v>1.3300000000000001E-4</v>
      </c>
      <c r="E152" s="54">
        <f>'보험개발원 위험률'!E36+('보험개발원 위험률'!E37-'보험개발원 위험률'!E36)*(C152-'보험개발원 위험률'!C36)/('보험개발원 위험률'!C37-'보험개발원 위험률'!C36)</f>
        <v>3.54E-5</v>
      </c>
      <c r="F152" s="35" t="s">
        <v>699</v>
      </c>
      <c r="G152" s="35" t="s">
        <v>716</v>
      </c>
      <c r="H152" s="35" t="s">
        <v>682</v>
      </c>
      <c r="I152" s="35" t="s">
        <v>683</v>
      </c>
      <c r="J152" s="24" t="s">
        <v>685</v>
      </c>
    </row>
    <row r="153" spans="1:10">
      <c r="A153" s="15" t="s">
        <v>686</v>
      </c>
      <c r="B153" s="15" t="s">
        <v>686</v>
      </c>
      <c r="C153" s="12">
        <v>45</v>
      </c>
      <c r="D153" s="54">
        <f>'보험개발원 위험률'!D37</f>
        <v>1.36E-4</v>
      </c>
      <c r="E153" s="54">
        <f>'보험개발원 위험률'!E37</f>
        <v>3.6000000000000001E-5</v>
      </c>
      <c r="F153" s="35" t="s">
        <v>697</v>
      </c>
      <c r="G153" s="35" t="s">
        <v>717</v>
      </c>
      <c r="H153" s="35" t="s">
        <v>682</v>
      </c>
      <c r="I153" s="35" t="s">
        <v>683</v>
      </c>
      <c r="J153" s="24" t="s">
        <v>685</v>
      </c>
    </row>
    <row r="154" spans="1:10">
      <c r="A154" s="15" t="s">
        <v>686</v>
      </c>
      <c r="B154" s="15" t="s">
        <v>686</v>
      </c>
      <c r="C154" s="12">
        <v>46</v>
      </c>
      <c r="D154" s="54">
        <f>'보험개발원 위험률'!D37+('보험개발원 위험률'!D38-'보험개발원 위험률'!D37)*(C154-'보험개발원 위험률'!C37)/('보험개발원 위험률'!C38-'보험개발원 위험률'!C37)</f>
        <v>1.4579999999999999E-4</v>
      </c>
      <c r="E154" s="54">
        <f>'보험개발원 위험률'!E37+('보험개발원 위험률'!E38-'보험개발원 위험률'!E37)*(C154-'보험개발원 위험률'!C37)/('보험개발원 위험률'!C38-'보험개발원 위험률'!C37)</f>
        <v>3.7800000000000004E-5</v>
      </c>
      <c r="F154" s="35" t="s">
        <v>699</v>
      </c>
      <c r="G154" s="35" t="s">
        <v>718</v>
      </c>
      <c r="H154" s="35" t="s">
        <v>682</v>
      </c>
      <c r="I154" s="35" t="s">
        <v>683</v>
      </c>
      <c r="J154" s="24" t="s">
        <v>685</v>
      </c>
    </row>
    <row r="155" spans="1:10">
      <c r="A155" s="15" t="s">
        <v>686</v>
      </c>
      <c r="B155" s="15" t="s">
        <v>686</v>
      </c>
      <c r="C155" s="12">
        <v>47</v>
      </c>
      <c r="D155" s="54">
        <f>'보험개발원 위험률'!D37+('보험개발원 위험률'!D38-'보험개발원 위험률'!D37)*(C155-'보험개발원 위험률'!C37)/('보험개발원 위험률'!C38-'보험개발원 위험률'!C37)</f>
        <v>1.5559999999999999E-4</v>
      </c>
      <c r="E155" s="54">
        <f>'보험개발원 위험률'!E37+('보험개발원 위험률'!E38-'보험개발원 위험률'!E37)*(C155-'보험개발원 위험률'!C37)/('보험개발원 위험률'!C38-'보험개발원 위험률'!C37)</f>
        <v>3.96E-5</v>
      </c>
      <c r="F155" s="35" t="s">
        <v>699</v>
      </c>
      <c r="G155" s="35" t="s">
        <v>718</v>
      </c>
      <c r="H155" s="35" t="s">
        <v>682</v>
      </c>
      <c r="I155" s="35" t="s">
        <v>683</v>
      </c>
      <c r="J155" s="24" t="s">
        <v>685</v>
      </c>
    </row>
    <row r="156" spans="1:10">
      <c r="A156" s="15" t="s">
        <v>686</v>
      </c>
      <c r="B156" s="15" t="s">
        <v>686</v>
      </c>
      <c r="C156" s="12">
        <v>48</v>
      </c>
      <c r="D156" s="54">
        <f>'보험개발원 위험률'!D37+('보험개발원 위험률'!D38-'보험개발원 위험률'!D37)*(C156-'보험개발원 위험률'!C37)/('보험개발원 위험률'!C38-'보험개발원 위험률'!C37)</f>
        <v>1.6540000000000001E-4</v>
      </c>
      <c r="E156" s="54">
        <f>'보험개발원 위험률'!E37+('보험개발원 위험률'!E38-'보험개발원 위험률'!E37)*(C156-'보험개발원 위험률'!C37)/('보험개발원 위험률'!C38-'보험개발원 위험률'!C37)</f>
        <v>4.1400000000000003E-5</v>
      </c>
      <c r="F156" s="35" t="s">
        <v>699</v>
      </c>
      <c r="G156" s="35" t="s">
        <v>718</v>
      </c>
      <c r="H156" s="35" t="s">
        <v>682</v>
      </c>
      <c r="I156" s="35" t="s">
        <v>683</v>
      </c>
      <c r="J156" s="24" t="s">
        <v>685</v>
      </c>
    </row>
    <row r="157" spans="1:10">
      <c r="A157" s="15" t="s">
        <v>686</v>
      </c>
      <c r="B157" s="15" t="s">
        <v>686</v>
      </c>
      <c r="C157" s="12">
        <v>49</v>
      </c>
      <c r="D157" s="54">
        <f>'보험개발원 위험률'!D37+('보험개발원 위험률'!D38-'보험개발원 위험률'!D37)*(C157-'보험개발원 위험률'!C37)/('보험개발원 위험률'!C38-'보험개발원 위험률'!C37)</f>
        <v>1.752E-4</v>
      </c>
      <c r="E157" s="54">
        <f>'보험개발원 위험률'!E37+('보험개발원 위험률'!E38-'보험개발원 위험률'!E37)*(C157-'보험개발원 위험률'!C37)/('보험개발원 위험률'!C38-'보험개발원 위험률'!C37)</f>
        <v>4.32E-5</v>
      </c>
      <c r="F157" s="35" t="s">
        <v>699</v>
      </c>
      <c r="G157" s="35" t="s">
        <v>718</v>
      </c>
      <c r="H157" s="35" t="s">
        <v>682</v>
      </c>
      <c r="I157" s="35" t="s">
        <v>683</v>
      </c>
      <c r="J157" s="24" t="s">
        <v>685</v>
      </c>
    </row>
    <row r="158" spans="1:10">
      <c r="A158" s="15" t="s">
        <v>686</v>
      </c>
      <c r="B158" s="15" t="s">
        <v>686</v>
      </c>
      <c r="C158" s="12">
        <v>50</v>
      </c>
      <c r="D158" s="54">
        <f>'보험개발원 위험률'!D38</f>
        <v>1.85E-4</v>
      </c>
      <c r="E158" s="54">
        <f>'보험개발원 위험률'!E38</f>
        <v>4.5000000000000003E-5</v>
      </c>
      <c r="F158" s="35" t="s">
        <v>697</v>
      </c>
      <c r="G158" s="35" t="s">
        <v>719</v>
      </c>
      <c r="H158" s="35" t="s">
        <v>682</v>
      </c>
      <c r="I158" s="35" t="s">
        <v>683</v>
      </c>
      <c r="J158" s="24" t="s">
        <v>685</v>
      </c>
    </row>
    <row r="159" spans="1:10">
      <c r="A159" s="15" t="s">
        <v>686</v>
      </c>
      <c r="B159" s="15" t="s">
        <v>686</v>
      </c>
      <c r="C159" s="12">
        <v>51</v>
      </c>
      <c r="D159" s="54">
        <f>'보험개발원 위험률'!D38+('보험개발원 위험률'!D39-'보험개발원 위험률'!D38)*(C159-'보험개발원 위험률'!C38)/('보험개발원 위험률'!C39-'보험개발원 위험률'!C38)</f>
        <v>1.9679999999999999E-4</v>
      </c>
      <c r="E159" s="54">
        <f>'보험개발원 위험률'!E38+('보험개발원 위험률'!E39-'보험개발원 위험률'!E38)*(C159-'보험개발원 위험률'!C38)/('보험개발원 위험률'!C39-'보험개발원 위험률'!C38)</f>
        <v>4.9200000000000003E-5</v>
      </c>
      <c r="F159" s="35" t="s">
        <v>699</v>
      </c>
      <c r="G159" s="35" t="s">
        <v>720</v>
      </c>
      <c r="H159" s="35" t="s">
        <v>682</v>
      </c>
      <c r="I159" s="35" t="s">
        <v>683</v>
      </c>
      <c r="J159" s="24" t="s">
        <v>685</v>
      </c>
    </row>
    <row r="160" spans="1:10">
      <c r="A160" s="15" t="s">
        <v>686</v>
      </c>
      <c r="B160" s="15" t="s">
        <v>686</v>
      </c>
      <c r="C160" s="12">
        <v>52</v>
      </c>
      <c r="D160" s="54">
        <f>'보험개발원 위험률'!D38+('보험개발원 위험률'!D39-'보험개발원 위험률'!D38)*(C160-'보험개발원 위험률'!C38)/('보험개발원 위험률'!C39-'보험개발원 위험률'!C38)</f>
        <v>2.086E-4</v>
      </c>
      <c r="E160" s="54">
        <f>'보험개발원 위험률'!E38+('보험개발원 위험률'!E39-'보험개발원 위험률'!E38)*(C160-'보험개발원 위험률'!C38)/('보험개발원 위험률'!C39-'보험개발원 위험률'!C38)</f>
        <v>5.3400000000000004E-5</v>
      </c>
      <c r="F160" s="35" t="s">
        <v>699</v>
      </c>
      <c r="G160" s="35" t="s">
        <v>720</v>
      </c>
      <c r="H160" s="35" t="s">
        <v>682</v>
      </c>
      <c r="I160" s="35" t="s">
        <v>683</v>
      </c>
      <c r="J160" s="24" t="s">
        <v>685</v>
      </c>
    </row>
    <row r="161" spans="1:10">
      <c r="A161" s="15" t="s">
        <v>686</v>
      </c>
      <c r="B161" s="15" t="s">
        <v>686</v>
      </c>
      <c r="C161" s="12">
        <v>53</v>
      </c>
      <c r="D161" s="54">
        <f>'보험개발원 위험률'!D38+('보험개발원 위험률'!D39-'보험개발원 위험률'!D38)*(C161-'보험개발원 위험률'!C38)/('보험개발원 위험률'!C39-'보험개발원 위험률'!C38)</f>
        <v>2.2039999999999999E-4</v>
      </c>
      <c r="E161" s="54">
        <f>'보험개발원 위험률'!E38+('보험개발원 위험률'!E39-'보험개발원 위험률'!E38)*(C161-'보험개발원 위험률'!C38)/('보험개발원 위험률'!C39-'보험개발원 위험률'!C38)</f>
        <v>5.7600000000000004E-5</v>
      </c>
      <c r="F161" s="35" t="s">
        <v>699</v>
      </c>
      <c r="G161" s="35" t="s">
        <v>720</v>
      </c>
      <c r="H161" s="35" t="s">
        <v>682</v>
      </c>
      <c r="I161" s="35" t="s">
        <v>683</v>
      </c>
      <c r="J161" s="24" t="s">
        <v>685</v>
      </c>
    </row>
    <row r="162" spans="1:10">
      <c r="A162" s="15" t="s">
        <v>686</v>
      </c>
      <c r="B162" s="15" t="s">
        <v>686</v>
      </c>
      <c r="C162" s="12">
        <v>54</v>
      </c>
      <c r="D162" s="54">
        <f>'보험개발원 위험률'!D38+('보험개발원 위험률'!D39-'보험개발원 위험률'!D38)*(C162-'보험개발원 위험률'!C38)/('보험개발원 위험률'!C39-'보험개발원 위험률'!C38)</f>
        <v>2.3220000000000001E-4</v>
      </c>
      <c r="E162" s="54">
        <f>'보험개발원 위험률'!E38+('보험개발원 위험률'!E39-'보험개발원 위험률'!E38)*(C162-'보험개발원 위험률'!C38)/('보험개발원 위험률'!C39-'보험개발원 위험률'!C38)</f>
        <v>6.1800000000000011E-5</v>
      </c>
      <c r="F162" s="35" t="s">
        <v>699</v>
      </c>
      <c r="G162" s="35" t="s">
        <v>720</v>
      </c>
      <c r="H162" s="35" t="s">
        <v>682</v>
      </c>
      <c r="I162" s="35" t="s">
        <v>683</v>
      </c>
      <c r="J162" s="24" t="s">
        <v>685</v>
      </c>
    </row>
    <row r="163" spans="1:10">
      <c r="A163" s="15" t="s">
        <v>686</v>
      </c>
      <c r="B163" s="15" t="s">
        <v>686</v>
      </c>
      <c r="C163" s="12">
        <v>55</v>
      </c>
      <c r="D163" s="54">
        <f>'보험개발원 위험률'!D39</f>
        <v>2.4399999999999999E-4</v>
      </c>
      <c r="E163" s="54">
        <f>'보험개발원 위험률'!E39</f>
        <v>6.6000000000000005E-5</v>
      </c>
      <c r="F163" s="35" t="s">
        <v>697</v>
      </c>
      <c r="G163" s="35" t="s">
        <v>721</v>
      </c>
      <c r="H163" s="35" t="s">
        <v>682</v>
      </c>
      <c r="I163" s="35" t="s">
        <v>683</v>
      </c>
      <c r="J163" s="24" t="s">
        <v>685</v>
      </c>
    </row>
    <row r="164" spans="1:10">
      <c r="A164" s="15" t="s">
        <v>686</v>
      </c>
      <c r="B164" s="15" t="s">
        <v>686</v>
      </c>
      <c r="C164" s="12">
        <v>56</v>
      </c>
      <c r="D164" s="54">
        <f>'보험개발원 위험률'!D39+('보험개발원 위험률'!D40-'보험개발원 위험률'!D39)*(C164-'보험개발원 위험률'!C39)/('보험개발원 위험률'!C40-'보험개발원 위험률'!C39)</f>
        <v>2.6160000000000002E-4</v>
      </c>
      <c r="E164" s="54">
        <f>'보험개발원 위험률'!E39+('보험개발원 위험률'!E40-'보험개발원 위험률'!E39)*(C164-'보험개발원 위험률'!C39)/('보험개발원 위험률'!C40-'보험개발원 위험률'!C39)</f>
        <v>6.9599999999999998E-5</v>
      </c>
      <c r="F164" s="35" t="s">
        <v>699</v>
      </c>
      <c r="G164" s="35" t="s">
        <v>722</v>
      </c>
      <c r="H164" s="35" t="s">
        <v>682</v>
      </c>
      <c r="I164" s="35" t="s">
        <v>683</v>
      </c>
      <c r="J164" s="24" t="s">
        <v>685</v>
      </c>
    </row>
    <row r="165" spans="1:10">
      <c r="A165" s="15" t="s">
        <v>686</v>
      </c>
      <c r="B165" s="15" t="s">
        <v>686</v>
      </c>
      <c r="C165" s="12">
        <v>57</v>
      </c>
      <c r="D165" s="54">
        <f>'보험개발원 위험률'!D39+('보험개발원 위험률'!D40-'보험개발원 위험률'!D39)*(C165-'보험개발원 위험률'!C39)/('보험개발원 위험률'!C40-'보험개발원 위험률'!C39)</f>
        <v>2.7920000000000001E-4</v>
      </c>
      <c r="E165" s="54">
        <f>'보험개발원 위험률'!E39+('보험개발원 위험률'!E40-'보험개발원 위험률'!E39)*(C165-'보험개발원 위험률'!C39)/('보험개발원 위험률'!C40-'보험개발원 위험률'!C39)</f>
        <v>7.3200000000000004E-5</v>
      </c>
      <c r="F165" s="35" t="s">
        <v>699</v>
      </c>
      <c r="G165" s="35" t="s">
        <v>722</v>
      </c>
      <c r="H165" s="35" t="s">
        <v>682</v>
      </c>
      <c r="I165" s="35" t="s">
        <v>683</v>
      </c>
      <c r="J165" s="24" t="s">
        <v>685</v>
      </c>
    </row>
    <row r="166" spans="1:10">
      <c r="A166" s="15" t="s">
        <v>686</v>
      </c>
      <c r="B166" s="15" t="s">
        <v>686</v>
      </c>
      <c r="C166" s="12">
        <v>58</v>
      </c>
      <c r="D166" s="54">
        <f>'보험개발원 위험률'!D39+('보험개발원 위험률'!D40-'보험개발원 위험률'!D39)*(C166-'보험개발원 위험률'!C39)/('보험개발원 위험률'!C40-'보험개발원 위험률'!C39)</f>
        <v>2.968E-4</v>
      </c>
      <c r="E166" s="54">
        <f>'보험개발원 위험률'!E39+('보험개발원 위험률'!E40-'보험개발원 위험률'!E39)*(C166-'보험개발원 위험률'!C39)/('보험개발원 위험률'!C40-'보험개발원 위험률'!C39)</f>
        <v>7.6799999999999997E-5</v>
      </c>
      <c r="F166" s="35" t="s">
        <v>699</v>
      </c>
      <c r="G166" s="35" t="s">
        <v>722</v>
      </c>
      <c r="H166" s="35" t="s">
        <v>682</v>
      </c>
      <c r="I166" s="35" t="s">
        <v>683</v>
      </c>
      <c r="J166" s="24" t="s">
        <v>685</v>
      </c>
    </row>
    <row r="167" spans="1:10">
      <c r="A167" s="15" t="s">
        <v>686</v>
      </c>
      <c r="B167" s="15" t="s">
        <v>686</v>
      </c>
      <c r="C167" s="12">
        <v>59</v>
      </c>
      <c r="D167" s="54">
        <f>'보험개발원 위험률'!D39+('보험개발원 위험률'!D40-'보험개발원 위험률'!D39)*(C167-'보험개발원 위험률'!C39)/('보험개발원 위험률'!C40-'보험개발원 위험률'!C39)</f>
        <v>3.144E-4</v>
      </c>
      <c r="E167" s="54">
        <f>'보험개발원 위험률'!E39+('보험개발원 위험률'!E40-'보험개발원 위험률'!E39)*(C167-'보험개발원 위험률'!C39)/('보험개발원 위험률'!C40-'보험개발원 위험률'!C39)</f>
        <v>8.0400000000000003E-5</v>
      </c>
      <c r="F167" s="35" t="s">
        <v>699</v>
      </c>
      <c r="G167" s="35" t="s">
        <v>722</v>
      </c>
      <c r="H167" s="35" t="s">
        <v>682</v>
      </c>
      <c r="I167" s="35" t="s">
        <v>683</v>
      </c>
      <c r="J167" s="24" t="s">
        <v>685</v>
      </c>
    </row>
    <row r="168" spans="1:10">
      <c r="A168" s="15" t="s">
        <v>686</v>
      </c>
      <c r="B168" s="15" t="s">
        <v>686</v>
      </c>
      <c r="C168" s="12">
        <v>60</v>
      </c>
      <c r="D168" s="54">
        <f>'보험개발원 위험률'!D40</f>
        <v>3.3199999999999999E-4</v>
      </c>
      <c r="E168" s="54">
        <f>'보험개발원 위험률'!E40</f>
        <v>8.3999999999999995E-5</v>
      </c>
      <c r="F168" s="35" t="s">
        <v>697</v>
      </c>
      <c r="G168" s="35" t="s">
        <v>723</v>
      </c>
      <c r="H168" s="35" t="s">
        <v>682</v>
      </c>
      <c r="I168" s="35" t="s">
        <v>683</v>
      </c>
      <c r="J168" s="24" t="s">
        <v>685</v>
      </c>
    </row>
    <row r="169" spans="1:10">
      <c r="A169" s="15" t="s">
        <v>686</v>
      </c>
      <c r="B169" s="15" t="s">
        <v>686</v>
      </c>
      <c r="C169" s="12">
        <v>61</v>
      </c>
      <c r="D169" s="54">
        <f>'보험개발원 위험률'!D40+('보험개발원 위험률'!D41-'보험개발원 위험률'!D40)*(C169-'보험개발원 위험률'!C40)/('보험개발원 위험률'!C41-'보험개발원 위험률'!C40)</f>
        <v>3.5819999999999998E-4</v>
      </c>
      <c r="E169" s="54">
        <f>'보험개발원 위험률'!E40+('보험개발원 위험률'!E41-'보험개발원 위험률'!E40)*(C169-'보험개발원 위험률'!C40)/('보험개발원 위험률'!C41-'보험개발원 위험률'!C40)</f>
        <v>9.2600000000000001E-5</v>
      </c>
      <c r="F169" s="35" t="s">
        <v>699</v>
      </c>
      <c r="G169" s="35" t="s">
        <v>724</v>
      </c>
      <c r="H169" s="35" t="s">
        <v>682</v>
      </c>
      <c r="I169" s="35" t="s">
        <v>683</v>
      </c>
      <c r="J169" s="24" t="s">
        <v>685</v>
      </c>
    </row>
    <row r="170" spans="1:10">
      <c r="A170" s="15" t="s">
        <v>686</v>
      </c>
      <c r="B170" s="15" t="s">
        <v>686</v>
      </c>
      <c r="C170" s="12">
        <v>62</v>
      </c>
      <c r="D170" s="54">
        <f>'보험개발원 위험률'!D40+('보험개발원 위험률'!D41-'보험개발원 위험률'!D40)*(C170-'보험개발원 위험률'!C40)/('보험개발원 위험률'!C41-'보험개발원 위험률'!C40)</f>
        <v>3.8439999999999997E-4</v>
      </c>
      <c r="E170" s="54">
        <f>'보험개발원 위험률'!E40+('보험개발원 위험률'!E41-'보험개발원 위험률'!E40)*(C170-'보험개발원 위험률'!C40)/('보험개발원 위험률'!C41-'보험개발원 위험률'!C40)</f>
        <v>1.0119999999999999E-4</v>
      </c>
      <c r="F170" s="35" t="s">
        <v>699</v>
      </c>
      <c r="G170" s="35" t="s">
        <v>724</v>
      </c>
      <c r="H170" s="35" t="s">
        <v>682</v>
      </c>
      <c r="I170" s="35" t="s">
        <v>683</v>
      </c>
      <c r="J170" s="24" t="s">
        <v>685</v>
      </c>
    </row>
    <row r="171" spans="1:10">
      <c r="A171" s="15" t="s">
        <v>686</v>
      </c>
      <c r="B171" s="15" t="s">
        <v>686</v>
      </c>
      <c r="C171" s="12">
        <v>63</v>
      </c>
      <c r="D171" s="54">
        <f>'보험개발원 위험률'!D40+('보험개발원 위험률'!D41-'보험개발원 위험률'!D40)*(C171-'보험개발원 위험률'!C40)/('보험개발원 위험률'!C41-'보험개발원 위험률'!C40)</f>
        <v>4.1060000000000001E-4</v>
      </c>
      <c r="E171" s="54">
        <f>'보험개발원 위험률'!E40+('보험개발원 위험률'!E41-'보험개발원 위험률'!E40)*(C171-'보험개발원 위험률'!C40)/('보험개발원 위험률'!C41-'보험개발원 위험률'!C40)</f>
        <v>1.0979999999999999E-4</v>
      </c>
      <c r="F171" s="35" t="s">
        <v>699</v>
      </c>
      <c r="G171" s="35" t="s">
        <v>724</v>
      </c>
      <c r="H171" s="35" t="s">
        <v>682</v>
      </c>
      <c r="I171" s="35" t="s">
        <v>683</v>
      </c>
      <c r="J171" s="24" t="s">
        <v>685</v>
      </c>
    </row>
    <row r="172" spans="1:10">
      <c r="A172" s="15" t="s">
        <v>686</v>
      </c>
      <c r="B172" s="15" t="s">
        <v>686</v>
      </c>
      <c r="C172" s="12">
        <v>64</v>
      </c>
      <c r="D172" s="54">
        <f>'보험개발원 위험률'!D40+('보험개발원 위험률'!D41-'보험개발원 위험률'!D40)*(C172-'보험개발원 위험률'!C40)/('보험개발원 위험률'!C41-'보험개발원 위험률'!C40)</f>
        <v>4.3679999999999999E-4</v>
      </c>
      <c r="E172" s="54">
        <f>'보험개발원 위험률'!E40+('보험개발원 위험률'!E41-'보험개발원 위험률'!E40)*(C172-'보험개발원 위험률'!C40)/('보험개발원 위험률'!C41-'보험개발원 위험률'!C40)</f>
        <v>1.184E-4</v>
      </c>
      <c r="F172" s="35" t="s">
        <v>699</v>
      </c>
      <c r="G172" s="35" t="s">
        <v>724</v>
      </c>
      <c r="H172" s="35" t="s">
        <v>682</v>
      </c>
      <c r="I172" s="35" t="s">
        <v>683</v>
      </c>
      <c r="J172" s="24" t="s">
        <v>685</v>
      </c>
    </row>
    <row r="173" spans="1:10">
      <c r="A173" s="15" t="s">
        <v>686</v>
      </c>
      <c r="B173" s="15" t="s">
        <v>686</v>
      </c>
      <c r="C173" s="12">
        <v>65</v>
      </c>
      <c r="D173" s="54">
        <f>'보험개발원 위험률'!D41</f>
        <v>4.6299999999999998E-4</v>
      </c>
      <c r="E173" s="54">
        <f>'보험개발원 위험률'!E41</f>
        <v>1.27E-4</v>
      </c>
      <c r="F173" s="35" t="s">
        <v>697</v>
      </c>
      <c r="G173" s="35" t="s">
        <v>725</v>
      </c>
      <c r="H173" s="35" t="s">
        <v>682</v>
      </c>
      <c r="I173" s="35" t="s">
        <v>683</v>
      </c>
      <c r="J173" s="24" t="s">
        <v>685</v>
      </c>
    </row>
    <row r="174" spans="1:10">
      <c r="A174" s="15" t="s">
        <v>686</v>
      </c>
      <c r="B174" s="15" t="s">
        <v>686</v>
      </c>
      <c r="C174" s="12">
        <v>66</v>
      </c>
      <c r="D174" s="54">
        <f>'보험개발원 위험률'!D41+('보험개발원 위험률'!D42-'보험개발원 위험률'!D41)*(C174-'보험개발원 위험률'!C41)/('보험개발원 위험률'!C42-'보험개발원 위험률'!C41)</f>
        <v>4.8839999999999995E-4</v>
      </c>
      <c r="E174" s="54">
        <f>'보험개발원 위험률'!E41+('보험개발원 위험률'!E42-'보험개발원 위험률'!E41)*(C174-'보험개발원 위험률'!C41)/('보험개발원 위험률'!C42-'보험개발원 위험률'!C41)</f>
        <v>1.4119999999999999E-4</v>
      </c>
      <c r="F174" s="35" t="s">
        <v>699</v>
      </c>
      <c r="G174" s="35" t="s">
        <v>726</v>
      </c>
      <c r="H174" s="35" t="s">
        <v>682</v>
      </c>
      <c r="I174" s="35" t="s">
        <v>683</v>
      </c>
      <c r="J174" s="24" t="s">
        <v>685</v>
      </c>
    </row>
    <row r="175" spans="1:10">
      <c r="A175" s="15" t="s">
        <v>686</v>
      </c>
      <c r="B175" s="15" t="s">
        <v>686</v>
      </c>
      <c r="C175" s="12">
        <v>67</v>
      </c>
      <c r="D175" s="54">
        <f>'보험개발원 위험률'!D41+('보험개발원 위험률'!D42-'보험개발원 위험률'!D41)*(C175-'보험개발원 위험률'!C41)/('보험개발원 위험률'!C42-'보험개발원 위험률'!C41)</f>
        <v>5.1380000000000002E-4</v>
      </c>
      <c r="E175" s="54">
        <f>'보험개발원 위험률'!E41+('보험개발원 위험률'!E42-'보험개발원 위험률'!E41)*(C175-'보험개발원 위험률'!C41)/('보험개발원 위험률'!C42-'보험개발원 위험률'!C41)</f>
        <v>1.5539999999999998E-4</v>
      </c>
      <c r="F175" s="35" t="s">
        <v>699</v>
      </c>
      <c r="G175" s="35" t="s">
        <v>726</v>
      </c>
      <c r="H175" s="35" t="s">
        <v>682</v>
      </c>
      <c r="I175" s="35" t="s">
        <v>683</v>
      </c>
      <c r="J175" s="24" t="s">
        <v>685</v>
      </c>
    </row>
    <row r="176" spans="1:10">
      <c r="A176" s="15" t="s">
        <v>686</v>
      </c>
      <c r="B176" s="15" t="s">
        <v>686</v>
      </c>
      <c r="C176" s="12">
        <v>68</v>
      </c>
      <c r="D176" s="54">
        <f>'보험개발원 위험률'!D41+('보험개발원 위험률'!D42-'보험개발원 위험률'!D41)*(C176-'보험개발원 위험률'!C41)/('보험개발원 위험률'!C42-'보험개발원 위험률'!C41)</f>
        <v>5.3919999999999999E-4</v>
      </c>
      <c r="E176" s="54">
        <f>'보험개발원 위험률'!E41+('보험개발원 위험률'!E42-'보험개발원 위험률'!E41)*(C176-'보험개발원 위험률'!C41)/('보험개발원 위험률'!C42-'보험개발원 위험률'!C41)</f>
        <v>1.696E-4</v>
      </c>
      <c r="F176" s="35" t="s">
        <v>699</v>
      </c>
      <c r="G176" s="35" t="s">
        <v>726</v>
      </c>
      <c r="H176" s="35" t="s">
        <v>682</v>
      </c>
      <c r="I176" s="35" t="s">
        <v>683</v>
      </c>
      <c r="J176" s="24" t="s">
        <v>685</v>
      </c>
    </row>
    <row r="177" spans="1:10">
      <c r="A177" s="15" t="s">
        <v>686</v>
      </c>
      <c r="B177" s="15" t="s">
        <v>686</v>
      </c>
      <c r="C177" s="12">
        <v>69</v>
      </c>
      <c r="D177" s="54">
        <f>'보험개발원 위험률'!D41+('보험개발원 위험률'!D42-'보험개발원 위험률'!D41)*(C177-'보험개발원 위험률'!C41)/('보험개발원 위험률'!C42-'보험개발원 위험률'!C41)</f>
        <v>5.6460000000000006E-4</v>
      </c>
      <c r="E177" s="54">
        <f>'보험개발원 위험률'!E41+('보험개발원 위험률'!E42-'보험개발원 위험률'!E41)*(C177-'보험개발원 위험률'!C41)/('보험개발원 위험률'!C42-'보험개발원 위험률'!C41)</f>
        <v>1.838E-4</v>
      </c>
      <c r="F177" s="35" t="s">
        <v>699</v>
      </c>
      <c r="G177" s="35" t="s">
        <v>726</v>
      </c>
      <c r="H177" s="35" t="s">
        <v>682</v>
      </c>
      <c r="I177" s="35" t="s">
        <v>683</v>
      </c>
      <c r="J177" s="24" t="s">
        <v>685</v>
      </c>
    </row>
    <row r="178" spans="1:10">
      <c r="A178" s="15" t="s">
        <v>686</v>
      </c>
      <c r="B178" s="15" t="s">
        <v>686</v>
      </c>
      <c r="C178" s="12">
        <v>70</v>
      </c>
      <c r="D178" s="54">
        <f>'보험개발원 위험률'!D42</f>
        <v>5.9000000000000003E-4</v>
      </c>
      <c r="E178" s="54">
        <f>'보험개발원 위험률'!E42</f>
        <v>1.9799999999999999E-4</v>
      </c>
      <c r="F178" s="35" t="s">
        <v>697</v>
      </c>
      <c r="G178" s="35" t="s">
        <v>727</v>
      </c>
      <c r="H178" s="35" t="s">
        <v>682</v>
      </c>
      <c r="I178" s="35" t="s">
        <v>683</v>
      </c>
      <c r="J178" s="24" t="s">
        <v>685</v>
      </c>
    </row>
    <row r="179" spans="1:10">
      <c r="A179" s="15" t="s">
        <v>686</v>
      </c>
      <c r="B179" s="15" t="s">
        <v>686</v>
      </c>
      <c r="C179" s="12">
        <v>71</v>
      </c>
      <c r="D179" s="54">
        <f>'보험개발원 위험률'!D42+('보험개발원 위험률'!D43-'보험개발원 위험률'!D42)*(C179-'보험개발원 위험률'!C42)/('보험개발원 위험률'!C43-'보험개발원 위험률'!C42)</f>
        <v>6.2520000000000002E-4</v>
      </c>
      <c r="E179" s="54">
        <f>'보험개발원 위험률'!E42+('보험개발원 위험률'!E43-'보험개발원 위험률'!E42)*(C179-'보험개발원 위험률'!C42)/('보험개발원 위험률'!C43-'보험개발원 위험률'!C42)</f>
        <v>2.2039999999999999E-4</v>
      </c>
      <c r="F179" s="35" t="s">
        <v>699</v>
      </c>
      <c r="G179" s="35" t="s">
        <v>728</v>
      </c>
      <c r="H179" s="35" t="s">
        <v>682</v>
      </c>
      <c r="I179" s="35" t="s">
        <v>683</v>
      </c>
      <c r="J179" s="24" t="s">
        <v>685</v>
      </c>
    </row>
    <row r="180" spans="1:10">
      <c r="A180" s="15" t="s">
        <v>686</v>
      </c>
      <c r="B180" s="15" t="s">
        <v>686</v>
      </c>
      <c r="C180" s="12">
        <v>72</v>
      </c>
      <c r="D180" s="54">
        <f>'보험개발원 위험률'!D42+('보험개발원 위험률'!D43-'보험개발원 위험률'!D42)*(C180-'보험개발원 위험률'!C42)/('보험개발원 위험률'!C43-'보험개발원 위험률'!C42)</f>
        <v>6.6040000000000001E-4</v>
      </c>
      <c r="E180" s="54">
        <f>'보험개발원 위험률'!E42+('보험개발원 위험률'!E43-'보험개발원 위험률'!E42)*(C180-'보험개발원 위험률'!C42)/('보험개발원 위험률'!C43-'보험개발원 위험률'!C42)</f>
        <v>2.4279999999999999E-4</v>
      </c>
      <c r="F180" s="35" t="s">
        <v>699</v>
      </c>
      <c r="G180" s="35" t="s">
        <v>728</v>
      </c>
      <c r="H180" s="35" t="s">
        <v>682</v>
      </c>
      <c r="I180" s="35" t="s">
        <v>683</v>
      </c>
      <c r="J180" s="24" t="s">
        <v>685</v>
      </c>
    </row>
    <row r="181" spans="1:10">
      <c r="A181" s="15" t="s">
        <v>686</v>
      </c>
      <c r="B181" s="15" t="s">
        <v>686</v>
      </c>
      <c r="C181" s="12">
        <v>73</v>
      </c>
      <c r="D181" s="54">
        <f>'보험개발원 위험률'!D42+('보험개발원 위험률'!D43-'보험개발원 위험률'!D42)*(C181-'보험개발원 위험률'!C42)/('보험개발원 위험률'!C43-'보험개발원 위험률'!C42)</f>
        <v>6.9559999999999999E-4</v>
      </c>
      <c r="E181" s="54">
        <f>'보험개발원 위험률'!E42+('보험개발원 위험률'!E43-'보험개발원 위험률'!E42)*(C181-'보험개발원 위험률'!C42)/('보험개발원 위험률'!C43-'보험개발원 위험률'!C42)</f>
        <v>2.652E-4</v>
      </c>
      <c r="F181" s="35" t="s">
        <v>699</v>
      </c>
      <c r="G181" s="35" t="s">
        <v>728</v>
      </c>
      <c r="H181" s="35" t="s">
        <v>682</v>
      </c>
      <c r="I181" s="35" t="s">
        <v>683</v>
      </c>
      <c r="J181" s="24" t="s">
        <v>685</v>
      </c>
    </row>
    <row r="182" spans="1:10">
      <c r="A182" s="15" t="s">
        <v>686</v>
      </c>
      <c r="B182" s="15" t="s">
        <v>686</v>
      </c>
      <c r="C182" s="12">
        <v>74</v>
      </c>
      <c r="D182" s="54">
        <f>'보험개발원 위험률'!D42+('보험개발원 위험률'!D43-'보험개발원 위험률'!D42)*(C182-'보험개발원 위험률'!C42)/('보험개발원 위험률'!C43-'보험개발원 위험률'!C42)</f>
        <v>7.3079999999999998E-4</v>
      </c>
      <c r="E182" s="54">
        <f>'보험개발원 위험률'!E42+('보험개발원 위험률'!E43-'보험개발원 위험률'!E42)*(C182-'보험개발원 위험률'!C42)/('보험개발원 위험률'!C43-'보험개발원 위험률'!C42)</f>
        <v>2.876E-4</v>
      </c>
      <c r="F182" s="35" t="s">
        <v>699</v>
      </c>
      <c r="G182" s="35" t="s">
        <v>728</v>
      </c>
      <c r="H182" s="35" t="s">
        <v>682</v>
      </c>
      <c r="I182" s="35" t="s">
        <v>683</v>
      </c>
      <c r="J182" s="24" t="s">
        <v>685</v>
      </c>
    </row>
    <row r="183" spans="1:10">
      <c r="A183" s="15" t="s">
        <v>686</v>
      </c>
      <c r="B183" s="15" t="s">
        <v>686</v>
      </c>
      <c r="C183" s="12">
        <v>75</v>
      </c>
      <c r="D183" s="54">
        <f>'보험개발원 위험률'!D43</f>
        <v>7.6599999999999997E-4</v>
      </c>
      <c r="E183" s="54">
        <f>'보험개발원 위험률'!E43</f>
        <v>3.1E-4</v>
      </c>
      <c r="F183" s="35" t="s">
        <v>697</v>
      </c>
      <c r="G183" s="35" t="s">
        <v>729</v>
      </c>
      <c r="H183" s="35" t="s">
        <v>682</v>
      </c>
      <c r="I183" s="35" t="s">
        <v>683</v>
      </c>
      <c r="J183" s="24" t="s">
        <v>685</v>
      </c>
    </row>
    <row r="184" spans="1:10">
      <c r="A184" s="15" t="s">
        <v>686</v>
      </c>
      <c r="B184" s="15" t="s">
        <v>686</v>
      </c>
      <c r="C184" s="12">
        <v>76</v>
      </c>
      <c r="D184" s="54">
        <f>'보험개발원 위험률'!D43+('보험개발원 위험률'!D44-'보험개발원 위험률'!D43)*(C184-'보험개발원 위험률'!C43)/('보험개발원 위험률'!C44-'보험개발원 위험률'!C43)</f>
        <v>8.0800000000000002E-4</v>
      </c>
      <c r="E184" s="54">
        <f>'보험개발원 위험률'!E43+('보험개발원 위험률'!E44-'보험개발원 위험률'!E43)*(C184-'보험개발원 위험률'!C43)/('보험개발원 위험률'!C44-'보험개발원 위험률'!C43)</f>
        <v>3.4099999999999999E-4</v>
      </c>
      <c r="F184" s="35" t="s">
        <v>699</v>
      </c>
      <c r="G184" s="35" t="s">
        <v>730</v>
      </c>
      <c r="H184" s="35" t="s">
        <v>682</v>
      </c>
      <c r="I184" s="35" t="s">
        <v>683</v>
      </c>
      <c r="J184" s="24" t="s">
        <v>685</v>
      </c>
    </row>
    <row r="185" spans="1:10">
      <c r="A185" s="15" t="s">
        <v>686</v>
      </c>
      <c r="B185" s="15" t="s">
        <v>686</v>
      </c>
      <c r="C185" s="12">
        <v>77</v>
      </c>
      <c r="D185" s="54">
        <f>'보험개발원 위험률'!D43+('보험개발원 위험률'!D44-'보험개발원 위험률'!D43)*(C185-'보험개발원 위험률'!C43)/('보험개발원 위험률'!C44-'보험개발원 위험률'!C43)</f>
        <v>8.4999999999999995E-4</v>
      </c>
      <c r="E185" s="54">
        <f>'보험개발원 위험률'!E43+('보험개발원 위험률'!E44-'보험개발원 위험률'!E43)*(C185-'보험개발원 위험률'!C43)/('보험개발원 위험률'!C44-'보험개발원 위험률'!C43)</f>
        <v>3.7200000000000004E-4</v>
      </c>
      <c r="F185" s="35" t="s">
        <v>699</v>
      </c>
      <c r="G185" s="35" t="s">
        <v>730</v>
      </c>
      <c r="H185" s="35" t="s">
        <v>682</v>
      </c>
      <c r="I185" s="35" t="s">
        <v>683</v>
      </c>
      <c r="J185" s="24" t="s">
        <v>685</v>
      </c>
    </row>
    <row r="186" spans="1:10">
      <c r="A186" s="15" t="s">
        <v>686</v>
      </c>
      <c r="B186" s="15" t="s">
        <v>686</v>
      </c>
      <c r="C186" s="12">
        <v>78</v>
      </c>
      <c r="D186" s="54">
        <f>'보험개발원 위험률'!D43+('보험개발원 위험률'!D44-'보험개발원 위험률'!D43)*(C186-'보험개발원 위험률'!C43)/('보험개발원 위험률'!C44-'보험개발원 위험률'!C43)</f>
        <v>8.92E-4</v>
      </c>
      <c r="E186" s="54">
        <f>'보험개발원 위험률'!E43+('보험개발원 위험률'!E44-'보험개발원 위험률'!E43)*(C186-'보험개발원 위험률'!C43)/('보험개발원 위험률'!C44-'보험개발원 위험률'!C43)</f>
        <v>4.0300000000000004E-4</v>
      </c>
      <c r="F186" s="35" t="s">
        <v>699</v>
      </c>
      <c r="G186" s="35" t="s">
        <v>730</v>
      </c>
      <c r="H186" s="35" t="s">
        <v>682</v>
      </c>
      <c r="I186" s="35" t="s">
        <v>683</v>
      </c>
      <c r="J186" s="24" t="s">
        <v>685</v>
      </c>
    </row>
    <row r="187" spans="1:10">
      <c r="A187" s="15" t="s">
        <v>686</v>
      </c>
      <c r="B187" s="15" t="s">
        <v>686</v>
      </c>
      <c r="C187" s="12">
        <v>79</v>
      </c>
      <c r="D187" s="54">
        <f>'보험개발원 위험률'!D43+('보험개발원 위험률'!D44-'보험개발원 위험률'!D43)*(C187-'보험개발원 위험률'!C43)/('보험개발원 위험률'!C44-'보험개발원 위험률'!C43)</f>
        <v>9.3399999999999993E-4</v>
      </c>
      <c r="E187" s="54">
        <f>'보험개발원 위험률'!E43+('보험개발원 위험률'!E44-'보험개발원 위험률'!E43)*(C187-'보험개발원 위험률'!C43)/('보험개발원 위험률'!C44-'보험개발원 위험률'!C43)</f>
        <v>4.3400000000000003E-4</v>
      </c>
      <c r="F187" s="35" t="s">
        <v>699</v>
      </c>
      <c r="G187" s="35" t="s">
        <v>730</v>
      </c>
      <c r="H187" s="35" t="s">
        <v>682</v>
      </c>
      <c r="I187" s="35" t="s">
        <v>683</v>
      </c>
      <c r="J187" s="24" t="s">
        <v>685</v>
      </c>
    </row>
    <row r="188" spans="1:10">
      <c r="A188" s="15" t="s">
        <v>686</v>
      </c>
      <c r="B188" s="15" t="s">
        <v>686</v>
      </c>
      <c r="C188" s="12">
        <v>80</v>
      </c>
      <c r="D188" s="54">
        <f>'보험개발원 위험률'!D44</f>
        <v>9.7599999999999998E-4</v>
      </c>
      <c r="E188" s="54">
        <f>'보험개발원 위험률'!E44</f>
        <v>4.6500000000000003E-4</v>
      </c>
      <c r="F188" s="35" t="s">
        <v>697</v>
      </c>
      <c r="G188" s="35" t="s">
        <v>731</v>
      </c>
      <c r="H188" s="35" t="s">
        <v>682</v>
      </c>
      <c r="I188" s="35" t="s">
        <v>683</v>
      </c>
      <c r="J188" s="24" t="s">
        <v>685</v>
      </c>
    </row>
    <row r="189" spans="1:10">
      <c r="A189" s="15" t="s">
        <v>686</v>
      </c>
      <c r="B189" s="15" t="s">
        <v>686</v>
      </c>
      <c r="C189" s="12">
        <v>81</v>
      </c>
      <c r="D189" s="54">
        <f>'보험개발원 위험률'!D44+('보험개발원 위험률'!D45-'보험개발원 위험률'!D44)*(C189-'보험개발원 위험률'!C44)/('보험개발원 위험률'!C45-'보험개발원 위험률'!C44)</f>
        <v>1.0192000000000001E-3</v>
      </c>
      <c r="E189" s="54">
        <f>'보험개발원 위험률'!E44+('보험개발원 위험률'!E45-'보험개발원 위험률'!E44)*(C189-'보험개발원 위험률'!C44)/('보험개발원 위험률'!C45-'보험개발원 위험률'!C44)</f>
        <v>5.2139999999999999E-4</v>
      </c>
      <c r="F189" s="35" t="s">
        <v>699</v>
      </c>
      <c r="G189" s="35" t="s">
        <v>732</v>
      </c>
      <c r="H189" s="35" t="s">
        <v>682</v>
      </c>
      <c r="I189" s="35" t="s">
        <v>683</v>
      </c>
      <c r="J189" s="24" t="s">
        <v>685</v>
      </c>
    </row>
    <row r="190" spans="1:10">
      <c r="A190" s="15" t="s">
        <v>686</v>
      </c>
      <c r="B190" s="15" t="s">
        <v>686</v>
      </c>
      <c r="C190" s="12">
        <v>82</v>
      </c>
      <c r="D190" s="54">
        <f>'보험개발원 위험률'!D44+('보험개발원 위험률'!D45-'보험개발원 위험률'!D44)*(C190-'보험개발원 위험률'!C44)/('보험개발원 위험률'!C45-'보험개발원 위험률'!C44)</f>
        <v>1.0624E-3</v>
      </c>
      <c r="E190" s="54">
        <f>'보험개발원 위험률'!E44+('보험개발원 위험률'!E45-'보험개발원 위험률'!E44)*(C190-'보험개발원 위험률'!C44)/('보험개발원 위험률'!C45-'보험개발원 위험률'!C44)</f>
        <v>5.7780000000000006E-4</v>
      </c>
      <c r="F190" s="35" t="s">
        <v>699</v>
      </c>
      <c r="G190" s="35" t="s">
        <v>732</v>
      </c>
      <c r="H190" s="35" t="s">
        <v>682</v>
      </c>
      <c r="I190" s="35" t="s">
        <v>683</v>
      </c>
      <c r="J190" s="24" t="s">
        <v>685</v>
      </c>
    </row>
    <row r="191" spans="1:10">
      <c r="A191" s="15" t="s">
        <v>686</v>
      </c>
      <c r="B191" s="15" t="s">
        <v>686</v>
      </c>
      <c r="C191" s="12">
        <v>83</v>
      </c>
      <c r="D191" s="54">
        <f>'보험개발원 위험률'!D44+('보험개발원 위험률'!D45-'보험개발원 위험률'!D44)*(C191-'보험개발원 위험률'!C44)/('보험개발원 위험률'!C45-'보험개발원 위험률'!C44)</f>
        <v>1.1056E-3</v>
      </c>
      <c r="E191" s="54">
        <f>'보험개발원 위험률'!E44+('보험개발원 위험률'!E45-'보험개발원 위험률'!E44)*(C191-'보험개발원 위험률'!C44)/('보험개발원 위험률'!C45-'보험개발원 위험률'!C44)</f>
        <v>6.3420000000000002E-4</v>
      </c>
      <c r="F191" s="35" t="s">
        <v>699</v>
      </c>
      <c r="G191" s="35" t="s">
        <v>732</v>
      </c>
      <c r="H191" s="35" t="s">
        <v>682</v>
      </c>
      <c r="I191" s="35" t="s">
        <v>683</v>
      </c>
      <c r="J191" s="24" t="s">
        <v>685</v>
      </c>
    </row>
    <row r="192" spans="1:10">
      <c r="A192" s="15" t="s">
        <v>686</v>
      </c>
      <c r="B192" s="15" t="s">
        <v>686</v>
      </c>
      <c r="C192" s="12">
        <v>84</v>
      </c>
      <c r="D192" s="54">
        <f>'보험개발원 위험률'!D44+('보험개발원 위험률'!D45-'보험개발원 위험률'!D44)*(C192-'보험개발원 위험률'!C44)/('보험개발원 위험률'!C45-'보험개발원 위험률'!C44)</f>
        <v>1.1488E-3</v>
      </c>
      <c r="E192" s="54">
        <f>'보험개발원 위험률'!E44+('보험개발원 위험률'!E45-'보험개발원 위험률'!E44)*(C192-'보험개발원 위험률'!C44)/('보험개발원 위험률'!C45-'보험개발원 위험률'!C44)</f>
        <v>6.9059999999999998E-4</v>
      </c>
      <c r="F192" s="35" t="s">
        <v>699</v>
      </c>
      <c r="G192" s="35" t="s">
        <v>732</v>
      </c>
      <c r="H192" s="35" t="s">
        <v>682</v>
      </c>
      <c r="I192" s="35" t="s">
        <v>683</v>
      </c>
      <c r="J192" s="24" t="s">
        <v>685</v>
      </c>
    </row>
    <row r="193" spans="1:10">
      <c r="A193" s="15" t="s">
        <v>686</v>
      </c>
      <c r="B193" s="15" t="s">
        <v>686</v>
      </c>
      <c r="C193" s="12">
        <v>85</v>
      </c>
      <c r="D193" s="54">
        <f>'보험개발원 위험률'!D45</f>
        <v>1.1919999999999999E-3</v>
      </c>
      <c r="E193" s="54">
        <f>'보험개발원 위험률'!E45</f>
        <v>7.4700000000000005E-4</v>
      </c>
      <c r="F193" s="35" t="s">
        <v>697</v>
      </c>
      <c r="G193" s="35" t="s">
        <v>733</v>
      </c>
      <c r="H193" s="35" t="s">
        <v>682</v>
      </c>
      <c r="I193" s="35" t="s">
        <v>683</v>
      </c>
      <c r="J193" s="24" t="s">
        <v>685</v>
      </c>
    </row>
    <row r="194" spans="1:10">
      <c r="A194" s="15" t="s">
        <v>686</v>
      </c>
      <c r="B194" s="15" t="s">
        <v>686</v>
      </c>
      <c r="C194" s="12">
        <v>86</v>
      </c>
      <c r="D194" s="54">
        <f>'보험개발원 위험률'!D45+('보험개발원 위험률'!D46-'보험개발원 위험률'!D45)*(C194-'보험개발원 위험률'!C45)/('보험개발원 위험률'!C46-'보험개발원 위험률'!C45)</f>
        <v>1.3392E-3</v>
      </c>
      <c r="E194" s="54">
        <f>'보험개발원 위험률'!E45+('보험개발원 위험률'!E46-'보험개발원 위험률'!E45)*(C194-'보험개발원 위험률'!C45)/('보험개발원 위험률'!C46-'보험개발원 위험률'!C45)</f>
        <v>9.0400000000000007E-4</v>
      </c>
      <c r="F194" s="35" t="s">
        <v>699</v>
      </c>
      <c r="G194" s="35" t="s">
        <v>734</v>
      </c>
      <c r="H194" s="35" t="s">
        <v>682</v>
      </c>
      <c r="I194" s="35" t="s">
        <v>683</v>
      </c>
      <c r="J194" s="24" t="s">
        <v>685</v>
      </c>
    </row>
    <row r="195" spans="1:10">
      <c r="A195" s="15" t="s">
        <v>686</v>
      </c>
      <c r="B195" s="15" t="s">
        <v>686</v>
      </c>
      <c r="C195" s="12">
        <v>87</v>
      </c>
      <c r="D195" s="54">
        <f>'보험개발원 위험률'!D45+('보험개발원 위험률'!D46-'보험개발원 위험률'!D45)*(C195-'보험개발원 위험률'!C45)/('보험개발원 위험률'!C46-'보험개발원 위험률'!C45)</f>
        <v>1.4863999999999999E-3</v>
      </c>
      <c r="E195" s="54">
        <f>'보험개발원 위험률'!E45+('보험개발원 위험률'!E46-'보험개발원 위험률'!E45)*(C195-'보험개발원 위험률'!C45)/('보험개발원 위험률'!C46-'보험개발원 위험률'!C45)</f>
        <v>1.0609999999999999E-3</v>
      </c>
      <c r="F195" s="35" t="s">
        <v>699</v>
      </c>
      <c r="G195" s="35" t="s">
        <v>734</v>
      </c>
      <c r="H195" s="35" t="s">
        <v>682</v>
      </c>
      <c r="I195" s="35" t="s">
        <v>683</v>
      </c>
      <c r="J195" s="24" t="s">
        <v>685</v>
      </c>
    </row>
    <row r="196" spans="1:10">
      <c r="A196" s="15" t="s">
        <v>686</v>
      </c>
      <c r="B196" s="15" t="s">
        <v>686</v>
      </c>
      <c r="C196" s="12">
        <v>88</v>
      </c>
      <c r="D196" s="54">
        <f>'보험개발원 위험률'!D45+('보험개발원 위험률'!D46-'보험개발원 위험률'!D45)*(C196-'보험개발원 위험률'!C45)/('보험개발원 위험률'!C46-'보험개발원 위험률'!C45)</f>
        <v>1.6336E-3</v>
      </c>
      <c r="E196" s="54">
        <f>'보험개발원 위험률'!E45+('보험개발원 위험률'!E46-'보험개발원 위험률'!E45)*(C196-'보험개발원 위험률'!C45)/('보험개발원 위험률'!C46-'보험개발원 위험률'!C45)</f>
        <v>1.2179999999999999E-3</v>
      </c>
      <c r="F196" s="35" t="s">
        <v>699</v>
      </c>
      <c r="G196" s="35" t="s">
        <v>734</v>
      </c>
      <c r="H196" s="35" t="s">
        <v>682</v>
      </c>
      <c r="I196" s="35" t="s">
        <v>683</v>
      </c>
      <c r="J196" s="24" t="s">
        <v>685</v>
      </c>
    </row>
    <row r="197" spans="1:10">
      <c r="A197" s="15" t="s">
        <v>686</v>
      </c>
      <c r="B197" s="15" t="s">
        <v>686</v>
      </c>
      <c r="C197" s="12">
        <v>89</v>
      </c>
      <c r="D197" s="54">
        <f>'보험개발원 위험률'!D45+('보험개발원 위험률'!D46-'보험개발원 위험률'!D45)*(C197-'보험개발원 위험률'!C45)/('보험개발원 위험률'!C46-'보험개발원 위험률'!C45)</f>
        <v>1.7807999999999999E-3</v>
      </c>
      <c r="E197" s="54">
        <f>'보험개발원 위험률'!E45+('보험개발원 위험률'!E46-'보험개발원 위험률'!E45)*(C197-'보험개발원 위험률'!C45)/('보험개발원 위험률'!C46-'보험개발원 위험률'!C45)</f>
        <v>1.3749999999999999E-3</v>
      </c>
      <c r="F197" s="35" t="s">
        <v>699</v>
      </c>
      <c r="G197" s="35" t="s">
        <v>734</v>
      </c>
      <c r="H197" s="35" t="s">
        <v>682</v>
      </c>
      <c r="I197" s="35" t="s">
        <v>683</v>
      </c>
      <c r="J197" s="24" t="s">
        <v>685</v>
      </c>
    </row>
    <row r="198" spans="1:10">
      <c r="A198" s="15" t="s">
        <v>686</v>
      </c>
      <c r="B198" s="15" t="s">
        <v>686</v>
      </c>
      <c r="C198" s="12">
        <v>90</v>
      </c>
      <c r="D198" s="54">
        <f>'보험개발원 위험률'!D46</f>
        <v>1.928E-3</v>
      </c>
      <c r="E198" s="54">
        <f>'보험개발원 위험률'!E46</f>
        <v>1.5319999999999999E-3</v>
      </c>
      <c r="F198" s="35" t="s">
        <v>697</v>
      </c>
      <c r="G198" s="35" t="s">
        <v>735</v>
      </c>
      <c r="H198" s="35" t="s">
        <v>682</v>
      </c>
      <c r="I198" s="35" t="s">
        <v>683</v>
      </c>
      <c r="J198" s="24" t="s">
        <v>685</v>
      </c>
    </row>
    <row r="199" spans="1:10">
      <c r="A199" s="15" t="s">
        <v>686</v>
      </c>
      <c r="B199" s="15" t="s">
        <v>686</v>
      </c>
      <c r="C199" s="12">
        <v>91</v>
      </c>
      <c r="D199" s="54">
        <f>'보험개발원 위험률'!D46+('보험개발원 위험률'!D47-'보험개발원 위험률'!D46)*(C199-'보험개발원 위험률'!C46)/('보험개발원 위험률'!C47-'보험개발원 위험률'!C46)</f>
        <v>2.1346E-3</v>
      </c>
      <c r="E199" s="54">
        <f>'보험개발원 위험률'!E46+('보험개발원 위험률'!E47-'보험개발원 위험률'!E46)*(C199-'보험개발원 위험률'!C46)/('보험개발원 위험률'!C47-'보험개발원 위험률'!C46)</f>
        <v>1.7602E-3</v>
      </c>
      <c r="F199" s="35" t="s">
        <v>699</v>
      </c>
      <c r="G199" s="35" t="s">
        <v>736</v>
      </c>
      <c r="H199" s="35" t="s">
        <v>682</v>
      </c>
      <c r="I199" s="35" t="s">
        <v>683</v>
      </c>
      <c r="J199" s="24" t="s">
        <v>685</v>
      </c>
    </row>
    <row r="200" spans="1:10">
      <c r="A200" s="15" t="s">
        <v>686</v>
      </c>
      <c r="B200" s="15" t="s">
        <v>686</v>
      </c>
      <c r="C200" s="12">
        <v>92</v>
      </c>
      <c r="D200" s="54">
        <f>'보험개발원 위험률'!D46+('보험개발원 위험률'!D47-'보험개발원 위험률'!D46)*(C200-'보험개발원 위험률'!C46)/('보험개발원 위험률'!C47-'보험개발원 위험률'!C46)</f>
        <v>2.3411999999999999E-3</v>
      </c>
      <c r="E200" s="54">
        <f>'보험개발원 위험률'!E46+('보험개발원 위험률'!E47-'보험개발원 위험률'!E46)*(C200-'보험개발원 위험률'!C46)/('보험개발원 위험률'!C47-'보험개발원 위험률'!C46)</f>
        <v>1.9884E-3</v>
      </c>
      <c r="F200" s="35" t="s">
        <v>699</v>
      </c>
      <c r="G200" s="35" t="s">
        <v>736</v>
      </c>
      <c r="H200" s="35" t="s">
        <v>682</v>
      </c>
      <c r="I200" s="35" t="s">
        <v>683</v>
      </c>
      <c r="J200" s="24" t="s">
        <v>685</v>
      </c>
    </row>
    <row r="201" spans="1:10">
      <c r="A201" s="15" t="s">
        <v>686</v>
      </c>
      <c r="B201" s="15" t="s">
        <v>686</v>
      </c>
      <c r="C201" s="12">
        <v>93</v>
      </c>
      <c r="D201" s="54">
        <f>'보험개발원 위험률'!D46+('보험개발원 위험률'!D47-'보험개발원 위험률'!D46)*(C201-'보험개발원 위험률'!C46)/('보험개발원 위험률'!C47-'보험개발원 위험률'!C46)</f>
        <v>2.5478000000000002E-3</v>
      </c>
      <c r="E201" s="54">
        <f>'보험개발원 위험률'!E46+('보험개발원 위험률'!E47-'보험개발원 위험률'!E46)*(C201-'보험개발원 위험률'!C46)/('보험개발원 위험률'!C47-'보험개발원 위험률'!C46)</f>
        <v>2.2166E-3</v>
      </c>
      <c r="F201" s="35" t="s">
        <v>699</v>
      </c>
      <c r="G201" s="35" t="s">
        <v>736</v>
      </c>
      <c r="H201" s="35" t="s">
        <v>682</v>
      </c>
      <c r="I201" s="35" t="s">
        <v>683</v>
      </c>
      <c r="J201" s="24" t="s">
        <v>685</v>
      </c>
    </row>
    <row r="202" spans="1:10">
      <c r="A202" s="15" t="s">
        <v>686</v>
      </c>
      <c r="B202" s="15" t="s">
        <v>686</v>
      </c>
      <c r="C202" s="12">
        <v>94</v>
      </c>
      <c r="D202" s="54">
        <f>'보험개발원 위험률'!D46+('보험개발원 위험률'!D47-'보험개발원 위험률'!D46)*(C202-'보험개발원 위험률'!C46)/('보험개발원 위험률'!C47-'보험개발원 위험률'!C46)</f>
        <v>2.7544000000000002E-3</v>
      </c>
      <c r="E202" s="54">
        <f>'보험개발원 위험률'!E46+('보험개발원 위험률'!E47-'보험개발원 위험률'!E46)*(C202-'보험개발원 위험률'!C46)/('보험개발원 위험률'!C47-'보험개발원 위험률'!C46)</f>
        <v>2.4448E-3</v>
      </c>
      <c r="F202" s="35" t="s">
        <v>699</v>
      </c>
      <c r="G202" s="35" t="s">
        <v>736</v>
      </c>
      <c r="H202" s="35" t="s">
        <v>682</v>
      </c>
      <c r="I202" s="35" t="s">
        <v>683</v>
      </c>
      <c r="J202" s="24" t="s">
        <v>685</v>
      </c>
    </row>
    <row r="203" spans="1:10">
      <c r="A203" s="15" t="s">
        <v>686</v>
      </c>
      <c r="B203" s="15" t="s">
        <v>686</v>
      </c>
      <c r="C203" s="12">
        <v>95</v>
      </c>
      <c r="D203" s="54">
        <f>'보험개발원 위험률'!D47</f>
        <v>2.9610000000000001E-3</v>
      </c>
      <c r="E203" s="54">
        <f>'보험개발원 위험률'!E47</f>
        <v>2.673E-3</v>
      </c>
      <c r="F203" s="35" t="s">
        <v>697</v>
      </c>
      <c r="G203" s="35" t="s">
        <v>737</v>
      </c>
      <c r="H203" s="35" t="s">
        <v>682</v>
      </c>
      <c r="I203" s="35" t="s">
        <v>683</v>
      </c>
      <c r="J203" s="24" t="s">
        <v>685</v>
      </c>
    </row>
    <row r="204" spans="1:10">
      <c r="A204" s="15" t="s">
        <v>686</v>
      </c>
      <c r="B204" s="15" t="s">
        <v>686</v>
      </c>
      <c r="C204" s="12">
        <v>96</v>
      </c>
      <c r="D204" s="54">
        <f>'보험개발원 위험률'!D47+('보험개발원 위험률'!D48-'보험개발원 위험률'!D47)*(C204-'보험개발원 위험률'!C47)/('보험개발원 위험률'!C48-'보험개발원 위험률'!C47)</f>
        <v>3.2720000000000002E-3</v>
      </c>
      <c r="E204" s="54">
        <f>'보험개발원 위험률'!E47+('보험개발원 위험률'!E48-'보험개발원 위험률'!E47)*(C204-'보험개발원 위험률'!C47)/('보험개발원 위험률'!C48-'보험개발원 위험률'!C47)</f>
        <v>2.9832000000000001E-3</v>
      </c>
      <c r="F204" s="35" t="s">
        <v>699</v>
      </c>
      <c r="G204" s="35" t="s">
        <v>738</v>
      </c>
      <c r="H204" s="35" t="s">
        <v>682</v>
      </c>
      <c r="I204" s="35" t="s">
        <v>683</v>
      </c>
      <c r="J204" s="24" t="s">
        <v>685</v>
      </c>
    </row>
    <row r="205" spans="1:10">
      <c r="A205" s="15" t="s">
        <v>686</v>
      </c>
      <c r="B205" s="15" t="s">
        <v>686</v>
      </c>
      <c r="C205" s="12">
        <v>97</v>
      </c>
      <c r="D205" s="54">
        <f>'보험개발원 위험률'!D47+('보험개발원 위험률'!D48-'보험개발원 위험률'!D47)*(C205-'보험개발원 위험률'!C47)/('보험개발원 위험률'!C48-'보험개발원 위험률'!C47)</f>
        <v>3.5830000000000002E-3</v>
      </c>
      <c r="E205" s="54">
        <f>'보험개발원 위험률'!E47+('보험개발원 위험률'!E48-'보험개발원 위험률'!E47)*(C205-'보험개발원 위험률'!C47)/('보험개발원 위험률'!C48-'보험개발원 위험률'!C47)</f>
        <v>3.2934000000000001E-3</v>
      </c>
      <c r="F205" s="35" t="s">
        <v>699</v>
      </c>
      <c r="G205" s="35" t="s">
        <v>738</v>
      </c>
      <c r="H205" s="35" t="s">
        <v>682</v>
      </c>
      <c r="I205" s="35" t="s">
        <v>683</v>
      </c>
      <c r="J205" s="24" t="s">
        <v>685</v>
      </c>
    </row>
    <row r="206" spans="1:10">
      <c r="A206" s="15" t="s">
        <v>686</v>
      </c>
      <c r="B206" s="15" t="s">
        <v>686</v>
      </c>
      <c r="C206" s="12">
        <v>98</v>
      </c>
      <c r="D206" s="54">
        <f>'보험개발원 위험률'!D47+('보험개발원 위험률'!D48-'보험개발원 위험률'!D47)*(C206-'보험개발원 위험률'!C47)/('보험개발원 위험률'!C48-'보험개발원 위험률'!C47)</f>
        <v>3.8939999999999999E-3</v>
      </c>
      <c r="E206" s="54">
        <f>'보험개발원 위험률'!E47+('보험개발원 위험률'!E48-'보험개발원 위험률'!E47)*(C206-'보험개발원 위험률'!C47)/('보험개발원 위험률'!C48-'보험개발원 위험률'!C47)</f>
        <v>3.6036000000000002E-3</v>
      </c>
      <c r="F206" s="35" t="s">
        <v>699</v>
      </c>
      <c r="G206" s="35" t="s">
        <v>738</v>
      </c>
      <c r="H206" s="35" t="s">
        <v>682</v>
      </c>
      <c r="I206" s="35" t="s">
        <v>683</v>
      </c>
      <c r="J206" s="24" t="s">
        <v>685</v>
      </c>
    </row>
    <row r="207" spans="1:10">
      <c r="A207" s="15" t="s">
        <v>686</v>
      </c>
      <c r="B207" s="15" t="s">
        <v>686</v>
      </c>
      <c r="C207" s="12">
        <v>99</v>
      </c>
      <c r="D207" s="54">
        <f>'보험개발원 위험률'!D47+('보험개발원 위험률'!D48-'보험개발원 위험률'!D47)*(C207-'보험개발원 위험률'!C47)/('보험개발원 위험률'!C48-'보험개발원 위험률'!C47)</f>
        <v>4.2050000000000004E-3</v>
      </c>
      <c r="E207" s="54">
        <f>'보험개발원 위험률'!E47+('보험개발원 위험률'!E48-'보험개발원 위험률'!E47)*(C207-'보험개발원 위험률'!C47)/('보험개발원 위험률'!C48-'보험개발원 위험률'!C47)</f>
        <v>3.9138000000000003E-3</v>
      </c>
      <c r="F207" s="35" t="s">
        <v>699</v>
      </c>
      <c r="G207" s="35" t="s">
        <v>738</v>
      </c>
      <c r="H207" s="35" t="s">
        <v>682</v>
      </c>
      <c r="I207" s="35" t="s">
        <v>683</v>
      </c>
      <c r="J207" s="24" t="s">
        <v>685</v>
      </c>
    </row>
    <row r="208" spans="1:10">
      <c r="A208" s="15" t="s">
        <v>686</v>
      </c>
      <c r="B208" s="15" t="s">
        <v>686</v>
      </c>
      <c r="C208" s="12">
        <v>100</v>
      </c>
      <c r="D208" s="54">
        <f>'보험개발원 위험률'!D48</f>
        <v>4.516E-3</v>
      </c>
      <c r="E208" s="54">
        <f>'보험개발원 위험률'!E48</f>
        <v>4.2240000000000003E-3</v>
      </c>
      <c r="F208" s="35" t="s">
        <v>697</v>
      </c>
      <c r="G208" s="35" t="s">
        <v>739</v>
      </c>
      <c r="H208" s="35" t="s">
        <v>682</v>
      </c>
      <c r="I208" s="35" t="s">
        <v>683</v>
      </c>
      <c r="J208" s="24" t="s">
        <v>685</v>
      </c>
    </row>
    <row r="209" spans="1:10">
      <c r="A209" s="15" t="s">
        <v>688</v>
      </c>
      <c r="B209" s="15" t="s">
        <v>688</v>
      </c>
      <c r="C209" s="12">
        <v>0</v>
      </c>
      <c r="D209" s="54">
        <f>'보험개발원 위험률'!D49</f>
        <v>4.1899999999999999E-4</v>
      </c>
      <c r="E209" s="54">
        <f>'보험개발원 위험률'!E49</f>
        <v>3.8999999999999999E-4</v>
      </c>
      <c r="F209" s="35" t="s">
        <v>697</v>
      </c>
      <c r="G209" s="35" t="s">
        <v>698</v>
      </c>
      <c r="H209" s="35" t="s">
        <v>689</v>
      </c>
      <c r="I209" s="35" t="s">
        <v>683</v>
      </c>
      <c r="J209" s="24" t="s">
        <v>685</v>
      </c>
    </row>
    <row r="210" spans="1:10">
      <c r="A210" s="15" t="s">
        <v>688</v>
      </c>
      <c r="B210" s="15" t="s">
        <v>688</v>
      </c>
      <c r="C210" s="12">
        <v>1</v>
      </c>
      <c r="D210" s="54">
        <f>'보험개발원 위험률'!D49+('보험개발원 위험률'!D50-'보험개발원 위험률'!D49)*(C210-'보험개발원 위험률'!C49)/('보험개발원 위험률'!C50-'보험개발원 위험률'!C49)</f>
        <v>3.9169999999999998E-4</v>
      </c>
      <c r="E210" s="54">
        <f>'보험개발원 위험률'!E49+('보험개발원 위험률'!E50-'보험개발원 위험률'!E49)*(C210-'보험개발원 위험률'!C49)/('보험개발원 위험률'!C50-'보험개발원 위험률'!C49)</f>
        <v>3.6640000000000002E-4</v>
      </c>
      <c r="F210" s="35" t="s">
        <v>699</v>
      </c>
      <c r="G210" s="35" t="s">
        <v>740</v>
      </c>
      <c r="H210" s="35" t="s">
        <v>689</v>
      </c>
      <c r="I210" s="35" t="s">
        <v>683</v>
      </c>
      <c r="J210" s="24" t="s">
        <v>685</v>
      </c>
    </row>
    <row r="211" spans="1:10">
      <c r="A211" s="15" t="s">
        <v>688</v>
      </c>
      <c r="B211" s="15" t="s">
        <v>688</v>
      </c>
      <c r="C211" s="12">
        <v>2</v>
      </c>
      <c r="D211" s="54">
        <f>'보험개발원 위험률'!D49+('보험개발원 위험률'!D50-'보험개발원 위험률'!D49)*(C211-'보험개발원 위험률'!C49)/('보험개발원 위험률'!C50-'보험개발원 위험률'!C49)</f>
        <v>3.6439999999999997E-4</v>
      </c>
      <c r="E211" s="54">
        <f>'보험개발원 위험률'!E49+('보험개발원 위험률'!E50-'보험개발원 위험률'!E49)*(C211-'보험개발원 위험률'!C49)/('보험개발원 위험률'!C50-'보험개발원 위험률'!C49)</f>
        <v>3.4279999999999998E-4</v>
      </c>
      <c r="F211" s="35" t="s">
        <v>699</v>
      </c>
      <c r="G211" s="35" t="s">
        <v>740</v>
      </c>
      <c r="H211" s="35" t="s">
        <v>689</v>
      </c>
      <c r="I211" s="35" t="s">
        <v>683</v>
      </c>
      <c r="J211" s="24" t="s">
        <v>685</v>
      </c>
    </row>
    <row r="212" spans="1:10">
      <c r="A212" s="15" t="s">
        <v>688</v>
      </c>
      <c r="B212" s="15" t="s">
        <v>688</v>
      </c>
      <c r="C212" s="12">
        <v>3</v>
      </c>
      <c r="D212" s="54">
        <f>'보험개발원 위험률'!D49+('보험개발원 위험률'!D50-'보험개발원 위험률'!D49)*(C212-'보험개발원 위험률'!C49)/('보험개발원 위험률'!C50-'보험개발원 위험률'!C49)</f>
        <v>3.3710000000000001E-4</v>
      </c>
      <c r="E212" s="54">
        <f>'보험개발원 위험률'!E49+('보험개발원 위험률'!E50-'보험개발원 위험률'!E49)*(C212-'보험개발원 위험률'!C49)/('보험개발원 위험률'!C50-'보험개발원 위험률'!C49)</f>
        <v>3.1920000000000001E-4</v>
      </c>
      <c r="F212" s="35" t="s">
        <v>699</v>
      </c>
      <c r="G212" s="35" t="s">
        <v>740</v>
      </c>
      <c r="H212" s="35" t="s">
        <v>689</v>
      </c>
      <c r="I212" s="35" t="s">
        <v>683</v>
      </c>
      <c r="J212" s="24" t="s">
        <v>685</v>
      </c>
    </row>
    <row r="213" spans="1:10">
      <c r="A213" s="15" t="s">
        <v>688</v>
      </c>
      <c r="B213" s="15" t="s">
        <v>688</v>
      </c>
      <c r="C213" s="12">
        <v>4</v>
      </c>
      <c r="D213" s="54">
        <f>'보험개발원 위험률'!D49+('보험개발원 위험률'!D50-'보험개발원 위험률'!D49)*(C213-'보험개발원 위험률'!C49)/('보험개발원 위험률'!C50-'보험개발원 위험률'!C49)</f>
        <v>3.098E-4</v>
      </c>
      <c r="E213" s="54">
        <f>'보험개발원 위험률'!E49+('보험개발원 위험률'!E50-'보험개발원 위험률'!E49)*(C213-'보험개발원 위험률'!C49)/('보험개발원 위험률'!C50-'보험개발원 위험률'!C49)</f>
        <v>2.9560000000000003E-4</v>
      </c>
      <c r="F213" s="35" t="s">
        <v>699</v>
      </c>
      <c r="G213" s="35" t="s">
        <v>740</v>
      </c>
      <c r="H213" s="35" t="s">
        <v>689</v>
      </c>
      <c r="I213" s="35" t="s">
        <v>683</v>
      </c>
      <c r="J213" s="24" t="s">
        <v>685</v>
      </c>
    </row>
    <row r="214" spans="1:10">
      <c r="A214" s="15" t="s">
        <v>688</v>
      </c>
      <c r="B214" s="15" t="s">
        <v>688</v>
      </c>
      <c r="C214" s="12">
        <v>5</v>
      </c>
      <c r="D214" s="54">
        <f>'보험개발원 위험률'!D49+('보험개발원 위험률'!D50-'보험개발원 위험률'!D49)*(C214-'보험개발원 위험률'!C49)/('보험개발원 위험률'!C50-'보험개발원 위험률'!C49)</f>
        <v>2.8249999999999998E-4</v>
      </c>
      <c r="E214" s="54">
        <f>'보험개발원 위험률'!E49+('보험개발원 위험률'!E50-'보험개발원 위험률'!E49)*(C214-'보험개발원 위험률'!C49)/('보험개발원 위험률'!C50-'보험개발원 위험률'!C49)</f>
        <v>2.72E-4</v>
      </c>
      <c r="F214" s="35" t="s">
        <v>699</v>
      </c>
      <c r="G214" s="35" t="s">
        <v>740</v>
      </c>
      <c r="H214" s="35" t="s">
        <v>689</v>
      </c>
      <c r="I214" s="35" t="s">
        <v>683</v>
      </c>
      <c r="J214" s="24" t="s">
        <v>685</v>
      </c>
    </row>
    <row r="215" spans="1:10">
      <c r="A215" s="15" t="s">
        <v>688</v>
      </c>
      <c r="B215" s="15" t="s">
        <v>688</v>
      </c>
      <c r="C215" s="12">
        <v>6</v>
      </c>
      <c r="D215" s="54">
        <f>'보험개발원 위험률'!D49+('보험개발원 위험률'!D50-'보험개발원 위험률'!D49)*(C215-'보험개발원 위험률'!C49)/('보험개발원 위험률'!C50-'보험개발원 위험률'!C49)</f>
        <v>2.5519999999999997E-4</v>
      </c>
      <c r="E215" s="54">
        <f>'보험개발원 위험률'!E49+('보험개발원 위험률'!E50-'보험개발원 위험률'!E49)*(C215-'보험개발원 위험률'!C49)/('보험개발원 위험률'!C50-'보험개발원 위험률'!C49)</f>
        <v>2.4839999999999997E-4</v>
      </c>
      <c r="F215" s="35" t="s">
        <v>699</v>
      </c>
      <c r="G215" s="35" t="s">
        <v>740</v>
      </c>
      <c r="H215" s="35" t="s">
        <v>689</v>
      </c>
      <c r="I215" s="35" t="s">
        <v>683</v>
      </c>
      <c r="J215" s="24" t="s">
        <v>685</v>
      </c>
    </row>
    <row r="216" spans="1:10">
      <c r="A216" s="15" t="s">
        <v>688</v>
      </c>
      <c r="B216" s="15" t="s">
        <v>688</v>
      </c>
      <c r="C216" s="12">
        <v>7</v>
      </c>
      <c r="D216" s="54">
        <f>'보험개발원 위험률'!D49+('보험개발원 위험률'!D50-'보험개발원 위험률'!D49)*(C216-'보험개발원 위험률'!C49)/('보험개발원 위험률'!C50-'보험개발원 위험률'!C49)</f>
        <v>2.2789999999999998E-4</v>
      </c>
      <c r="E216" s="54">
        <f>'보험개발원 위험률'!E49+('보험개발원 위험률'!E50-'보험개발원 위험률'!E49)*(C216-'보험개발원 위험률'!C49)/('보험개발원 위험률'!C50-'보험개발원 위험률'!C49)</f>
        <v>2.2480000000000002E-4</v>
      </c>
      <c r="F216" s="35" t="s">
        <v>699</v>
      </c>
      <c r="G216" s="35" t="s">
        <v>740</v>
      </c>
      <c r="H216" s="35" t="s">
        <v>689</v>
      </c>
      <c r="I216" s="35" t="s">
        <v>683</v>
      </c>
      <c r="J216" s="24" t="s">
        <v>685</v>
      </c>
    </row>
    <row r="217" spans="1:10">
      <c r="A217" s="15" t="s">
        <v>688</v>
      </c>
      <c r="B217" s="15" t="s">
        <v>688</v>
      </c>
      <c r="C217" s="12">
        <v>8</v>
      </c>
      <c r="D217" s="54">
        <f>'보험개발원 위험률'!D49+('보험개발원 위험률'!D50-'보험개발원 위험률'!D49)*(C217-'보험개발원 위험률'!C49)/('보험개발원 위험률'!C50-'보험개발원 위험률'!C49)</f>
        <v>2.0059999999999997E-4</v>
      </c>
      <c r="E217" s="54">
        <f>'보험개발원 위험률'!E49+('보험개발원 위험률'!E50-'보험개발원 위험률'!E49)*(C217-'보험개발원 위험률'!C49)/('보험개발원 위험률'!C50-'보험개발원 위험률'!C49)</f>
        <v>2.0120000000000001E-4</v>
      </c>
      <c r="F217" s="35" t="s">
        <v>699</v>
      </c>
      <c r="G217" s="35" t="s">
        <v>740</v>
      </c>
      <c r="H217" s="35" t="s">
        <v>689</v>
      </c>
      <c r="I217" s="35" t="s">
        <v>683</v>
      </c>
      <c r="J217" s="24" t="s">
        <v>685</v>
      </c>
    </row>
    <row r="218" spans="1:10">
      <c r="A218" s="15" t="s">
        <v>688</v>
      </c>
      <c r="B218" s="15" t="s">
        <v>688</v>
      </c>
      <c r="C218" s="12">
        <v>9</v>
      </c>
      <c r="D218" s="54">
        <f>'보험개발원 위험률'!D49+('보험개발원 위험률'!D50-'보험개발원 위험률'!D49)*(C218-'보험개발원 위험률'!C49)/('보험개발원 위험률'!C50-'보험개발원 위험률'!C49)</f>
        <v>1.7329999999999998E-4</v>
      </c>
      <c r="E218" s="54">
        <f>'보험개발원 위험률'!E49+('보험개발원 위험률'!E50-'보험개발원 위험률'!E49)*(C218-'보험개발원 위험률'!C49)/('보험개발원 위험률'!C50-'보험개발원 위험률'!C49)</f>
        <v>1.7759999999999998E-4</v>
      </c>
      <c r="F218" s="35" t="s">
        <v>699</v>
      </c>
      <c r="G218" s="35" t="s">
        <v>740</v>
      </c>
      <c r="H218" s="35" t="s">
        <v>689</v>
      </c>
      <c r="I218" s="35" t="s">
        <v>683</v>
      </c>
      <c r="J218" s="24" t="s">
        <v>685</v>
      </c>
    </row>
    <row r="219" spans="1:10">
      <c r="A219" s="15" t="s">
        <v>688</v>
      </c>
      <c r="B219" s="15" t="s">
        <v>688</v>
      </c>
      <c r="C219" s="12">
        <v>10</v>
      </c>
      <c r="D219" s="54">
        <f>'보험개발원 위험률'!D50</f>
        <v>1.46E-4</v>
      </c>
      <c r="E219" s="54">
        <f>'보험개발원 위험률'!E50</f>
        <v>1.54E-4</v>
      </c>
      <c r="F219" s="35" t="s">
        <v>697</v>
      </c>
      <c r="G219" s="35" t="s">
        <v>703</v>
      </c>
      <c r="H219" s="35" t="s">
        <v>689</v>
      </c>
      <c r="I219" s="35" t="s">
        <v>683</v>
      </c>
      <c r="J219" s="24" t="s">
        <v>685</v>
      </c>
    </row>
    <row r="220" spans="1:10">
      <c r="A220" s="15" t="s">
        <v>688</v>
      </c>
      <c r="B220" s="15" t="s">
        <v>688</v>
      </c>
      <c r="C220" s="12">
        <v>11</v>
      </c>
      <c r="D220" s="54">
        <f>'보험개발원 위험률'!D50+('보험개발원 위험률'!D51-'보험개발원 위험률'!D50)*(C220-'보험개발원 위험률'!C50)/('보험개발원 위험률'!C51-'보험개발원 위험률'!C50)</f>
        <v>1.607E-4</v>
      </c>
      <c r="E220" s="54">
        <f>'보험개발원 위험률'!E50+('보험개발원 위험률'!E51-'보험개발원 위험률'!E50)*(C220-'보험개발원 위험률'!C50)/('보험개발원 위험률'!C51-'보험개발원 위험률'!C50)</f>
        <v>1.8780000000000001E-4</v>
      </c>
      <c r="F220" s="35" t="s">
        <v>699</v>
      </c>
      <c r="G220" s="35" t="s">
        <v>741</v>
      </c>
      <c r="H220" s="35" t="s">
        <v>689</v>
      </c>
      <c r="I220" s="35" t="s">
        <v>683</v>
      </c>
      <c r="J220" s="24" t="s">
        <v>685</v>
      </c>
    </row>
    <row r="221" spans="1:10">
      <c r="A221" s="15" t="s">
        <v>688</v>
      </c>
      <c r="B221" s="15" t="s">
        <v>688</v>
      </c>
      <c r="C221" s="12">
        <v>12</v>
      </c>
      <c r="D221" s="54">
        <f>'보험개발원 위험률'!D50+('보험개발원 위험률'!D51-'보험개발원 위험률'!D50)*(C221-'보험개발원 위험률'!C50)/('보험개발원 위험률'!C51-'보험개발원 위험률'!C50)</f>
        <v>1.7540000000000001E-4</v>
      </c>
      <c r="E221" s="54">
        <f>'보험개발원 위험률'!E50+('보험개발원 위험률'!E51-'보험개발원 위험률'!E50)*(C221-'보험개발원 위험률'!C50)/('보험개발원 위험률'!C51-'보험개발원 위험률'!C50)</f>
        <v>2.2160000000000002E-4</v>
      </c>
      <c r="F221" s="35" t="s">
        <v>699</v>
      </c>
      <c r="G221" s="35" t="s">
        <v>741</v>
      </c>
      <c r="H221" s="35" t="s">
        <v>689</v>
      </c>
      <c r="I221" s="35" t="s">
        <v>683</v>
      </c>
      <c r="J221" s="24" t="s">
        <v>685</v>
      </c>
    </row>
    <row r="222" spans="1:10">
      <c r="A222" s="15" t="s">
        <v>688</v>
      </c>
      <c r="B222" s="15" t="s">
        <v>688</v>
      </c>
      <c r="C222" s="12">
        <v>13</v>
      </c>
      <c r="D222" s="54">
        <f>'보험개발원 위험률'!D50+('보험개발원 위험률'!D51-'보험개발원 위험률'!D50)*(C222-'보험개발원 위험률'!C50)/('보험개발원 위험률'!C51-'보험개발원 위험률'!C50)</f>
        <v>1.9010000000000001E-4</v>
      </c>
      <c r="E222" s="54">
        <f>'보험개발원 위험률'!E50+('보험개발원 위험률'!E51-'보험개발원 위험률'!E50)*(C222-'보험개발원 위험률'!C50)/('보험개발원 위험률'!C51-'보험개발원 위험률'!C50)</f>
        <v>2.5540000000000003E-4</v>
      </c>
      <c r="F222" s="35" t="s">
        <v>699</v>
      </c>
      <c r="G222" s="35" t="s">
        <v>741</v>
      </c>
      <c r="H222" s="35" t="s">
        <v>689</v>
      </c>
      <c r="I222" s="35" t="s">
        <v>683</v>
      </c>
      <c r="J222" s="24" t="s">
        <v>685</v>
      </c>
    </row>
    <row r="223" spans="1:10">
      <c r="A223" s="15" t="s">
        <v>688</v>
      </c>
      <c r="B223" s="15" t="s">
        <v>688</v>
      </c>
      <c r="C223" s="12">
        <v>14</v>
      </c>
      <c r="D223" s="54">
        <f>'보험개발원 위험률'!D50+('보험개발원 위험률'!D51-'보험개발원 위험률'!D50)*(C223-'보험개발원 위험률'!C50)/('보험개발원 위험률'!C51-'보험개발원 위험률'!C50)</f>
        <v>2.0479999999999999E-4</v>
      </c>
      <c r="E223" s="54">
        <f>'보험개발원 위험률'!E50+('보험개발원 위험률'!E51-'보험개발원 위험률'!E50)*(C223-'보험개발원 위험률'!C50)/('보험개발원 위험률'!C51-'보험개발원 위험률'!C50)</f>
        <v>2.8919999999999998E-4</v>
      </c>
      <c r="F223" s="35" t="s">
        <v>699</v>
      </c>
      <c r="G223" s="35" t="s">
        <v>741</v>
      </c>
      <c r="H223" s="35" t="s">
        <v>689</v>
      </c>
      <c r="I223" s="35" t="s">
        <v>683</v>
      </c>
      <c r="J223" s="24" t="s">
        <v>685</v>
      </c>
    </row>
    <row r="224" spans="1:10">
      <c r="A224" s="15" t="s">
        <v>688</v>
      </c>
      <c r="B224" s="15" t="s">
        <v>688</v>
      </c>
      <c r="C224" s="12">
        <v>15</v>
      </c>
      <c r="D224" s="54">
        <f>'보험개발원 위험률'!D50+('보험개발원 위험률'!D51-'보험개발원 위험률'!D50)*(C224-'보험개발원 위험률'!C50)/('보험개발원 위험률'!C51-'보험개발원 위험률'!C50)</f>
        <v>2.1950000000000002E-4</v>
      </c>
      <c r="E224" s="54">
        <f>'보험개발원 위험률'!E50+('보험개발원 위험률'!E51-'보험개발원 위험률'!E50)*(C224-'보험개발원 위험률'!C50)/('보험개발원 위험률'!C51-'보험개발원 위험률'!C50)</f>
        <v>3.2300000000000004E-4</v>
      </c>
      <c r="F224" s="35" t="s">
        <v>699</v>
      </c>
      <c r="G224" s="35" t="s">
        <v>741</v>
      </c>
      <c r="H224" s="35" t="s">
        <v>689</v>
      </c>
      <c r="I224" s="35" t="s">
        <v>683</v>
      </c>
      <c r="J224" s="24" t="s">
        <v>685</v>
      </c>
    </row>
    <row r="225" spans="1:10">
      <c r="A225" s="15" t="s">
        <v>688</v>
      </c>
      <c r="B225" s="15" t="s">
        <v>688</v>
      </c>
      <c r="C225" s="12">
        <v>16</v>
      </c>
      <c r="D225" s="54">
        <f>'보험개발원 위험률'!D50+('보험개발원 위험률'!D51-'보험개발원 위험률'!D50)*(C225-'보험개발원 위험률'!C50)/('보험개발원 위험률'!C51-'보험개발원 위험률'!C50)</f>
        <v>2.342E-4</v>
      </c>
      <c r="E225" s="54">
        <f>'보험개발원 위험률'!E50+('보험개발원 위험률'!E51-'보험개발원 위험률'!E50)*(C225-'보험개발원 위험률'!C50)/('보험개발원 위험률'!C51-'보험개발원 위험률'!C50)</f>
        <v>3.568E-4</v>
      </c>
      <c r="F225" s="35" t="s">
        <v>699</v>
      </c>
      <c r="G225" s="35" t="s">
        <v>741</v>
      </c>
      <c r="H225" s="35" t="s">
        <v>689</v>
      </c>
      <c r="I225" s="35" t="s">
        <v>683</v>
      </c>
      <c r="J225" s="24" t="s">
        <v>685</v>
      </c>
    </row>
    <row r="226" spans="1:10">
      <c r="A226" s="15" t="s">
        <v>688</v>
      </c>
      <c r="B226" s="15" t="s">
        <v>688</v>
      </c>
      <c r="C226" s="12">
        <v>17</v>
      </c>
      <c r="D226" s="54">
        <f>'보험개발원 위험률'!D50+('보험개발원 위험률'!D51-'보험개발원 위험률'!D50)*(C226-'보험개발원 위험률'!C50)/('보험개발원 위험률'!C51-'보험개발원 위험률'!C50)</f>
        <v>2.4890000000000003E-4</v>
      </c>
      <c r="E226" s="54">
        <f>'보험개발원 위험률'!E50+('보험개발원 위험률'!E51-'보험개발원 위험률'!E50)*(C226-'보험개발원 위험률'!C50)/('보험개발원 위험률'!C51-'보험개발원 위험률'!C50)</f>
        <v>3.9060000000000001E-4</v>
      </c>
      <c r="F226" s="35" t="s">
        <v>699</v>
      </c>
      <c r="G226" s="35" t="s">
        <v>741</v>
      </c>
      <c r="H226" s="35" t="s">
        <v>689</v>
      </c>
      <c r="I226" s="35" t="s">
        <v>683</v>
      </c>
      <c r="J226" s="24" t="s">
        <v>685</v>
      </c>
    </row>
    <row r="227" spans="1:10">
      <c r="A227" s="15" t="s">
        <v>688</v>
      </c>
      <c r="B227" s="15" t="s">
        <v>688</v>
      </c>
      <c r="C227" s="12">
        <v>18</v>
      </c>
      <c r="D227" s="54">
        <f>'보험개발원 위험률'!D50+('보험개발원 위험률'!D51-'보험개발원 위험률'!D50)*(C227-'보험개발원 위험률'!C50)/('보험개발원 위험률'!C51-'보험개발원 위험률'!C50)</f>
        <v>2.6360000000000001E-4</v>
      </c>
      <c r="E227" s="54">
        <f>'보험개발원 위험률'!E50+('보험개발원 위험률'!E51-'보험개발원 위험률'!E50)*(C227-'보험개발원 위험률'!C50)/('보험개발원 위험률'!C51-'보험개발원 위험률'!C50)</f>
        <v>4.2440000000000002E-4</v>
      </c>
      <c r="F227" s="35" t="s">
        <v>699</v>
      </c>
      <c r="G227" s="35" t="s">
        <v>741</v>
      </c>
      <c r="H227" s="35" t="s">
        <v>689</v>
      </c>
      <c r="I227" s="35" t="s">
        <v>683</v>
      </c>
      <c r="J227" s="24" t="s">
        <v>685</v>
      </c>
    </row>
    <row r="228" spans="1:10">
      <c r="A228" s="15" t="s">
        <v>688</v>
      </c>
      <c r="B228" s="15" t="s">
        <v>688</v>
      </c>
      <c r="C228" s="12">
        <v>19</v>
      </c>
      <c r="D228" s="54">
        <f>'보험개발원 위험률'!D50+('보험개발원 위험률'!D51-'보험개발원 위험률'!D50)*(C228-'보험개발원 위험률'!C50)/('보험개발원 위험률'!C51-'보험개발원 위험률'!C50)</f>
        <v>2.7829999999999999E-4</v>
      </c>
      <c r="E228" s="54">
        <f>'보험개발원 위험률'!E50+('보험개발원 위험률'!E51-'보험개발원 위험률'!E50)*(C228-'보험개발원 위험률'!C50)/('보험개발원 위험률'!C51-'보험개발원 위험률'!C50)</f>
        <v>4.5820000000000002E-4</v>
      </c>
      <c r="F228" s="35" t="s">
        <v>699</v>
      </c>
      <c r="G228" s="35" t="s">
        <v>741</v>
      </c>
      <c r="H228" s="35" t="s">
        <v>689</v>
      </c>
      <c r="I228" s="35" t="s">
        <v>683</v>
      </c>
      <c r="J228" s="24" t="s">
        <v>685</v>
      </c>
    </row>
    <row r="229" spans="1:10">
      <c r="A229" s="15" t="s">
        <v>688</v>
      </c>
      <c r="B229" s="15" t="s">
        <v>688</v>
      </c>
      <c r="C229" s="12">
        <v>20</v>
      </c>
      <c r="D229" s="54">
        <f>'보험개발원 위험률'!D51</f>
        <v>2.9300000000000002E-4</v>
      </c>
      <c r="E229" s="54">
        <f>'보험개발원 위험률'!E51</f>
        <v>4.9200000000000003E-4</v>
      </c>
      <c r="F229" s="35" t="s">
        <v>697</v>
      </c>
      <c r="G229" s="35" t="s">
        <v>707</v>
      </c>
      <c r="H229" s="35" t="s">
        <v>689</v>
      </c>
      <c r="I229" s="35" t="s">
        <v>683</v>
      </c>
      <c r="J229" s="24" t="s">
        <v>685</v>
      </c>
    </row>
    <row r="230" spans="1:10">
      <c r="A230" s="15" t="s">
        <v>688</v>
      </c>
      <c r="B230" s="15" t="s">
        <v>688</v>
      </c>
      <c r="C230" s="12">
        <v>21</v>
      </c>
      <c r="D230" s="54">
        <f>'보험개발원 위험률'!D51+('보험개발원 위험률'!D52-'보험개발원 위험률'!D51)*(C230-'보험개발원 위험률'!C51)/('보험개발원 위험률'!C52-'보험개발원 위험률'!C51)</f>
        <v>3.6000000000000002E-4</v>
      </c>
      <c r="E230" s="54">
        <f>'보험개발원 위험률'!E51+('보험개발원 위험률'!E52-'보험개발원 위험률'!E51)*(C230-'보험개발원 위험률'!C51)/('보험개발원 위험률'!C52-'보험개발원 위험률'!C51)</f>
        <v>6.5700000000000003E-4</v>
      </c>
      <c r="F230" s="35" t="s">
        <v>699</v>
      </c>
      <c r="G230" s="35" t="s">
        <v>742</v>
      </c>
      <c r="H230" s="35" t="s">
        <v>689</v>
      </c>
      <c r="I230" s="35" t="s">
        <v>683</v>
      </c>
      <c r="J230" s="24" t="s">
        <v>685</v>
      </c>
    </row>
    <row r="231" spans="1:10">
      <c r="A231" s="15" t="s">
        <v>688</v>
      </c>
      <c r="B231" s="15" t="s">
        <v>688</v>
      </c>
      <c r="C231" s="12">
        <v>22</v>
      </c>
      <c r="D231" s="54">
        <f>'보험개발원 위험률'!D51+('보험개발원 위험률'!D52-'보험개발원 위험률'!D51)*(C231-'보험개발원 위험률'!C51)/('보험개발원 위험률'!C52-'보험개발원 위험률'!C51)</f>
        <v>4.2700000000000002E-4</v>
      </c>
      <c r="E231" s="54">
        <f>'보험개발원 위험률'!E51+('보험개발원 위험률'!E52-'보험개발원 위험률'!E51)*(C231-'보험개발원 위험률'!C51)/('보험개발원 위험률'!C52-'보험개발원 위험률'!C51)</f>
        <v>8.2200000000000003E-4</v>
      </c>
      <c r="F231" s="35" t="s">
        <v>699</v>
      </c>
      <c r="G231" s="35" t="s">
        <v>742</v>
      </c>
      <c r="H231" s="35" t="s">
        <v>689</v>
      </c>
      <c r="I231" s="35" t="s">
        <v>683</v>
      </c>
      <c r="J231" s="24" t="s">
        <v>685</v>
      </c>
    </row>
    <row r="232" spans="1:10">
      <c r="A232" s="15" t="s">
        <v>688</v>
      </c>
      <c r="B232" s="15" t="s">
        <v>688</v>
      </c>
      <c r="C232" s="12">
        <v>23</v>
      </c>
      <c r="D232" s="54">
        <f>'보험개발원 위험률'!D51+('보험개발원 위험률'!D52-'보험개발원 위험률'!D51)*(C232-'보험개발원 위험률'!C51)/('보험개발원 위험률'!C52-'보험개발원 위험률'!C51)</f>
        <v>4.9400000000000008E-4</v>
      </c>
      <c r="E232" s="54">
        <f>'보험개발원 위험률'!E51+('보험개발원 위험률'!E52-'보험개발원 위험률'!E51)*(C232-'보험개발원 위험률'!C51)/('보험개발원 위험률'!C52-'보험개발원 위험률'!C51)</f>
        <v>9.8700000000000003E-4</v>
      </c>
      <c r="F232" s="35" t="s">
        <v>699</v>
      </c>
      <c r="G232" s="35" t="s">
        <v>742</v>
      </c>
      <c r="H232" s="35" t="s">
        <v>689</v>
      </c>
      <c r="I232" s="35" t="s">
        <v>683</v>
      </c>
      <c r="J232" s="24" t="s">
        <v>685</v>
      </c>
    </row>
    <row r="233" spans="1:10">
      <c r="A233" s="15" t="s">
        <v>688</v>
      </c>
      <c r="B233" s="15" t="s">
        <v>688</v>
      </c>
      <c r="C233" s="12">
        <v>24</v>
      </c>
      <c r="D233" s="54">
        <f>'보험개발원 위험률'!D51+('보험개발원 위험률'!D52-'보험개발원 위험률'!D51)*(C233-'보험개발원 위험률'!C51)/('보험개발원 위험률'!C52-'보험개발원 위험률'!C51)</f>
        <v>5.6100000000000008E-4</v>
      </c>
      <c r="E233" s="54">
        <f>'보험개발원 위험률'!E51+('보험개발원 위험률'!E52-'보험개발원 위험률'!E51)*(C233-'보험개발원 위험률'!C51)/('보험개발원 위험률'!C52-'보험개발원 위험률'!C51)</f>
        <v>1.1519999999999998E-3</v>
      </c>
      <c r="F233" s="35" t="s">
        <v>699</v>
      </c>
      <c r="G233" s="35" t="s">
        <v>742</v>
      </c>
      <c r="H233" s="35" t="s">
        <v>689</v>
      </c>
      <c r="I233" s="35" t="s">
        <v>683</v>
      </c>
      <c r="J233" s="24" t="s">
        <v>685</v>
      </c>
    </row>
    <row r="234" spans="1:10">
      <c r="A234" s="15" t="s">
        <v>688</v>
      </c>
      <c r="B234" s="15" t="s">
        <v>688</v>
      </c>
      <c r="C234" s="12">
        <v>25</v>
      </c>
      <c r="D234" s="54">
        <f>'보험개발원 위험률'!D51+('보험개발원 위험률'!D52-'보험개발원 위험률'!D51)*(C234-'보험개발원 위험률'!C51)/('보험개발원 위험률'!C52-'보험개발원 위험률'!C51)</f>
        <v>6.2800000000000009E-4</v>
      </c>
      <c r="E234" s="54">
        <f>'보험개발원 위험률'!E51+('보험개발원 위험률'!E52-'보험개발원 위험률'!E51)*(C234-'보험개발원 위험률'!C51)/('보험개발원 위험률'!C52-'보험개발원 위험률'!C51)</f>
        <v>1.317E-3</v>
      </c>
      <c r="F234" s="35" t="s">
        <v>699</v>
      </c>
      <c r="G234" s="35" t="s">
        <v>742</v>
      </c>
      <c r="H234" s="35" t="s">
        <v>689</v>
      </c>
      <c r="I234" s="35" t="s">
        <v>683</v>
      </c>
      <c r="J234" s="24" t="s">
        <v>685</v>
      </c>
    </row>
    <row r="235" spans="1:10">
      <c r="A235" s="15" t="s">
        <v>688</v>
      </c>
      <c r="B235" s="15" t="s">
        <v>688</v>
      </c>
      <c r="C235" s="12">
        <v>26</v>
      </c>
      <c r="D235" s="54">
        <f>'보험개발원 위험률'!D51+('보험개발원 위험률'!D52-'보험개발원 위험률'!D51)*(C235-'보험개발원 위험률'!C51)/('보험개발원 위험률'!C52-'보험개발원 위험률'!C51)</f>
        <v>6.9500000000000009E-4</v>
      </c>
      <c r="E235" s="54">
        <f>'보험개발원 위험률'!E51+('보험개발원 위험률'!E52-'보험개발원 위험률'!E51)*(C235-'보험개발원 위험률'!C51)/('보험개발원 위험률'!C52-'보험개발원 위험률'!C51)</f>
        <v>1.482E-3</v>
      </c>
      <c r="F235" s="35" t="s">
        <v>699</v>
      </c>
      <c r="G235" s="35" t="s">
        <v>742</v>
      </c>
      <c r="H235" s="35" t="s">
        <v>689</v>
      </c>
      <c r="I235" s="35" t="s">
        <v>683</v>
      </c>
      <c r="J235" s="24" t="s">
        <v>685</v>
      </c>
    </row>
    <row r="236" spans="1:10">
      <c r="A236" s="15" t="s">
        <v>688</v>
      </c>
      <c r="B236" s="15" t="s">
        <v>688</v>
      </c>
      <c r="C236" s="12">
        <v>27</v>
      </c>
      <c r="D236" s="54">
        <f>'보험개발원 위험률'!D51+('보험개발원 위험률'!D52-'보험개발원 위험률'!D51)*(C236-'보험개발원 위험률'!C51)/('보험개발원 위험률'!C52-'보험개발원 위험률'!C51)</f>
        <v>7.6199999999999998E-4</v>
      </c>
      <c r="E236" s="54">
        <f>'보험개발원 위험률'!E51+('보험개발원 위험률'!E52-'보험개발원 위험률'!E51)*(C236-'보험개발원 위험률'!C51)/('보험개발원 위험률'!C52-'보험개발원 위험률'!C51)</f>
        <v>1.6469999999999998E-3</v>
      </c>
      <c r="F236" s="35" t="s">
        <v>699</v>
      </c>
      <c r="G236" s="35" t="s">
        <v>742</v>
      </c>
      <c r="H236" s="35" t="s">
        <v>689</v>
      </c>
      <c r="I236" s="35" t="s">
        <v>683</v>
      </c>
      <c r="J236" s="24" t="s">
        <v>685</v>
      </c>
    </row>
    <row r="237" spans="1:10">
      <c r="A237" s="15" t="s">
        <v>688</v>
      </c>
      <c r="B237" s="15" t="s">
        <v>688</v>
      </c>
      <c r="C237" s="12">
        <v>28</v>
      </c>
      <c r="D237" s="54">
        <f>'보험개발원 위험률'!D51+('보험개발원 위험률'!D52-'보험개발원 위험률'!D51)*(C237-'보험개발원 위험률'!C51)/('보험개발원 위험률'!C52-'보험개발원 위험률'!C51)</f>
        <v>8.2900000000000009E-4</v>
      </c>
      <c r="E237" s="54">
        <f>'보험개발원 위험률'!E51+('보험개발원 위험률'!E52-'보험개발원 위험률'!E51)*(C237-'보험개발원 위험률'!C51)/('보험개발원 위험률'!C52-'보험개발원 위험률'!C51)</f>
        <v>1.8119999999999998E-3</v>
      </c>
      <c r="F237" s="35" t="s">
        <v>699</v>
      </c>
      <c r="G237" s="35" t="s">
        <v>742</v>
      </c>
      <c r="H237" s="35" t="s">
        <v>689</v>
      </c>
      <c r="I237" s="35" t="s">
        <v>683</v>
      </c>
      <c r="J237" s="24" t="s">
        <v>685</v>
      </c>
    </row>
    <row r="238" spans="1:10">
      <c r="A238" s="15" t="s">
        <v>688</v>
      </c>
      <c r="B238" s="15" t="s">
        <v>688</v>
      </c>
      <c r="C238" s="12">
        <v>29</v>
      </c>
      <c r="D238" s="54">
        <f>'보험개발원 위험률'!D51+('보험개발원 위험률'!D52-'보험개발원 위험률'!D51)*(C238-'보험개발원 위험률'!C51)/('보험개발원 위험률'!C52-'보험개발원 위험률'!C51)</f>
        <v>8.9600000000000009E-4</v>
      </c>
      <c r="E238" s="54">
        <f>'보험개발원 위험률'!E51+('보험개발원 위험률'!E52-'보험개발원 위험률'!E51)*(C238-'보험개발원 위험률'!C51)/('보험개발원 위험률'!C52-'보험개발원 위험률'!C51)</f>
        <v>1.9769999999999996E-3</v>
      </c>
      <c r="F238" s="35" t="s">
        <v>699</v>
      </c>
      <c r="G238" s="35" t="s">
        <v>742</v>
      </c>
      <c r="H238" s="35" t="s">
        <v>689</v>
      </c>
      <c r="I238" s="35" t="s">
        <v>683</v>
      </c>
      <c r="J238" s="24" t="s">
        <v>685</v>
      </c>
    </row>
    <row r="239" spans="1:10">
      <c r="A239" s="15" t="s">
        <v>688</v>
      </c>
      <c r="B239" s="15" t="s">
        <v>688</v>
      </c>
      <c r="C239" s="12">
        <v>30</v>
      </c>
      <c r="D239" s="54">
        <f>'보험개발원 위험률'!D52</f>
        <v>9.6299999999999999E-4</v>
      </c>
      <c r="E239" s="54">
        <f>'보험개발원 위험률'!E52</f>
        <v>2.1419999999999998E-3</v>
      </c>
      <c r="F239" s="35" t="s">
        <v>697</v>
      </c>
      <c r="G239" s="35" t="s">
        <v>711</v>
      </c>
      <c r="H239" s="35" t="s">
        <v>689</v>
      </c>
      <c r="I239" s="35" t="s">
        <v>683</v>
      </c>
      <c r="J239" s="24" t="s">
        <v>685</v>
      </c>
    </row>
    <row r="240" spans="1:10">
      <c r="A240" s="15" t="s">
        <v>688</v>
      </c>
      <c r="B240" s="15" t="s">
        <v>688</v>
      </c>
      <c r="C240" s="12">
        <v>31</v>
      </c>
      <c r="D240" s="54">
        <f>'보험개발원 위험률'!D52+('보험개발원 위험률'!D53-'보험개발원 위험률'!D52)*(C240-'보험개발원 위험률'!C52)/('보험개발원 위험률'!C53-'보험개발원 위험률'!C52)</f>
        <v>1.0687000000000001E-3</v>
      </c>
      <c r="E240" s="54">
        <f>'보험개발원 위험률'!E52+('보험개발원 위험률'!E53-'보험개발원 위험률'!E52)*(C240-'보험개발원 위험률'!C52)/('보험개발원 위험률'!C53-'보험개발원 위험률'!C52)</f>
        <v>2.3629999999999996E-3</v>
      </c>
      <c r="F240" s="35" t="s">
        <v>699</v>
      </c>
      <c r="G240" s="35" t="s">
        <v>743</v>
      </c>
      <c r="H240" s="35" t="s">
        <v>689</v>
      </c>
      <c r="I240" s="35" t="s">
        <v>683</v>
      </c>
      <c r="J240" s="24" t="s">
        <v>685</v>
      </c>
    </row>
    <row r="241" spans="1:10">
      <c r="A241" s="15" t="s">
        <v>688</v>
      </c>
      <c r="B241" s="15" t="s">
        <v>688</v>
      </c>
      <c r="C241" s="12">
        <v>32</v>
      </c>
      <c r="D241" s="54">
        <f>'보험개발원 위험률'!D52+('보험개발원 위험률'!D53-'보험개발원 위험률'!D52)*(C241-'보험개발원 위험률'!C52)/('보험개발원 위험률'!C53-'보험개발원 위험률'!C52)</f>
        <v>1.1743999999999999E-3</v>
      </c>
      <c r="E241" s="54">
        <f>'보험개발원 위험률'!E52+('보험개발원 위험률'!E53-'보험개발원 위험률'!E52)*(C241-'보험개발원 위험률'!C52)/('보험개발원 위험률'!C53-'보험개발원 위험률'!C52)</f>
        <v>2.5839999999999999E-3</v>
      </c>
      <c r="F241" s="35" t="s">
        <v>699</v>
      </c>
      <c r="G241" s="35" t="s">
        <v>743</v>
      </c>
      <c r="H241" s="35" t="s">
        <v>689</v>
      </c>
      <c r="I241" s="35" t="s">
        <v>683</v>
      </c>
      <c r="J241" s="24" t="s">
        <v>685</v>
      </c>
    </row>
    <row r="242" spans="1:10">
      <c r="A242" s="15" t="s">
        <v>688</v>
      </c>
      <c r="B242" s="15" t="s">
        <v>688</v>
      </c>
      <c r="C242" s="12">
        <v>33</v>
      </c>
      <c r="D242" s="54">
        <f>'보험개발원 위험률'!D52+('보험개발원 위험률'!D53-'보험개발원 위험률'!D52)*(C242-'보험개발원 위험률'!C52)/('보험개발원 위험률'!C53-'보험개발원 위험률'!C52)</f>
        <v>1.2801000000000002E-3</v>
      </c>
      <c r="E242" s="54">
        <f>'보험개발원 위험률'!E52+('보험개발원 위험률'!E53-'보험개발원 위험률'!E52)*(C242-'보험개발원 위험률'!C52)/('보험개발원 위험률'!C53-'보험개발원 위험률'!C52)</f>
        <v>2.8049999999999998E-3</v>
      </c>
      <c r="F242" s="35" t="s">
        <v>699</v>
      </c>
      <c r="G242" s="35" t="s">
        <v>743</v>
      </c>
      <c r="H242" s="35" t="s">
        <v>689</v>
      </c>
      <c r="I242" s="35" t="s">
        <v>683</v>
      </c>
      <c r="J242" s="24" t="s">
        <v>685</v>
      </c>
    </row>
    <row r="243" spans="1:10">
      <c r="A243" s="15" t="s">
        <v>688</v>
      </c>
      <c r="B243" s="15" t="s">
        <v>688</v>
      </c>
      <c r="C243" s="12">
        <v>34</v>
      </c>
      <c r="D243" s="54">
        <f>'보험개발원 위험률'!D52+('보험개발원 위험률'!D53-'보험개발원 위험률'!D52)*(C243-'보험개발원 위험률'!C52)/('보험개발원 위험률'!C53-'보험개발원 위험률'!C52)</f>
        <v>1.3858E-3</v>
      </c>
      <c r="E243" s="54">
        <f>'보험개발원 위험률'!E52+('보험개발원 위험률'!E53-'보험개발원 위험률'!E52)*(C243-'보험개발원 위험률'!C52)/('보험개발원 위험률'!C53-'보험개발원 위험률'!C52)</f>
        <v>3.026E-3</v>
      </c>
      <c r="F243" s="35" t="s">
        <v>699</v>
      </c>
      <c r="G243" s="35" t="s">
        <v>743</v>
      </c>
      <c r="H243" s="35" t="s">
        <v>689</v>
      </c>
      <c r="I243" s="35" t="s">
        <v>683</v>
      </c>
      <c r="J243" s="24" t="s">
        <v>685</v>
      </c>
    </row>
    <row r="244" spans="1:10">
      <c r="A244" s="15" t="s">
        <v>688</v>
      </c>
      <c r="B244" s="15" t="s">
        <v>688</v>
      </c>
      <c r="C244" s="12">
        <v>35</v>
      </c>
      <c r="D244" s="54">
        <f>'보험개발원 위험률'!D52+('보험개발원 위험률'!D53-'보험개발원 위험률'!D52)*(C244-'보험개발원 위험률'!C52)/('보험개발원 위험률'!C53-'보험개발원 위험률'!C52)</f>
        <v>1.4915000000000002E-3</v>
      </c>
      <c r="E244" s="54">
        <f>'보험개발원 위험률'!E52+('보험개발원 위험률'!E53-'보험개발원 위험률'!E52)*(C244-'보험개발원 위험률'!C52)/('보험개발원 위험률'!C53-'보험개발원 위험률'!C52)</f>
        <v>3.2469999999999999E-3</v>
      </c>
      <c r="F244" s="35" t="s">
        <v>699</v>
      </c>
      <c r="G244" s="35" t="s">
        <v>743</v>
      </c>
      <c r="H244" s="35" t="s">
        <v>689</v>
      </c>
      <c r="I244" s="35" t="s">
        <v>683</v>
      </c>
      <c r="J244" s="24" t="s">
        <v>685</v>
      </c>
    </row>
    <row r="245" spans="1:10">
      <c r="A245" s="15" t="s">
        <v>688</v>
      </c>
      <c r="B245" s="15" t="s">
        <v>688</v>
      </c>
      <c r="C245" s="12">
        <v>36</v>
      </c>
      <c r="D245" s="54">
        <f>'보험개발원 위험률'!D52+('보험개발원 위험률'!D53-'보험개발원 위험률'!D52)*(C245-'보험개발원 위험률'!C52)/('보험개발원 위험률'!C53-'보험개발원 위험률'!C52)</f>
        <v>1.5972E-3</v>
      </c>
      <c r="E245" s="54">
        <f>'보험개발원 위험률'!E52+('보험개발원 위험률'!E53-'보험개발원 위험률'!E52)*(C245-'보험개발원 위험률'!C52)/('보험개발원 위험률'!C53-'보험개발원 위험률'!C52)</f>
        <v>3.4679999999999997E-3</v>
      </c>
      <c r="F245" s="35" t="s">
        <v>699</v>
      </c>
      <c r="G245" s="35" t="s">
        <v>743</v>
      </c>
      <c r="H245" s="35" t="s">
        <v>689</v>
      </c>
      <c r="I245" s="35" t="s">
        <v>683</v>
      </c>
      <c r="J245" s="24" t="s">
        <v>685</v>
      </c>
    </row>
    <row r="246" spans="1:10">
      <c r="A246" s="15" t="s">
        <v>688</v>
      </c>
      <c r="B246" s="15" t="s">
        <v>688</v>
      </c>
      <c r="C246" s="12">
        <v>37</v>
      </c>
      <c r="D246" s="54">
        <f>'보험개발원 위험률'!D52+('보험개발원 위험률'!D53-'보험개발원 위험률'!D52)*(C246-'보험개발원 위험률'!C52)/('보험개발원 위험률'!C53-'보험개발원 위험률'!C52)</f>
        <v>1.7029000000000002E-3</v>
      </c>
      <c r="E246" s="54">
        <f>'보험개발원 위험률'!E52+('보험개발원 위험률'!E53-'보험개발원 위험률'!E52)*(C246-'보험개발원 위험률'!C52)/('보험개발원 위험률'!C53-'보험개발원 위험률'!C52)</f>
        <v>3.689E-3</v>
      </c>
      <c r="F246" s="35" t="s">
        <v>699</v>
      </c>
      <c r="G246" s="35" t="s">
        <v>743</v>
      </c>
      <c r="H246" s="35" t="s">
        <v>689</v>
      </c>
      <c r="I246" s="35" t="s">
        <v>683</v>
      </c>
      <c r="J246" s="24" t="s">
        <v>685</v>
      </c>
    </row>
    <row r="247" spans="1:10">
      <c r="A247" s="15" t="s">
        <v>688</v>
      </c>
      <c r="B247" s="15" t="s">
        <v>688</v>
      </c>
      <c r="C247" s="12">
        <v>38</v>
      </c>
      <c r="D247" s="54">
        <f>'보험개발원 위험률'!D52+('보험개발원 위험률'!D53-'보험개발원 위험률'!D52)*(C247-'보험개발원 위험률'!C52)/('보험개발원 위험률'!C53-'보험개발원 위험률'!C52)</f>
        <v>1.8086000000000001E-3</v>
      </c>
      <c r="E247" s="54">
        <f>'보험개발원 위험률'!E52+('보험개발원 위험률'!E53-'보험개발원 위험률'!E52)*(C247-'보험개발원 위험률'!C52)/('보험개발원 위험률'!C53-'보험개발원 위험률'!C52)</f>
        <v>3.9100000000000003E-3</v>
      </c>
      <c r="F247" s="35" t="s">
        <v>699</v>
      </c>
      <c r="G247" s="35" t="s">
        <v>743</v>
      </c>
      <c r="H247" s="35" t="s">
        <v>689</v>
      </c>
      <c r="I247" s="35" t="s">
        <v>683</v>
      </c>
      <c r="J247" s="24" t="s">
        <v>685</v>
      </c>
    </row>
    <row r="248" spans="1:10">
      <c r="A248" s="15" t="s">
        <v>688</v>
      </c>
      <c r="B248" s="15" t="s">
        <v>688</v>
      </c>
      <c r="C248" s="12">
        <v>39</v>
      </c>
      <c r="D248" s="54">
        <f>'보험개발원 위험률'!D52+('보험개발원 위험률'!D53-'보험개발원 위험률'!D52)*(C248-'보험개발원 위험률'!C52)/('보험개발원 위험률'!C53-'보험개발원 위험률'!C52)</f>
        <v>1.9143000000000003E-3</v>
      </c>
      <c r="E248" s="54">
        <f>'보험개발원 위험률'!E52+('보험개발원 위험률'!E53-'보험개발원 위험률'!E52)*(C248-'보험개발원 위험률'!C52)/('보험개발원 위험률'!C53-'보험개발원 위험률'!C52)</f>
        <v>4.1310000000000001E-3</v>
      </c>
      <c r="F248" s="35" t="s">
        <v>699</v>
      </c>
      <c r="G248" s="35" t="s">
        <v>743</v>
      </c>
      <c r="H248" s="35" t="s">
        <v>689</v>
      </c>
      <c r="I248" s="35" t="s">
        <v>683</v>
      </c>
      <c r="J248" s="24" t="s">
        <v>685</v>
      </c>
    </row>
    <row r="249" spans="1:10">
      <c r="A249" s="15" t="s">
        <v>688</v>
      </c>
      <c r="B249" s="15" t="s">
        <v>688</v>
      </c>
      <c r="C249" s="12">
        <v>40</v>
      </c>
      <c r="D249" s="54">
        <f>'보험개발원 위험률'!D53</f>
        <v>2.0200000000000001E-3</v>
      </c>
      <c r="E249" s="54">
        <f>'보험개발원 위험률'!E53</f>
        <v>4.352E-3</v>
      </c>
      <c r="F249" s="35" t="s">
        <v>697</v>
      </c>
      <c r="G249" s="35" t="s">
        <v>715</v>
      </c>
      <c r="H249" s="35" t="s">
        <v>689</v>
      </c>
      <c r="I249" s="35" t="s">
        <v>683</v>
      </c>
      <c r="J249" s="24" t="s">
        <v>685</v>
      </c>
    </row>
    <row r="250" spans="1:10">
      <c r="A250" s="15" t="s">
        <v>688</v>
      </c>
      <c r="B250" s="15" t="s">
        <v>688</v>
      </c>
      <c r="C250" s="12">
        <v>41</v>
      </c>
      <c r="D250" s="54">
        <f>'보험개발원 위험률'!D53+('보험개발원 위험률'!D54-'보험개발원 위험률'!D53)*(C250-'보험개발원 위험률'!C53)/('보험개발원 위험률'!C54-'보험개발원 위험률'!C53)</f>
        <v>2.1684E-3</v>
      </c>
      <c r="E250" s="54">
        <f>'보험개발원 위험률'!E53+('보험개발원 위험률'!E54-'보험개발원 위험률'!E53)*(C250-'보험개발원 위험률'!C53)/('보험개발원 위험률'!C54-'보험개발원 위험률'!C53)</f>
        <v>4.4986000000000002E-3</v>
      </c>
      <c r="F250" s="35" t="s">
        <v>699</v>
      </c>
      <c r="G250" s="35" t="s">
        <v>744</v>
      </c>
      <c r="H250" s="35" t="s">
        <v>689</v>
      </c>
      <c r="I250" s="35" t="s">
        <v>683</v>
      </c>
      <c r="J250" s="24" t="s">
        <v>685</v>
      </c>
    </row>
    <row r="251" spans="1:10">
      <c r="A251" s="15" t="s">
        <v>688</v>
      </c>
      <c r="B251" s="15" t="s">
        <v>688</v>
      </c>
      <c r="C251" s="12">
        <v>42</v>
      </c>
      <c r="D251" s="54">
        <f>'보험개발원 위험률'!D53+('보험개발원 위험률'!D54-'보험개발원 위험률'!D53)*(C251-'보험개발원 위험률'!C53)/('보험개발원 위험률'!C54-'보험개발원 위험률'!C53)</f>
        <v>2.3167999999999999E-3</v>
      </c>
      <c r="E251" s="54">
        <f>'보험개발원 위험률'!E53+('보험개발원 위험률'!E54-'보험개발원 위험률'!E53)*(C251-'보험개발원 위험률'!C53)/('보험개발원 위험률'!C54-'보험개발원 위험률'!C53)</f>
        <v>4.6452000000000004E-3</v>
      </c>
      <c r="F251" s="35" t="s">
        <v>699</v>
      </c>
      <c r="G251" s="35" t="s">
        <v>744</v>
      </c>
      <c r="H251" s="35" t="s">
        <v>689</v>
      </c>
      <c r="I251" s="35" t="s">
        <v>683</v>
      </c>
      <c r="J251" s="24" t="s">
        <v>685</v>
      </c>
    </row>
    <row r="252" spans="1:10">
      <c r="A252" s="15" t="s">
        <v>688</v>
      </c>
      <c r="B252" s="15" t="s">
        <v>688</v>
      </c>
      <c r="C252" s="12">
        <v>43</v>
      </c>
      <c r="D252" s="54">
        <f>'보험개발원 위험률'!D53+('보험개발원 위험률'!D54-'보험개발원 위험률'!D53)*(C252-'보험개발원 위험률'!C53)/('보험개발원 위험률'!C54-'보험개발원 위험률'!C53)</f>
        <v>2.4652000000000003E-3</v>
      </c>
      <c r="E252" s="54">
        <f>'보험개발원 위험률'!E53+('보험개발원 위험률'!E54-'보험개발원 위험률'!E53)*(C252-'보험개발원 위험률'!C53)/('보험개발원 위험률'!C54-'보험개발원 위험률'!C53)</f>
        <v>4.7917999999999997E-3</v>
      </c>
      <c r="F252" s="35" t="s">
        <v>699</v>
      </c>
      <c r="G252" s="35" t="s">
        <v>744</v>
      </c>
      <c r="H252" s="35" t="s">
        <v>689</v>
      </c>
      <c r="I252" s="35" t="s">
        <v>683</v>
      </c>
      <c r="J252" s="24" t="s">
        <v>685</v>
      </c>
    </row>
    <row r="253" spans="1:10">
      <c r="A253" s="15" t="s">
        <v>688</v>
      </c>
      <c r="B253" s="15" t="s">
        <v>688</v>
      </c>
      <c r="C253" s="12">
        <v>44</v>
      </c>
      <c r="D253" s="54">
        <f>'보험개발원 위험률'!D53+('보험개발원 위험률'!D54-'보험개발원 위험률'!D53)*(C253-'보험개발원 위험률'!C53)/('보험개발원 위험률'!C54-'보험개발원 위험률'!C53)</f>
        <v>2.6136000000000002E-3</v>
      </c>
      <c r="E253" s="54">
        <f>'보험개발원 위험률'!E53+('보험개발원 위험률'!E54-'보험개발원 위험률'!E53)*(C253-'보험개발원 위험률'!C53)/('보험개발원 위험률'!C54-'보험개발원 위험률'!C53)</f>
        <v>4.9383999999999999E-3</v>
      </c>
      <c r="F253" s="35" t="s">
        <v>699</v>
      </c>
      <c r="G253" s="35" t="s">
        <v>744</v>
      </c>
      <c r="H253" s="35" t="s">
        <v>689</v>
      </c>
      <c r="I253" s="35" t="s">
        <v>683</v>
      </c>
      <c r="J253" s="24" t="s">
        <v>685</v>
      </c>
    </row>
    <row r="254" spans="1:10">
      <c r="A254" s="15" t="s">
        <v>688</v>
      </c>
      <c r="B254" s="15" t="s">
        <v>688</v>
      </c>
      <c r="C254" s="12">
        <v>45</v>
      </c>
      <c r="D254" s="54">
        <f>'보험개발원 위험률'!D53+('보험개발원 위험률'!D54-'보험개발원 위험률'!D53)*(C254-'보험개발원 위험률'!C53)/('보험개발원 위험률'!C54-'보험개발원 위험률'!C53)</f>
        <v>2.7620000000000001E-3</v>
      </c>
      <c r="E254" s="54">
        <f>'보험개발원 위험률'!E53+('보험개발원 위험률'!E54-'보험개발원 위험률'!E53)*(C254-'보험개발원 위험률'!C53)/('보험개발원 위험률'!C54-'보험개발원 위험률'!C53)</f>
        <v>5.0850000000000001E-3</v>
      </c>
      <c r="F254" s="35" t="s">
        <v>699</v>
      </c>
      <c r="G254" s="35" t="s">
        <v>744</v>
      </c>
      <c r="H254" s="35" t="s">
        <v>689</v>
      </c>
      <c r="I254" s="35" t="s">
        <v>683</v>
      </c>
      <c r="J254" s="24" t="s">
        <v>685</v>
      </c>
    </row>
    <row r="255" spans="1:10">
      <c r="A255" s="15" t="s">
        <v>688</v>
      </c>
      <c r="B255" s="15" t="s">
        <v>688</v>
      </c>
      <c r="C255" s="12">
        <v>46</v>
      </c>
      <c r="D255" s="54">
        <f>'보험개발원 위험률'!D53+('보험개발원 위험률'!D54-'보험개발원 위험률'!D53)*(C255-'보험개발원 위험률'!C53)/('보험개발원 위험률'!C54-'보험개발원 위험률'!C53)</f>
        <v>2.9104000000000001E-3</v>
      </c>
      <c r="E255" s="54">
        <f>'보험개발원 위험률'!E53+('보험개발원 위험률'!E54-'보험개발원 위험률'!E53)*(C255-'보험개발원 위험률'!C53)/('보험개발원 위험률'!C54-'보험개발원 위험률'!C53)</f>
        <v>5.2316000000000003E-3</v>
      </c>
      <c r="F255" s="35" t="s">
        <v>699</v>
      </c>
      <c r="G255" s="35" t="s">
        <v>744</v>
      </c>
      <c r="H255" s="35" t="s">
        <v>689</v>
      </c>
      <c r="I255" s="35" t="s">
        <v>683</v>
      </c>
      <c r="J255" s="24" t="s">
        <v>685</v>
      </c>
    </row>
    <row r="256" spans="1:10">
      <c r="A256" s="15" t="s">
        <v>688</v>
      </c>
      <c r="B256" s="15" t="s">
        <v>688</v>
      </c>
      <c r="C256" s="12">
        <v>47</v>
      </c>
      <c r="D256" s="54">
        <f>'보험개발원 위험률'!D53+('보험개발원 위험률'!D54-'보험개발원 위험률'!D53)*(C256-'보험개발원 위험률'!C53)/('보험개발원 위험률'!C54-'보험개발원 위험률'!C53)</f>
        <v>3.0588000000000004E-3</v>
      </c>
      <c r="E256" s="54">
        <f>'보험개발원 위험률'!E53+('보험개발원 위험률'!E54-'보험개발원 위험률'!E53)*(C256-'보험개발원 위험률'!C53)/('보험개발원 위험률'!C54-'보험개발원 위험률'!C53)</f>
        <v>5.3781999999999996E-3</v>
      </c>
      <c r="F256" s="35" t="s">
        <v>699</v>
      </c>
      <c r="G256" s="35" t="s">
        <v>744</v>
      </c>
      <c r="H256" s="35" t="s">
        <v>689</v>
      </c>
      <c r="I256" s="35" t="s">
        <v>683</v>
      </c>
      <c r="J256" s="24" t="s">
        <v>685</v>
      </c>
    </row>
    <row r="257" spans="1:10">
      <c r="A257" s="15" t="s">
        <v>688</v>
      </c>
      <c r="B257" s="15" t="s">
        <v>688</v>
      </c>
      <c r="C257" s="12">
        <v>48</v>
      </c>
      <c r="D257" s="54">
        <f>'보험개발원 위험률'!D53+('보험개발원 위험률'!D54-'보험개발원 위험률'!D53)*(C257-'보험개발원 위험률'!C53)/('보험개발원 위험률'!C54-'보험개발원 위험률'!C53)</f>
        <v>3.2072000000000003E-3</v>
      </c>
      <c r="E257" s="54">
        <f>'보험개발원 위험률'!E53+('보험개발원 위험률'!E54-'보험개발원 위험률'!E53)*(C257-'보험개발원 위험률'!C53)/('보험개발원 위험률'!C54-'보험개발원 위험률'!C53)</f>
        <v>5.5247999999999998E-3</v>
      </c>
      <c r="F257" s="35" t="s">
        <v>699</v>
      </c>
      <c r="G257" s="35" t="s">
        <v>744</v>
      </c>
      <c r="H257" s="35" t="s">
        <v>689</v>
      </c>
      <c r="I257" s="35" t="s">
        <v>683</v>
      </c>
      <c r="J257" s="24" t="s">
        <v>685</v>
      </c>
    </row>
    <row r="258" spans="1:10">
      <c r="A258" s="15" t="s">
        <v>688</v>
      </c>
      <c r="B258" s="15" t="s">
        <v>688</v>
      </c>
      <c r="C258" s="12">
        <v>49</v>
      </c>
      <c r="D258" s="54">
        <f>'보험개발원 위험률'!D53+('보험개발원 위험률'!D54-'보험개발원 위험률'!D53)*(C258-'보험개발원 위험률'!C53)/('보험개발원 위험률'!C54-'보험개발원 위험률'!C53)</f>
        <v>3.3556000000000002E-3</v>
      </c>
      <c r="E258" s="54">
        <f>'보험개발원 위험률'!E53+('보험개발원 위험률'!E54-'보험개발원 위험률'!E53)*(C258-'보험개발원 위험률'!C53)/('보험개발원 위험률'!C54-'보험개발원 위험률'!C53)</f>
        <v>5.6714000000000001E-3</v>
      </c>
      <c r="F258" s="35" t="s">
        <v>699</v>
      </c>
      <c r="G258" s="35" t="s">
        <v>744</v>
      </c>
      <c r="H258" s="35" t="s">
        <v>689</v>
      </c>
      <c r="I258" s="35" t="s">
        <v>683</v>
      </c>
      <c r="J258" s="24" t="s">
        <v>685</v>
      </c>
    </row>
    <row r="259" spans="1:10">
      <c r="A259" s="15" t="s">
        <v>688</v>
      </c>
      <c r="B259" s="15" t="s">
        <v>688</v>
      </c>
      <c r="C259" s="12">
        <v>50</v>
      </c>
      <c r="D259" s="54">
        <f>'보험개발원 위험률'!D54</f>
        <v>3.5040000000000002E-3</v>
      </c>
      <c r="E259" s="54">
        <f>'보험개발원 위험률'!E54</f>
        <v>5.8180000000000003E-3</v>
      </c>
      <c r="F259" s="35" t="s">
        <v>697</v>
      </c>
      <c r="G259" s="35" t="s">
        <v>719</v>
      </c>
      <c r="H259" s="35" t="s">
        <v>689</v>
      </c>
      <c r="I259" s="35" t="s">
        <v>683</v>
      </c>
      <c r="J259" s="24" t="s">
        <v>685</v>
      </c>
    </row>
    <row r="260" spans="1:10">
      <c r="A260" s="15" t="s">
        <v>688</v>
      </c>
      <c r="B260" s="15" t="s">
        <v>688</v>
      </c>
      <c r="C260" s="12">
        <v>51</v>
      </c>
      <c r="D260" s="54">
        <f>'보험개발원 위험률'!D54+('보험개발원 위험률'!D55-'보험개발원 위험률'!D54)*(C260-'보험개발원 위험률'!C54)/('보험개발원 위험률'!C55-'보험개발원 위험률'!C54)</f>
        <v>3.9838E-3</v>
      </c>
      <c r="E260" s="54">
        <f>'보험개발원 위험률'!E54+('보험개발원 위험률'!E55-'보험개발원 위험률'!E54)*(C260-'보험개발원 위험률'!C54)/('보험개발원 위험률'!C55-'보험개발원 위험률'!C54)</f>
        <v>5.8986000000000004E-3</v>
      </c>
      <c r="F260" s="35" t="s">
        <v>699</v>
      </c>
      <c r="G260" s="35" t="s">
        <v>745</v>
      </c>
      <c r="H260" s="35" t="s">
        <v>689</v>
      </c>
      <c r="I260" s="35" t="s">
        <v>683</v>
      </c>
      <c r="J260" s="24" t="s">
        <v>685</v>
      </c>
    </row>
    <row r="261" spans="1:10">
      <c r="A261" s="15" t="s">
        <v>688</v>
      </c>
      <c r="B261" s="15" t="s">
        <v>688</v>
      </c>
      <c r="C261" s="12">
        <v>52</v>
      </c>
      <c r="D261" s="54">
        <f>'보험개발원 위험률'!D54+('보험개발원 위험률'!D55-'보험개발원 위험률'!D54)*(C261-'보험개발원 위험률'!C54)/('보험개발원 위험률'!C55-'보험개발원 위험률'!C54)</f>
        <v>4.4635999999999999E-3</v>
      </c>
      <c r="E261" s="54">
        <f>'보험개발원 위험률'!E54+('보험개발원 위험률'!E55-'보험개발원 위험률'!E54)*(C261-'보험개발원 위험률'!C54)/('보험개발원 위험률'!C55-'보험개발원 위험률'!C54)</f>
        <v>5.9792000000000005E-3</v>
      </c>
      <c r="F261" s="35" t="s">
        <v>699</v>
      </c>
      <c r="G261" s="35" t="s">
        <v>745</v>
      </c>
      <c r="H261" s="35" t="s">
        <v>689</v>
      </c>
      <c r="I261" s="35" t="s">
        <v>683</v>
      </c>
      <c r="J261" s="24" t="s">
        <v>685</v>
      </c>
    </row>
    <row r="262" spans="1:10">
      <c r="A262" s="15" t="s">
        <v>688</v>
      </c>
      <c r="B262" s="15" t="s">
        <v>688</v>
      </c>
      <c r="C262" s="12">
        <v>53</v>
      </c>
      <c r="D262" s="54">
        <f>'보험개발원 위험률'!D54+('보험개발원 위험률'!D55-'보험개발원 위험률'!D54)*(C262-'보험개발원 위험률'!C54)/('보험개발원 위험률'!C55-'보험개발원 위험률'!C54)</f>
        <v>4.9434000000000006E-3</v>
      </c>
      <c r="E262" s="54">
        <f>'보험개발원 위험률'!E54+('보험개발원 위험률'!E55-'보험개발원 위험률'!E54)*(C262-'보험개발원 위험률'!C54)/('보험개발원 위험률'!C55-'보험개발원 위험률'!C54)</f>
        <v>6.0597999999999997E-3</v>
      </c>
      <c r="F262" s="35" t="s">
        <v>699</v>
      </c>
      <c r="G262" s="35" t="s">
        <v>745</v>
      </c>
      <c r="H262" s="35" t="s">
        <v>689</v>
      </c>
      <c r="I262" s="35" t="s">
        <v>683</v>
      </c>
      <c r="J262" s="24" t="s">
        <v>685</v>
      </c>
    </row>
    <row r="263" spans="1:10">
      <c r="A263" s="15" t="s">
        <v>688</v>
      </c>
      <c r="B263" s="15" t="s">
        <v>688</v>
      </c>
      <c r="C263" s="12">
        <v>54</v>
      </c>
      <c r="D263" s="54">
        <f>'보험개발원 위험률'!D54+('보험개발원 위험률'!D55-'보험개발원 위험률'!D54)*(C263-'보험개발원 위험률'!C54)/('보험개발원 위험률'!C55-'보험개발원 위험률'!C54)</f>
        <v>5.4232000000000004E-3</v>
      </c>
      <c r="E263" s="54">
        <f>'보험개발원 위험률'!E54+('보험개발원 위험률'!E55-'보험개발원 위험률'!E54)*(C263-'보험개발원 위험률'!C54)/('보험개발원 위험률'!C55-'보험개발원 위험률'!C54)</f>
        <v>6.1403999999999999E-3</v>
      </c>
      <c r="F263" s="35" t="s">
        <v>699</v>
      </c>
      <c r="G263" s="35" t="s">
        <v>745</v>
      </c>
      <c r="H263" s="35" t="s">
        <v>689</v>
      </c>
      <c r="I263" s="35" t="s">
        <v>683</v>
      </c>
      <c r="J263" s="24" t="s">
        <v>685</v>
      </c>
    </row>
    <row r="264" spans="1:10">
      <c r="A264" s="15" t="s">
        <v>688</v>
      </c>
      <c r="B264" s="15" t="s">
        <v>688</v>
      </c>
      <c r="C264" s="12">
        <v>55</v>
      </c>
      <c r="D264" s="54">
        <f>'보험개발원 위험률'!D54+('보험개발원 위험률'!D55-'보험개발원 위험률'!D54)*(C264-'보험개발원 위험률'!C54)/('보험개발원 위험률'!C55-'보험개발원 위험률'!C54)</f>
        <v>5.9030000000000003E-3</v>
      </c>
      <c r="E264" s="54">
        <f>'보험개발원 위험률'!E54+('보험개발원 위험률'!E55-'보험개발원 위험률'!E54)*(C264-'보험개발원 위험률'!C54)/('보험개발원 위험률'!C55-'보험개발원 위험률'!C54)</f>
        <v>6.221E-3</v>
      </c>
      <c r="F264" s="35" t="s">
        <v>699</v>
      </c>
      <c r="G264" s="35" t="s">
        <v>745</v>
      </c>
      <c r="H264" s="35" t="s">
        <v>689</v>
      </c>
      <c r="I264" s="35" t="s">
        <v>683</v>
      </c>
      <c r="J264" s="24" t="s">
        <v>685</v>
      </c>
    </row>
    <row r="265" spans="1:10">
      <c r="A265" s="15" t="s">
        <v>688</v>
      </c>
      <c r="B265" s="15" t="s">
        <v>688</v>
      </c>
      <c r="C265" s="12">
        <v>56</v>
      </c>
      <c r="D265" s="54">
        <f>'보험개발원 위험률'!D54+('보험개발원 위험률'!D55-'보험개발원 위험률'!D54)*(C265-'보험개발원 위험률'!C54)/('보험개발원 위험률'!C55-'보험개발원 위험률'!C54)</f>
        <v>6.3828000000000001E-3</v>
      </c>
      <c r="E265" s="54">
        <f>'보험개발원 위험률'!E54+('보험개발원 위험률'!E55-'보험개발원 위험률'!E54)*(C265-'보험개발원 위험률'!C54)/('보험개발원 위험률'!C55-'보험개발원 위험률'!C54)</f>
        <v>6.3016000000000001E-3</v>
      </c>
      <c r="F265" s="35" t="s">
        <v>699</v>
      </c>
      <c r="G265" s="35" t="s">
        <v>745</v>
      </c>
      <c r="H265" s="35" t="s">
        <v>689</v>
      </c>
      <c r="I265" s="35" t="s">
        <v>683</v>
      </c>
      <c r="J265" s="24" t="s">
        <v>685</v>
      </c>
    </row>
    <row r="266" spans="1:10">
      <c r="A266" s="15" t="s">
        <v>688</v>
      </c>
      <c r="B266" s="15" t="s">
        <v>688</v>
      </c>
      <c r="C266" s="12">
        <v>57</v>
      </c>
      <c r="D266" s="54">
        <f>'보험개발원 위험률'!D54+('보험개발원 위험률'!D55-'보험개발원 위험률'!D54)*(C266-'보험개발원 위험률'!C54)/('보험개발원 위험률'!C55-'보험개발원 위험률'!C54)</f>
        <v>6.8626000000000008E-3</v>
      </c>
      <c r="E266" s="54">
        <f>'보험개발원 위험률'!E54+('보험개발원 위험률'!E55-'보험개발원 위험률'!E54)*(C266-'보험개발원 위험률'!C54)/('보험개발원 위험률'!C55-'보험개발원 위험률'!C54)</f>
        <v>6.3822000000000002E-3</v>
      </c>
      <c r="F266" s="35" t="s">
        <v>699</v>
      </c>
      <c r="G266" s="35" t="s">
        <v>745</v>
      </c>
      <c r="H266" s="35" t="s">
        <v>689</v>
      </c>
      <c r="I266" s="35" t="s">
        <v>683</v>
      </c>
      <c r="J266" s="24" t="s">
        <v>685</v>
      </c>
    </row>
    <row r="267" spans="1:10">
      <c r="A267" s="15" t="s">
        <v>688</v>
      </c>
      <c r="B267" s="15" t="s">
        <v>688</v>
      </c>
      <c r="C267" s="12">
        <v>58</v>
      </c>
      <c r="D267" s="54">
        <f>'보험개발원 위험률'!D54+('보험개발원 위험률'!D55-'보험개발원 위험률'!D54)*(C267-'보험개발원 위험률'!C54)/('보험개발원 위험률'!C55-'보험개발원 위험률'!C54)</f>
        <v>7.3424000000000007E-3</v>
      </c>
      <c r="E267" s="54">
        <f>'보험개발원 위험률'!E54+('보험개발원 위험률'!E55-'보험개발원 위험률'!E54)*(C267-'보험개발원 위험률'!C54)/('보험개발원 위험률'!C55-'보험개발원 위험률'!C54)</f>
        <v>6.4627999999999994E-3</v>
      </c>
      <c r="F267" s="35" t="s">
        <v>699</v>
      </c>
      <c r="G267" s="35" t="s">
        <v>745</v>
      </c>
      <c r="H267" s="35" t="s">
        <v>689</v>
      </c>
      <c r="I267" s="35" t="s">
        <v>683</v>
      </c>
      <c r="J267" s="24" t="s">
        <v>685</v>
      </c>
    </row>
    <row r="268" spans="1:10">
      <c r="A268" s="15" t="s">
        <v>688</v>
      </c>
      <c r="B268" s="15" t="s">
        <v>688</v>
      </c>
      <c r="C268" s="12">
        <v>59</v>
      </c>
      <c r="D268" s="54">
        <f>'보험개발원 위험률'!D54+('보험개발원 위험률'!D55-'보험개발원 위험률'!D54)*(C268-'보험개발원 위험률'!C54)/('보험개발원 위험률'!C55-'보험개발원 위험률'!C54)</f>
        <v>7.8221999999999996E-3</v>
      </c>
      <c r="E268" s="54">
        <f>'보험개발원 위험률'!E54+('보험개발원 위험률'!E55-'보험개발원 위험률'!E54)*(C268-'보험개발원 위험률'!C54)/('보험개발원 위험률'!C55-'보험개발원 위험률'!C54)</f>
        <v>6.5433999999999996E-3</v>
      </c>
      <c r="F268" s="35" t="s">
        <v>699</v>
      </c>
      <c r="G268" s="35" t="s">
        <v>745</v>
      </c>
      <c r="H268" s="35" t="s">
        <v>689</v>
      </c>
      <c r="I268" s="35" t="s">
        <v>683</v>
      </c>
      <c r="J268" s="24" t="s">
        <v>685</v>
      </c>
    </row>
    <row r="269" spans="1:10">
      <c r="A269" s="15" t="s">
        <v>688</v>
      </c>
      <c r="B269" s="15" t="s">
        <v>688</v>
      </c>
      <c r="C269" s="12">
        <v>60</v>
      </c>
      <c r="D269" s="54">
        <f>'보험개발원 위험률'!D55</f>
        <v>8.3020000000000004E-3</v>
      </c>
      <c r="E269" s="54">
        <f>'보험개발원 위험률'!E55</f>
        <v>6.6239999999999997E-3</v>
      </c>
      <c r="F269" s="35" t="s">
        <v>697</v>
      </c>
      <c r="G269" s="35" t="s">
        <v>723</v>
      </c>
      <c r="H269" s="35" t="s">
        <v>689</v>
      </c>
      <c r="I269" s="35" t="s">
        <v>683</v>
      </c>
      <c r="J269" s="24" t="s">
        <v>685</v>
      </c>
    </row>
    <row r="270" spans="1:10">
      <c r="A270" s="15" t="s">
        <v>688</v>
      </c>
      <c r="B270" s="15" t="s">
        <v>688</v>
      </c>
      <c r="C270" s="12">
        <v>61</v>
      </c>
      <c r="D270" s="54">
        <f>'보험개발원 위험률'!D55+('보험개발원 위험률'!D56-'보험개발원 위험률'!D55)*(C270-'보험개발원 위험률'!C55)/('보험개발원 위험률'!C56-'보험개발원 위험률'!C55)</f>
        <v>9.1634000000000004E-3</v>
      </c>
      <c r="E270" s="54">
        <f>'보험개발원 위험률'!E55+('보험개발원 위험률'!E56-'보험개발원 위험률'!E55)*(C270-'보험개발원 위험률'!C55)/('보험개발원 위험률'!C56-'보험개발원 위험률'!C55)</f>
        <v>6.7764999999999995E-3</v>
      </c>
      <c r="F270" s="35" t="s">
        <v>699</v>
      </c>
      <c r="G270" s="35" t="s">
        <v>746</v>
      </c>
      <c r="H270" s="35" t="s">
        <v>689</v>
      </c>
      <c r="I270" s="35" t="s">
        <v>683</v>
      </c>
      <c r="J270" s="24" t="s">
        <v>685</v>
      </c>
    </row>
    <row r="271" spans="1:10">
      <c r="A271" s="15" t="s">
        <v>688</v>
      </c>
      <c r="B271" s="15" t="s">
        <v>688</v>
      </c>
      <c r="C271" s="12">
        <v>62</v>
      </c>
      <c r="D271" s="54">
        <f>'보험개발원 위험률'!D55+('보험개발원 위험률'!D56-'보험개발원 위험률'!D55)*(C271-'보험개발원 위험률'!C55)/('보험개발원 위험률'!C56-'보험개발원 위험률'!C55)</f>
        <v>1.00248E-2</v>
      </c>
      <c r="E271" s="54">
        <f>'보험개발원 위험률'!E55+('보험개발원 위험률'!E56-'보험개발원 위험률'!E55)*(C271-'보험개발원 위험률'!C55)/('보험개발원 위험률'!C56-'보험개발원 위험률'!C55)</f>
        <v>6.9289999999999994E-3</v>
      </c>
      <c r="F271" s="35" t="s">
        <v>699</v>
      </c>
      <c r="G271" s="35" t="s">
        <v>746</v>
      </c>
      <c r="H271" s="35" t="s">
        <v>689</v>
      </c>
      <c r="I271" s="35" t="s">
        <v>683</v>
      </c>
      <c r="J271" s="24" t="s">
        <v>685</v>
      </c>
    </row>
    <row r="272" spans="1:10">
      <c r="A272" s="15" t="s">
        <v>688</v>
      </c>
      <c r="B272" s="15" t="s">
        <v>688</v>
      </c>
      <c r="C272" s="12">
        <v>63</v>
      </c>
      <c r="D272" s="54">
        <f>'보험개발원 위험률'!D55+('보험개발원 위험률'!D56-'보험개발원 위험률'!D55)*(C272-'보험개발원 위험률'!C55)/('보험개발원 위험률'!C56-'보험개발원 위험률'!C55)</f>
        <v>1.08862E-2</v>
      </c>
      <c r="E272" s="54">
        <f>'보험개발원 위험률'!E55+('보험개발원 위험률'!E56-'보험개발원 위험률'!E55)*(C272-'보험개발원 위험률'!C55)/('보험개발원 위험률'!C56-'보험개발원 위험률'!C55)</f>
        <v>7.0815000000000001E-3</v>
      </c>
      <c r="F272" s="35" t="s">
        <v>699</v>
      </c>
      <c r="G272" s="35" t="s">
        <v>746</v>
      </c>
      <c r="H272" s="35" t="s">
        <v>689</v>
      </c>
      <c r="I272" s="35" t="s">
        <v>683</v>
      </c>
      <c r="J272" s="24" t="s">
        <v>685</v>
      </c>
    </row>
    <row r="273" spans="1:10">
      <c r="A273" s="15" t="s">
        <v>688</v>
      </c>
      <c r="B273" s="15" t="s">
        <v>688</v>
      </c>
      <c r="C273" s="12">
        <v>64</v>
      </c>
      <c r="D273" s="54">
        <f>'보험개발원 위험률'!D55+('보험개발원 위험률'!D56-'보험개발원 위험률'!D55)*(C273-'보험개발원 위험률'!C55)/('보험개발원 위험률'!C56-'보험개발원 위험률'!C55)</f>
        <v>1.17476E-2</v>
      </c>
      <c r="E273" s="54">
        <f>'보험개발원 위험률'!E55+('보험개발원 위험률'!E56-'보험개발원 위험률'!E55)*(C273-'보험개발원 위험률'!C55)/('보험개발원 위험률'!C56-'보험개발원 위험률'!C55)</f>
        <v>7.234E-3</v>
      </c>
      <c r="F273" s="35" t="s">
        <v>699</v>
      </c>
      <c r="G273" s="35" t="s">
        <v>746</v>
      </c>
      <c r="H273" s="35" t="s">
        <v>689</v>
      </c>
      <c r="I273" s="35" t="s">
        <v>683</v>
      </c>
      <c r="J273" s="24" t="s">
        <v>685</v>
      </c>
    </row>
    <row r="274" spans="1:10">
      <c r="A274" s="15" t="s">
        <v>688</v>
      </c>
      <c r="B274" s="15" t="s">
        <v>688</v>
      </c>
      <c r="C274" s="12">
        <v>65</v>
      </c>
      <c r="D274" s="54">
        <f>'보험개발원 위험률'!D55+('보험개발원 위험률'!D56-'보험개발원 위험률'!D55)*(C274-'보험개발원 위험률'!C55)/('보험개발원 위험률'!C56-'보험개발원 위험률'!C55)</f>
        <v>1.2609E-2</v>
      </c>
      <c r="E274" s="54">
        <f>'보험개발원 위험률'!E55+('보험개발원 위험률'!E56-'보험개발원 위험률'!E55)*(C274-'보험개발원 위험률'!C55)/('보험개발원 위험률'!C56-'보험개발원 위험률'!C55)</f>
        <v>7.3864999999999998E-3</v>
      </c>
      <c r="F274" s="35" t="s">
        <v>699</v>
      </c>
      <c r="G274" s="35" t="s">
        <v>746</v>
      </c>
      <c r="H274" s="35" t="s">
        <v>689</v>
      </c>
      <c r="I274" s="35" t="s">
        <v>683</v>
      </c>
      <c r="J274" s="24" t="s">
        <v>685</v>
      </c>
    </row>
    <row r="275" spans="1:10">
      <c r="A275" s="15" t="s">
        <v>688</v>
      </c>
      <c r="B275" s="15" t="s">
        <v>688</v>
      </c>
      <c r="C275" s="12">
        <v>66</v>
      </c>
      <c r="D275" s="54">
        <f>'보험개발원 위험률'!D55+('보험개발원 위험률'!D56-'보험개발원 위험률'!D55)*(C275-'보험개발원 위험률'!C55)/('보험개발원 위험률'!C56-'보험개발원 위험률'!C55)</f>
        <v>1.34704E-2</v>
      </c>
      <c r="E275" s="54">
        <f>'보험개발원 위험률'!E55+('보험개발원 위험률'!E56-'보험개발원 위험률'!E55)*(C275-'보험개발원 위험률'!C55)/('보험개발원 위험률'!C56-'보험개발원 위험률'!C55)</f>
        <v>7.5389999999999997E-3</v>
      </c>
      <c r="F275" s="35" t="s">
        <v>699</v>
      </c>
      <c r="G275" s="35" t="s">
        <v>746</v>
      </c>
      <c r="H275" s="35" t="s">
        <v>689</v>
      </c>
      <c r="I275" s="35" t="s">
        <v>683</v>
      </c>
      <c r="J275" s="24" t="s">
        <v>685</v>
      </c>
    </row>
    <row r="276" spans="1:10">
      <c r="A276" s="15" t="s">
        <v>688</v>
      </c>
      <c r="B276" s="15" t="s">
        <v>688</v>
      </c>
      <c r="C276" s="12">
        <v>67</v>
      </c>
      <c r="D276" s="54">
        <f>'보험개발원 위험률'!D55+('보험개발원 위험률'!D56-'보험개발원 위험률'!D55)*(C276-'보험개발원 위험률'!C55)/('보험개발원 위험률'!C56-'보험개발원 위험률'!C55)</f>
        <v>1.43318E-2</v>
      </c>
      <c r="E276" s="54">
        <f>'보험개발원 위험률'!E55+('보험개발원 위험률'!E56-'보험개발원 위험률'!E55)*(C276-'보험개발원 위험률'!C55)/('보험개발원 위험률'!C56-'보험개발원 위험률'!C55)</f>
        <v>7.6915000000000004E-3</v>
      </c>
      <c r="F276" s="35" t="s">
        <v>699</v>
      </c>
      <c r="G276" s="35" t="s">
        <v>746</v>
      </c>
      <c r="H276" s="35" t="s">
        <v>689</v>
      </c>
      <c r="I276" s="35" t="s">
        <v>683</v>
      </c>
      <c r="J276" s="24" t="s">
        <v>685</v>
      </c>
    </row>
    <row r="277" spans="1:10">
      <c r="A277" s="15" t="s">
        <v>688</v>
      </c>
      <c r="B277" s="15" t="s">
        <v>688</v>
      </c>
      <c r="C277" s="12">
        <v>68</v>
      </c>
      <c r="D277" s="54">
        <f>'보험개발원 위험률'!D55+('보험개발원 위험률'!D56-'보험개발원 위험률'!D55)*(C277-'보험개발원 위험률'!C55)/('보험개발원 위험률'!C56-'보험개발원 위험률'!C55)</f>
        <v>1.51932E-2</v>
      </c>
      <c r="E277" s="54">
        <f>'보험개발원 위험률'!E55+('보험개발원 위험률'!E56-'보험개발원 위험률'!E55)*(C277-'보험개발원 위험률'!C55)/('보험개발원 위험률'!C56-'보험개발원 위험률'!C55)</f>
        <v>7.8440000000000003E-3</v>
      </c>
      <c r="F277" s="35" t="s">
        <v>699</v>
      </c>
      <c r="G277" s="35" t="s">
        <v>746</v>
      </c>
      <c r="H277" s="35" t="s">
        <v>689</v>
      </c>
      <c r="I277" s="35" t="s">
        <v>683</v>
      </c>
      <c r="J277" s="24" t="s">
        <v>685</v>
      </c>
    </row>
    <row r="278" spans="1:10">
      <c r="A278" s="15" t="s">
        <v>688</v>
      </c>
      <c r="B278" s="15" t="s">
        <v>688</v>
      </c>
      <c r="C278" s="12">
        <v>69</v>
      </c>
      <c r="D278" s="54">
        <f>'보험개발원 위험률'!D55+('보험개발원 위험률'!D56-'보험개발원 위험률'!D55)*(C278-'보험개발원 위험률'!C55)/('보험개발원 위험률'!C56-'보험개발원 위험률'!C55)</f>
        <v>1.6054600000000002E-2</v>
      </c>
      <c r="E278" s="54">
        <f>'보험개발원 위험률'!E55+('보험개발원 위험률'!E56-'보험개발원 위험률'!E55)*(C278-'보험개발원 위험률'!C55)/('보험개발원 위험률'!C56-'보험개발원 위험률'!C55)</f>
        <v>7.9965000000000001E-3</v>
      </c>
      <c r="F278" s="35" t="s">
        <v>699</v>
      </c>
      <c r="G278" s="35" t="s">
        <v>746</v>
      </c>
      <c r="H278" s="35" t="s">
        <v>689</v>
      </c>
      <c r="I278" s="35" t="s">
        <v>683</v>
      </c>
      <c r="J278" s="24" t="s">
        <v>685</v>
      </c>
    </row>
    <row r="279" spans="1:10">
      <c r="A279" s="15" t="s">
        <v>688</v>
      </c>
      <c r="B279" s="15" t="s">
        <v>688</v>
      </c>
      <c r="C279" s="12">
        <v>70</v>
      </c>
      <c r="D279" s="54">
        <f>'보험개발원 위험률'!D56</f>
        <v>1.6916E-2</v>
      </c>
      <c r="E279" s="54">
        <f>'보험개발원 위험률'!E56</f>
        <v>8.149E-3</v>
      </c>
      <c r="F279" s="35" t="s">
        <v>697</v>
      </c>
      <c r="G279" s="35" t="s">
        <v>727</v>
      </c>
      <c r="H279" s="35" t="s">
        <v>689</v>
      </c>
      <c r="I279" s="35" t="s">
        <v>683</v>
      </c>
      <c r="J279" s="24" t="s">
        <v>685</v>
      </c>
    </row>
    <row r="280" spans="1:10">
      <c r="A280" s="15" t="s">
        <v>688</v>
      </c>
      <c r="B280" s="15" t="s">
        <v>688</v>
      </c>
      <c r="C280" s="12">
        <v>71</v>
      </c>
      <c r="D280" s="54">
        <f>'보험개발원 위험률'!D56+('보험개발원 위험률'!D57-'보험개발원 위험률'!D56)*(C280-'보험개발원 위험률'!C56)/('보험개발원 위험률'!C57-'보험개발원 위험률'!C56)</f>
        <v>1.79893E-2</v>
      </c>
      <c r="E280" s="54">
        <f>'보험개발원 위험률'!E56+('보험개발원 위험률'!E57-'보험개발원 위험률'!E56)*(C280-'보험개발원 위험률'!C56)/('보험개발원 위험률'!C57-'보험개발원 위험률'!C56)</f>
        <v>8.4489999999999999E-3</v>
      </c>
      <c r="F280" s="35" t="s">
        <v>699</v>
      </c>
      <c r="G280" s="35" t="s">
        <v>747</v>
      </c>
      <c r="H280" s="35" t="s">
        <v>689</v>
      </c>
      <c r="I280" s="35" t="s">
        <v>683</v>
      </c>
      <c r="J280" s="24" t="s">
        <v>685</v>
      </c>
    </row>
    <row r="281" spans="1:10">
      <c r="A281" s="15" t="s">
        <v>688</v>
      </c>
      <c r="B281" s="15" t="s">
        <v>688</v>
      </c>
      <c r="C281" s="12">
        <v>72</v>
      </c>
      <c r="D281" s="54">
        <f>'보험개발원 위험률'!D56+('보험개발원 위험률'!D57-'보험개발원 위험률'!D56)*(C281-'보험개발원 위험률'!C56)/('보험개발원 위험률'!C57-'보험개발원 위험률'!C56)</f>
        <v>1.9062599999999999E-2</v>
      </c>
      <c r="E281" s="54">
        <f>'보험개발원 위험률'!E56+('보험개발원 위험률'!E57-'보험개발원 위험률'!E56)*(C281-'보험개발원 위험률'!C56)/('보험개발원 위험률'!C57-'보험개발원 위험률'!C56)</f>
        <v>8.7489999999999998E-3</v>
      </c>
      <c r="F281" s="35" t="s">
        <v>699</v>
      </c>
      <c r="G281" s="35" t="s">
        <v>747</v>
      </c>
      <c r="H281" s="35" t="s">
        <v>689</v>
      </c>
      <c r="I281" s="35" t="s">
        <v>683</v>
      </c>
      <c r="J281" s="24" t="s">
        <v>685</v>
      </c>
    </row>
    <row r="282" spans="1:10">
      <c r="A282" s="15" t="s">
        <v>688</v>
      </c>
      <c r="B282" s="15" t="s">
        <v>688</v>
      </c>
      <c r="C282" s="12">
        <v>73</v>
      </c>
      <c r="D282" s="54">
        <f>'보험개발원 위험률'!D56+('보험개발원 위험률'!D57-'보험개발원 위험률'!D56)*(C282-'보험개발원 위험률'!C56)/('보험개발원 위험률'!C57-'보험개발원 위험률'!C56)</f>
        <v>2.0135900000000002E-2</v>
      </c>
      <c r="E282" s="54">
        <f>'보험개발원 위험률'!E56+('보험개발원 위험률'!E57-'보험개발원 위험률'!E56)*(C282-'보험개발원 위험률'!C56)/('보험개발원 위험률'!C57-'보험개발원 위험률'!C56)</f>
        <v>9.0489999999999998E-3</v>
      </c>
      <c r="F282" s="35" t="s">
        <v>699</v>
      </c>
      <c r="G282" s="35" t="s">
        <v>747</v>
      </c>
      <c r="H282" s="35" t="s">
        <v>689</v>
      </c>
      <c r="I282" s="35" t="s">
        <v>683</v>
      </c>
      <c r="J282" s="24" t="s">
        <v>685</v>
      </c>
    </row>
    <row r="283" spans="1:10">
      <c r="A283" s="15" t="s">
        <v>688</v>
      </c>
      <c r="B283" s="15" t="s">
        <v>688</v>
      </c>
      <c r="C283" s="12">
        <v>74</v>
      </c>
      <c r="D283" s="54">
        <f>'보험개발원 위험률'!D56+('보험개발원 위험률'!D57-'보험개발원 위험률'!D56)*(C283-'보험개발원 위험률'!C56)/('보험개발원 위험률'!C57-'보험개발원 위험률'!C56)</f>
        <v>2.1209200000000001E-2</v>
      </c>
      <c r="E283" s="54">
        <f>'보험개발원 위험률'!E56+('보험개발원 위험률'!E57-'보험개발원 위험률'!E56)*(C283-'보험개발원 위험률'!C56)/('보험개발원 위험률'!C57-'보험개발원 위험률'!C56)</f>
        <v>9.3489999999999997E-3</v>
      </c>
      <c r="F283" s="35" t="s">
        <v>699</v>
      </c>
      <c r="G283" s="35" t="s">
        <v>747</v>
      </c>
      <c r="H283" s="35" t="s">
        <v>689</v>
      </c>
      <c r="I283" s="35" t="s">
        <v>683</v>
      </c>
      <c r="J283" s="24" t="s">
        <v>685</v>
      </c>
    </row>
    <row r="284" spans="1:10">
      <c r="A284" s="15" t="s">
        <v>688</v>
      </c>
      <c r="B284" s="15" t="s">
        <v>688</v>
      </c>
      <c r="C284" s="12">
        <v>75</v>
      </c>
      <c r="D284" s="54">
        <f>'보험개발원 위험률'!D56+('보험개발원 위험률'!D57-'보험개발원 위험률'!D56)*(C284-'보험개발원 위험률'!C56)/('보험개발원 위험률'!C57-'보험개발원 위험률'!C56)</f>
        <v>2.22825E-2</v>
      </c>
      <c r="E284" s="54">
        <f>'보험개발원 위험률'!E56+('보험개발원 위험률'!E57-'보험개발원 위험률'!E56)*(C284-'보험개발원 위험률'!C56)/('보험개발원 위험률'!C57-'보험개발원 위험률'!C56)</f>
        <v>9.6489999999999996E-3</v>
      </c>
      <c r="F284" s="35" t="s">
        <v>699</v>
      </c>
      <c r="G284" s="35" t="s">
        <v>747</v>
      </c>
      <c r="H284" s="35" t="s">
        <v>689</v>
      </c>
      <c r="I284" s="35" t="s">
        <v>683</v>
      </c>
      <c r="J284" s="24" t="s">
        <v>685</v>
      </c>
    </row>
    <row r="285" spans="1:10">
      <c r="A285" s="15" t="s">
        <v>688</v>
      </c>
      <c r="B285" s="15" t="s">
        <v>688</v>
      </c>
      <c r="C285" s="12">
        <v>76</v>
      </c>
      <c r="D285" s="54">
        <f>'보험개발원 위험률'!D56+('보험개발원 위험률'!D57-'보험개발원 위험률'!D56)*(C285-'보험개발원 위험률'!C56)/('보험개발원 위험률'!C57-'보험개발원 위험률'!C56)</f>
        <v>2.3355799999999999E-2</v>
      </c>
      <c r="E285" s="54">
        <f>'보험개발원 위험률'!E56+('보험개발원 위험률'!E57-'보험개발원 위험률'!E56)*(C285-'보험개발원 위험률'!C56)/('보험개발원 위험률'!C57-'보험개발원 위험률'!C56)</f>
        <v>9.9489999999999995E-3</v>
      </c>
      <c r="F285" s="35" t="s">
        <v>699</v>
      </c>
      <c r="G285" s="35" t="s">
        <v>747</v>
      </c>
      <c r="H285" s="35" t="s">
        <v>689</v>
      </c>
      <c r="I285" s="35" t="s">
        <v>683</v>
      </c>
      <c r="J285" s="24" t="s">
        <v>685</v>
      </c>
    </row>
    <row r="286" spans="1:10">
      <c r="A286" s="15" t="s">
        <v>688</v>
      </c>
      <c r="B286" s="15" t="s">
        <v>688</v>
      </c>
      <c r="C286" s="12">
        <v>77</v>
      </c>
      <c r="D286" s="54">
        <f>'보험개발원 위험률'!D56+('보험개발원 위험률'!D57-'보험개발원 위험률'!D56)*(C286-'보험개발원 위험률'!C56)/('보험개발원 위험률'!C57-'보험개발원 위험률'!C56)</f>
        <v>2.4429100000000002E-2</v>
      </c>
      <c r="E286" s="54">
        <f>'보험개발원 위험률'!E56+('보험개발원 위험률'!E57-'보험개발원 위험률'!E56)*(C286-'보험개발원 위험률'!C56)/('보험개발원 위험률'!C57-'보험개발원 위험률'!C56)</f>
        <v>1.0248999999999999E-2</v>
      </c>
      <c r="F286" s="35" t="s">
        <v>699</v>
      </c>
      <c r="G286" s="35" t="s">
        <v>747</v>
      </c>
      <c r="H286" s="35" t="s">
        <v>689</v>
      </c>
      <c r="I286" s="35" t="s">
        <v>683</v>
      </c>
      <c r="J286" s="24" t="s">
        <v>685</v>
      </c>
    </row>
    <row r="287" spans="1:10">
      <c r="A287" s="15" t="s">
        <v>688</v>
      </c>
      <c r="B287" s="15" t="s">
        <v>688</v>
      </c>
      <c r="C287" s="12">
        <v>78</v>
      </c>
      <c r="D287" s="54">
        <f>'보험개발원 위험률'!D56+('보험개발원 위험률'!D57-'보험개발원 위험률'!D56)*(C287-'보험개발원 위험률'!C56)/('보험개발원 위험률'!C57-'보험개발원 위험률'!C56)</f>
        <v>2.5502400000000001E-2</v>
      </c>
      <c r="E287" s="54">
        <f>'보험개발원 위험률'!E56+('보험개발원 위험률'!E57-'보험개발원 위험률'!E56)*(C287-'보험개발원 위험률'!C56)/('보험개발원 위험률'!C57-'보험개발원 위험률'!C56)</f>
        <v>1.0548999999999999E-2</v>
      </c>
      <c r="F287" s="35" t="s">
        <v>699</v>
      </c>
      <c r="G287" s="35" t="s">
        <v>747</v>
      </c>
      <c r="H287" s="35" t="s">
        <v>689</v>
      </c>
      <c r="I287" s="35" t="s">
        <v>683</v>
      </c>
      <c r="J287" s="24" t="s">
        <v>685</v>
      </c>
    </row>
    <row r="288" spans="1:10">
      <c r="A288" s="15" t="s">
        <v>688</v>
      </c>
      <c r="B288" s="15" t="s">
        <v>688</v>
      </c>
      <c r="C288" s="12">
        <v>79</v>
      </c>
      <c r="D288" s="54">
        <f>'보험개발원 위험률'!D56+('보험개발원 위험률'!D57-'보험개발원 위험률'!D56)*(C288-'보험개발원 위험률'!C56)/('보험개발원 위험률'!C57-'보험개발원 위험률'!C56)</f>
        <v>2.6575700000000001E-2</v>
      </c>
      <c r="E288" s="54">
        <f>'보험개발원 위험률'!E56+('보험개발원 위험률'!E57-'보험개발원 위험률'!E56)*(C288-'보험개발원 위험률'!C56)/('보험개발원 위험률'!C57-'보험개발원 위험률'!C56)</f>
        <v>1.0848999999999999E-2</v>
      </c>
      <c r="F288" s="35" t="s">
        <v>699</v>
      </c>
      <c r="G288" s="35" t="s">
        <v>747</v>
      </c>
      <c r="H288" s="35" t="s">
        <v>689</v>
      </c>
      <c r="I288" s="35" t="s">
        <v>683</v>
      </c>
      <c r="J288" s="24" t="s">
        <v>685</v>
      </c>
    </row>
    <row r="289" spans="1:10">
      <c r="A289" s="15" t="s">
        <v>688</v>
      </c>
      <c r="B289" s="15" t="s">
        <v>688</v>
      </c>
      <c r="C289" s="12">
        <v>80</v>
      </c>
      <c r="D289" s="54">
        <f>'보험개발원 위험률'!D57</f>
        <v>2.7649E-2</v>
      </c>
      <c r="E289" s="54">
        <f>'보험개발원 위험률'!E57</f>
        <v>1.1148999999999999E-2</v>
      </c>
      <c r="F289" s="35" t="s">
        <v>697</v>
      </c>
      <c r="G289" s="35" t="s">
        <v>731</v>
      </c>
      <c r="H289" s="35" t="s">
        <v>689</v>
      </c>
      <c r="I289" s="35" t="s">
        <v>683</v>
      </c>
      <c r="J289" s="24" t="s">
        <v>685</v>
      </c>
    </row>
    <row r="290" spans="1:10">
      <c r="A290" s="15" t="s">
        <v>690</v>
      </c>
      <c r="B290" s="15" t="s">
        <v>690</v>
      </c>
      <c r="C290" s="12">
        <v>0</v>
      </c>
      <c r="D290" s="54">
        <f>'보험개발원 위험률'!D58</f>
        <v>2.8899999999999998E-4</v>
      </c>
      <c r="E290" s="54">
        <f>'보험개발원 위험률'!E58</f>
        <v>2.0000000000000001E-4</v>
      </c>
      <c r="F290" s="35" t="s">
        <v>697</v>
      </c>
      <c r="G290" s="35" t="s">
        <v>698</v>
      </c>
      <c r="H290" s="35" t="s">
        <v>689</v>
      </c>
      <c r="I290" s="35" t="s">
        <v>683</v>
      </c>
      <c r="J290" s="24" t="s">
        <v>685</v>
      </c>
    </row>
    <row r="291" spans="1:10">
      <c r="A291" s="15" t="s">
        <v>690</v>
      </c>
      <c r="B291" s="15" t="s">
        <v>690</v>
      </c>
      <c r="C291" s="12">
        <v>1</v>
      </c>
      <c r="D291" s="54">
        <f>'보험개발원 위험률'!D58+('보험개발원 위험률'!D59-'보험개발원 위험률'!D58)*(C291-'보험개발원 위험률'!C58)/('보험개발원 위험률'!C59-'보험개발원 위험률'!C58)</f>
        <v>2.6289999999999999E-4</v>
      </c>
      <c r="E291" s="54">
        <f>'보험개발원 위험률'!E58+('보험개발원 위험률'!E59-'보험개발원 위험률'!E58)*(C291-'보험개발원 위험률'!C58)/('보험개발원 위험률'!C59-'보험개발원 위험률'!C58)</f>
        <v>1.8240000000000002E-4</v>
      </c>
      <c r="F291" s="35" t="s">
        <v>699</v>
      </c>
      <c r="G291" s="35" t="s">
        <v>740</v>
      </c>
      <c r="H291" s="35" t="s">
        <v>689</v>
      </c>
      <c r="I291" s="35" t="s">
        <v>683</v>
      </c>
      <c r="J291" s="24" t="s">
        <v>685</v>
      </c>
    </row>
    <row r="292" spans="1:10">
      <c r="A292" s="15" t="s">
        <v>690</v>
      </c>
      <c r="B292" s="15" t="s">
        <v>690</v>
      </c>
      <c r="C292" s="12">
        <v>2</v>
      </c>
      <c r="D292" s="54">
        <f>'보험개발원 위험률'!D58+('보험개발원 위험률'!D59-'보험개발원 위험률'!D58)*(C292-'보험개발원 위험률'!C58)/('보험개발원 위험률'!C59-'보험개발원 위험률'!C58)</f>
        <v>2.3679999999999998E-4</v>
      </c>
      <c r="E292" s="54">
        <f>'보험개발원 위험률'!E58+('보험개발원 위험률'!E59-'보험개발원 위험률'!E58)*(C292-'보험개발원 위험률'!C58)/('보험개발원 위험률'!C59-'보험개발원 위험률'!C58)</f>
        <v>1.6479999999999999E-4</v>
      </c>
      <c r="F292" s="35" t="s">
        <v>699</v>
      </c>
      <c r="G292" s="35" t="s">
        <v>740</v>
      </c>
      <c r="H292" s="35" t="s">
        <v>689</v>
      </c>
      <c r="I292" s="35" t="s">
        <v>683</v>
      </c>
      <c r="J292" s="24" t="s">
        <v>685</v>
      </c>
    </row>
    <row r="293" spans="1:10">
      <c r="A293" s="15" t="s">
        <v>690</v>
      </c>
      <c r="B293" s="15" t="s">
        <v>690</v>
      </c>
      <c r="C293" s="12">
        <v>3</v>
      </c>
      <c r="D293" s="54">
        <f>'보험개발원 위험률'!D58+('보험개발원 위험률'!D59-'보험개발원 위험률'!D58)*(C293-'보험개발원 위험률'!C58)/('보험개발원 위험률'!C59-'보험개발원 위험률'!C58)</f>
        <v>2.1069999999999997E-4</v>
      </c>
      <c r="E293" s="54">
        <f>'보험개발원 위험률'!E58+('보험개발원 위험률'!E59-'보험개발원 위험률'!E58)*(C293-'보험개발원 위험률'!C58)/('보험개발원 위험률'!C59-'보험개발원 위험률'!C58)</f>
        <v>1.472E-4</v>
      </c>
      <c r="F293" s="35" t="s">
        <v>699</v>
      </c>
      <c r="G293" s="35" t="s">
        <v>740</v>
      </c>
      <c r="H293" s="35" t="s">
        <v>689</v>
      </c>
      <c r="I293" s="35" t="s">
        <v>683</v>
      </c>
      <c r="J293" s="24" t="s">
        <v>685</v>
      </c>
    </row>
    <row r="294" spans="1:10">
      <c r="A294" s="15" t="s">
        <v>690</v>
      </c>
      <c r="B294" s="15" t="s">
        <v>690</v>
      </c>
      <c r="C294" s="12">
        <v>4</v>
      </c>
      <c r="D294" s="54">
        <f>'보험개발원 위험률'!D58+('보험개발원 위험률'!D59-'보험개발원 위험률'!D58)*(C294-'보험개발원 위험률'!C58)/('보험개발원 위험률'!C59-'보험개발원 위험률'!C58)</f>
        <v>1.8459999999999999E-4</v>
      </c>
      <c r="E294" s="54">
        <f>'보험개발원 위험률'!E58+('보험개발원 위험률'!E59-'보험개발원 위험률'!E58)*(C294-'보험개발원 위험률'!C58)/('보험개발원 위험률'!C59-'보험개발원 위험률'!C58)</f>
        <v>1.2960000000000001E-4</v>
      </c>
      <c r="F294" s="35" t="s">
        <v>699</v>
      </c>
      <c r="G294" s="35" t="s">
        <v>740</v>
      </c>
      <c r="H294" s="35" t="s">
        <v>689</v>
      </c>
      <c r="I294" s="35" t="s">
        <v>683</v>
      </c>
      <c r="J294" s="24" t="s">
        <v>685</v>
      </c>
    </row>
    <row r="295" spans="1:10">
      <c r="A295" s="15" t="s">
        <v>690</v>
      </c>
      <c r="B295" s="15" t="s">
        <v>690</v>
      </c>
      <c r="C295" s="12">
        <v>5</v>
      </c>
      <c r="D295" s="54">
        <f>'보험개발원 위험률'!D58+('보험개발원 위험률'!D59-'보험개발원 위험률'!D58)*(C295-'보험개발원 위험률'!C58)/('보험개발원 위험률'!C59-'보험개발원 위험률'!C58)</f>
        <v>1.5849999999999998E-4</v>
      </c>
      <c r="E295" s="54">
        <f>'보험개발원 위험률'!E58+('보험개발원 위험률'!E59-'보험개발원 위험률'!E58)*(C295-'보험개발원 위험률'!C58)/('보험개발원 위험률'!C59-'보험개발원 위험률'!C58)</f>
        <v>1.1200000000000001E-4</v>
      </c>
      <c r="F295" s="35" t="s">
        <v>699</v>
      </c>
      <c r="G295" s="35" t="s">
        <v>740</v>
      </c>
      <c r="H295" s="35" t="s">
        <v>689</v>
      </c>
      <c r="I295" s="35" t="s">
        <v>683</v>
      </c>
      <c r="J295" s="24" t="s">
        <v>685</v>
      </c>
    </row>
    <row r="296" spans="1:10">
      <c r="A296" s="15" t="s">
        <v>690</v>
      </c>
      <c r="B296" s="15" t="s">
        <v>690</v>
      </c>
      <c r="C296" s="12">
        <v>6</v>
      </c>
      <c r="D296" s="54">
        <f>'보험개발원 위험률'!D58+('보험개발원 위험률'!D59-'보험개발원 위험률'!D58)*(C296-'보험개발원 위험률'!C58)/('보험개발원 위험률'!C59-'보험개발원 위험률'!C58)</f>
        <v>1.3239999999999997E-4</v>
      </c>
      <c r="E296" s="54">
        <f>'보험개발원 위험률'!E58+('보험개발원 위험률'!E59-'보험개발원 위험률'!E58)*(C296-'보험개발원 위험률'!C58)/('보험개발원 위험률'!C59-'보험개발원 위험률'!C58)</f>
        <v>9.4400000000000004E-5</v>
      </c>
      <c r="F296" s="35" t="s">
        <v>699</v>
      </c>
      <c r="G296" s="35" t="s">
        <v>740</v>
      </c>
      <c r="H296" s="35" t="s">
        <v>689</v>
      </c>
      <c r="I296" s="35" t="s">
        <v>683</v>
      </c>
      <c r="J296" s="24" t="s">
        <v>685</v>
      </c>
    </row>
    <row r="297" spans="1:10">
      <c r="A297" s="15" t="s">
        <v>690</v>
      </c>
      <c r="B297" s="15" t="s">
        <v>690</v>
      </c>
      <c r="C297" s="12">
        <v>7</v>
      </c>
      <c r="D297" s="54">
        <f>'보험개발원 위험률'!D58+('보험개발원 위험률'!D59-'보험개발원 위험률'!D58)*(C297-'보험개발원 위험률'!C58)/('보험개발원 위험률'!C59-'보험개발원 위험률'!C58)</f>
        <v>1.0629999999999998E-4</v>
      </c>
      <c r="E297" s="54">
        <f>'보험개발원 위험률'!E58+('보험개발원 위험률'!E59-'보험개발원 위험률'!E58)*(C297-'보험개발원 위험률'!C58)/('보험개발원 위험률'!C59-'보험개발원 위험률'!C58)</f>
        <v>7.6799999999999997E-5</v>
      </c>
      <c r="F297" s="35" t="s">
        <v>699</v>
      </c>
      <c r="G297" s="35" t="s">
        <v>740</v>
      </c>
      <c r="H297" s="35" t="s">
        <v>689</v>
      </c>
      <c r="I297" s="35" t="s">
        <v>683</v>
      </c>
      <c r="J297" s="24" t="s">
        <v>685</v>
      </c>
    </row>
    <row r="298" spans="1:10">
      <c r="A298" s="15" t="s">
        <v>690</v>
      </c>
      <c r="B298" s="15" t="s">
        <v>690</v>
      </c>
      <c r="C298" s="12">
        <v>8</v>
      </c>
      <c r="D298" s="54">
        <f>'보험개발원 위험률'!D58+('보험개발원 위험률'!D59-'보험개발원 위험률'!D58)*(C298-'보험개발원 위험률'!C58)/('보험개발원 위험률'!C59-'보험개발원 위험률'!C58)</f>
        <v>8.0199999999999971E-5</v>
      </c>
      <c r="E298" s="54">
        <f>'보험개발원 위험률'!E58+('보험개발원 위험률'!E59-'보험개발원 위험률'!E58)*(C298-'보험개발원 위험률'!C58)/('보험개발원 위험률'!C59-'보험개발원 위험률'!C58)</f>
        <v>5.9200000000000002E-5</v>
      </c>
      <c r="F298" s="35" t="s">
        <v>699</v>
      </c>
      <c r="G298" s="35" t="s">
        <v>740</v>
      </c>
      <c r="H298" s="35" t="s">
        <v>689</v>
      </c>
      <c r="I298" s="35" t="s">
        <v>683</v>
      </c>
      <c r="J298" s="24" t="s">
        <v>685</v>
      </c>
    </row>
    <row r="299" spans="1:10">
      <c r="A299" s="15" t="s">
        <v>690</v>
      </c>
      <c r="B299" s="15" t="s">
        <v>690</v>
      </c>
      <c r="C299" s="12">
        <v>9</v>
      </c>
      <c r="D299" s="54">
        <f>'보험개발원 위험률'!D58+('보험개발원 위험률'!D59-'보험개발원 위험률'!D58)*(C299-'보험개발원 위험률'!C58)/('보험개발원 위험률'!C59-'보험개발원 위험률'!C58)</f>
        <v>5.4099999999999987E-5</v>
      </c>
      <c r="E299" s="54">
        <f>'보험개발원 위험률'!E58+('보험개발원 위험률'!E59-'보험개발원 위험률'!E58)*(C299-'보험개발원 위험률'!C58)/('보험개발원 위험률'!C59-'보험개발원 위험률'!C58)</f>
        <v>4.1600000000000008E-5</v>
      </c>
      <c r="F299" s="35" t="s">
        <v>699</v>
      </c>
      <c r="G299" s="35" t="s">
        <v>740</v>
      </c>
      <c r="H299" s="35" t="s">
        <v>689</v>
      </c>
      <c r="I299" s="35" t="s">
        <v>683</v>
      </c>
      <c r="J299" s="24" t="s">
        <v>685</v>
      </c>
    </row>
    <row r="300" spans="1:10">
      <c r="A300" s="15" t="s">
        <v>690</v>
      </c>
      <c r="B300" s="15" t="s">
        <v>690</v>
      </c>
      <c r="C300" s="12">
        <v>10</v>
      </c>
      <c r="D300" s="54">
        <f>'보험개발원 위험률'!D59</f>
        <v>2.8E-5</v>
      </c>
      <c r="E300" s="54">
        <f>'보험개발원 위험률'!E59</f>
        <v>2.4000000000000001E-5</v>
      </c>
      <c r="F300" s="35" t="s">
        <v>697</v>
      </c>
      <c r="G300" s="35" t="s">
        <v>703</v>
      </c>
      <c r="H300" s="35" t="s">
        <v>689</v>
      </c>
      <c r="I300" s="35" t="s">
        <v>683</v>
      </c>
      <c r="J300" s="24" t="s">
        <v>685</v>
      </c>
    </row>
    <row r="301" spans="1:10">
      <c r="A301" s="15" t="s">
        <v>690</v>
      </c>
      <c r="B301" s="15" t="s">
        <v>690</v>
      </c>
      <c r="C301" s="12">
        <v>11</v>
      </c>
      <c r="D301" s="54">
        <f>'보험개발원 위험률'!D59+('보험개발원 위험률'!D60-'보험개발원 위험률'!D59)*(C301-'보험개발원 위험률'!C59)/('보험개발원 위험률'!C60-'보험개발원 위험률'!C59)</f>
        <v>3.26E-5</v>
      </c>
      <c r="E301" s="54">
        <f>'보험개발원 위험률'!E59+('보험개발원 위험률'!E60-'보험개발원 위험률'!E59)*(C301-'보험개발원 위험률'!C59)/('보험개발원 위험률'!C60-'보험개발원 위험률'!C59)</f>
        <v>2.87E-5</v>
      </c>
      <c r="F301" s="35" t="s">
        <v>699</v>
      </c>
      <c r="G301" s="35" t="s">
        <v>741</v>
      </c>
      <c r="H301" s="35" t="s">
        <v>689</v>
      </c>
      <c r="I301" s="35" t="s">
        <v>683</v>
      </c>
      <c r="J301" s="24" t="s">
        <v>685</v>
      </c>
    </row>
    <row r="302" spans="1:10">
      <c r="A302" s="15" t="s">
        <v>690</v>
      </c>
      <c r="B302" s="15" t="s">
        <v>690</v>
      </c>
      <c r="C302" s="12">
        <v>12</v>
      </c>
      <c r="D302" s="54">
        <f>'보험개발원 위험률'!D59+('보험개발원 위험률'!D60-'보험개발원 위험률'!D59)*(C302-'보험개발원 위험률'!C59)/('보험개발원 위험률'!C60-'보험개발원 위험률'!C59)</f>
        <v>3.7199999999999996E-5</v>
      </c>
      <c r="E302" s="54">
        <f>'보험개발원 위험률'!E59+('보험개발원 위험률'!E60-'보험개발원 위험률'!E59)*(C302-'보험개발원 위험률'!C59)/('보험개발원 위험률'!C60-'보험개발원 위험률'!C59)</f>
        <v>3.3399999999999999E-5</v>
      </c>
      <c r="F302" s="35" t="s">
        <v>699</v>
      </c>
      <c r="G302" s="35" t="s">
        <v>741</v>
      </c>
      <c r="H302" s="35" t="s">
        <v>689</v>
      </c>
      <c r="I302" s="35" t="s">
        <v>683</v>
      </c>
      <c r="J302" s="24" t="s">
        <v>685</v>
      </c>
    </row>
    <row r="303" spans="1:10">
      <c r="A303" s="15" t="s">
        <v>690</v>
      </c>
      <c r="B303" s="15" t="s">
        <v>690</v>
      </c>
      <c r="C303" s="12">
        <v>13</v>
      </c>
      <c r="D303" s="54">
        <f>'보험개발원 위험률'!D59+('보험개발원 위험률'!D60-'보험개발원 위험률'!D59)*(C303-'보험개발원 위험률'!C59)/('보험개발원 위험률'!C60-'보험개발원 위험률'!C59)</f>
        <v>4.18E-5</v>
      </c>
      <c r="E303" s="54">
        <f>'보험개발원 위험률'!E59+('보험개발원 위험률'!E60-'보험개발원 위험률'!E59)*(C303-'보험개발원 위험률'!C59)/('보험개발원 위험률'!C60-'보험개발원 위험률'!C59)</f>
        <v>3.8100000000000005E-5</v>
      </c>
      <c r="F303" s="35" t="s">
        <v>699</v>
      </c>
      <c r="G303" s="35" t="s">
        <v>741</v>
      </c>
      <c r="H303" s="35" t="s">
        <v>689</v>
      </c>
      <c r="I303" s="35" t="s">
        <v>683</v>
      </c>
      <c r="J303" s="24" t="s">
        <v>685</v>
      </c>
    </row>
    <row r="304" spans="1:10">
      <c r="A304" s="15" t="s">
        <v>690</v>
      </c>
      <c r="B304" s="15" t="s">
        <v>690</v>
      </c>
      <c r="C304" s="12">
        <v>14</v>
      </c>
      <c r="D304" s="54">
        <f>'보험개발원 위험률'!D59+('보험개발원 위험률'!D60-'보험개발원 위험률'!D59)*(C304-'보험개발원 위험률'!C59)/('보험개발원 위험률'!C60-'보험개발원 위험률'!C59)</f>
        <v>4.6399999999999996E-5</v>
      </c>
      <c r="E304" s="54">
        <f>'보험개발원 위험률'!E59+('보험개발원 위험률'!E60-'보험개발원 위험률'!E59)*(C304-'보험개발원 위험률'!C59)/('보험개발원 위험률'!C60-'보험개발원 위험률'!C59)</f>
        <v>4.2800000000000004E-5</v>
      </c>
      <c r="F304" s="35" t="s">
        <v>699</v>
      </c>
      <c r="G304" s="35" t="s">
        <v>741</v>
      </c>
      <c r="H304" s="35" t="s">
        <v>689</v>
      </c>
      <c r="I304" s="35" t="s">
        <v>683</v>
      </c>
      <c r="J304" s="24" t="s">
        <v>685</v>
      </c>
    </row>
    <row r="305" spans="1:10">
      <c r="A305" s="15" t="s">
        <v>690</v>
      </c>
      <c r="B305" s="15" t="s">
        <v>690</v>
      </c>
      <c r="C305" s="12">
        <v>15</v>
      </c>
      <c r="D305" s="54">
        <f>'보험개발원 위험률'!D59+('보험개발원 위험률'!D60-'보험개발원 위험률'!D59)*(C305-'보험개발원 위험률'!C59)/('보험개발원 위험률'!C60-'보험개발원 위험률'!C59)</f>
        <v>5.0999999999999993E-5</v>
      </c>
      <c r="E305" s="54">
        <f>'보험개발원 위험률'!E59+('보험개발원 위험률'!E60-'보험개발원 위험률'!E59)*(C305-'보험개발원 위험률'!C59)/('보험개발원 위험률'!C60-'보험개발원 위험률'!C59)</f>
        <v>4.7500000000000003E-5</v>
      </c>
      <c r="F305" s="35" t="s">
        <v>699</v>
      </c>
      <c r="G305" s="35" t="s">
        <v>741</v>
      </c>
      <c r="H305" s="35" t="s">
        <v>689</v>
      </c>
      <c r="I305" s="35" t="s">
        <v>683</v>
      </c>
      <c r="J305" s="24" t="s">
        <v>685</v>
      </c>
    </row>
    <row r="306" spans="1:10">
      <c r="A306" s="15" t="s">
        <v>690</v>
      </c>
      <c r="B306" s="15" t="s">
        <v>690</v>
      </c>
      <c r="C306" s="12">
        <v>16</v>
      </c>
      <c r="D306" s="54">
        <f>'보험개발원 위험률'!D59+('보험개발원 위험률'!D60-'보험개발원 위험률'!D59)*(C306-'보험개발원 위험률'!C59)/('보험개발원 위험률'!C60-'보험개발원 위험률'!C59)</f>
        <v>5.5599999999999996E-5</v>
      </c>
      <c r="E306" s="54">
        <f>'보험개발원 위험률'!E59+('보험개발원 위험률'!E60-'보험개발원 위험률'!E59)*(C306-'보험개발원 위험률'!C59)/('보험개발원 위험률'!C60-'보험개발원 위험률'!C59)</f>
        <v>5.2200000000000002E-5</v>
      </c>
      <c r="F306" s="35" t="s">
        <v>699</v>
      </c>
      <c r="G306" s="35" t="s">
        <v>741</v>
      </c>
      <c r="H306" s="35" t="s">
        <v>689</v>
      </c>
      <c r="I306" s="35" t="s">
        <v>683</v>
      </c>
      <c r="J306" s="24" t="s">
        <v>685</v>
      </c>
    </row>
    <row r="307" spans="1:10">
      <c r="A307" s="15" t="s">
        <v>690</v>
      </c>
      <c r="B307" s="15" t="s">
        <v>690</v>
      </c>
      <c r="C307" s="12">
        <v>17</v>
      </c>
      <c r="D307" s="54">
        <f>'보험개발원 위험률'!D59+('보험개발원 위험률'!D60-'보험개발원 위험률'!D59)*(C307-'보험개발원 위험률'!C59)/('보험개발원 위험률'!C60-'보험개발원 위험률'!C59)</f>
        <v>6.02E-5</v>
      </c>
      <c r="E307" s="54">
        <f>'보험개발원 위험률'!E59+('보험개발원 위험률'!E60-'보험개발원 위험률'!E59)*(C307-'보험개발원 위험률'!C59)/('보험개발원 위험률'!C60-'보험개발원 위험률'!C59)</f>
        <v>5.6900000000000001E-5</v>
      </c>
      <c r="F307" s="35" t="s">
        <v>699</v>
      </c>
      <c r="G307" s="35" t="s">
        <v>741</v>
      </c>
      <c r="H307" s="35" t="s">
        <v>689</v>
      </c>
      <c r="I307" s="35" t="s">
        <v>683</v>
      </c>
      <c r="J307" s="24" t="s">
        <v>685</v>
      </c>
    </row>
    <row r="308" spans="1:10">
      <c r="A308" s="15" t="s">
        <v>690</v>
      </c>
      <c r="B308" s="15" t="s">
        <v>690</v>
      </c>
      <c r="C308" s="12">
        <v>18</v>
      </c>
      <c r="D308" s="54">
        <f>'보험개발원 위험률'!D59+('보험개발원 위험률'!D60-'보험개발원 위험률'!D59)*(C308-'보험개발원 위험률'!C59)/('보험개발원 위험률'!C60-'보험개발원 위험률'!C59)</f>
        <v>6.4799999999999989E-5</v>
      </c>
      <c r="E308" s="54">
        <f>'보험개발원 위험률'!E59+('보험개발원 위험률'!E60-'보험개발원 위험률'!E59)*(C308-'보험개발원 위험률'!C59)/('보험개발원 위험률'!C60-'보험개발원 위험률'!C59)</f>
        <v>6.1600000000000007E-5</v>
      </c>
      <c r="F308" s="35" t="s">
        <v>699</v>
      </c>
      <c r="G308" s="35" t="s">
        <v>741</v>
      </c>
      <c r="H308" s="35" t="s">
        <v>689</v>
      </c>
      <c r="I308" s="35" t="s">
        <v>683</v>
      </c>
      <c r="J308" s="24" t="s">
        <v>685</v>
      </c>
    </row>
    <row r="309" spans="1:10">
      <c r="A309" s="15" t="s">
        <v>690</v>
      </c>
      <c r="B309" s="15" t="s">
        <v>690</v>
      </c>
      <c r="C309" s="12">
        <v>19</v>
      </c>
      <c r="D309" s="54">
        <f>'보험개발원 위험률'!D59+('보험개발원 위험률'!D60-'보험개발원 위험률'!D59)*(C309-'보험개발원 위험률'!C59)/('보험개발원 위험률'!C60-'보험개발원 위험률'!C59)</f>
        <v>6.9399999999999993E-5</v>
      </c>
      <c r="E309" s="54">
        <f>'보험개발원 위험률'!E59+('보험개발원 위험률'!E60-'보험개발원 위험률'!E59)*(C309-'보험개발원 위험률'!C59)/('보험개발원 위험률'!C60-'보험개발원 위험률'!C59)</f>
        <v>6.6300000000000012E-5</v>
      </c>
      <c r="F309" s="35" t="s">
        <v>699</v>
      </c>
      <c r="G309" s="35" t="s">
        <v>741</v>
      </c>
      <c r="H309" s="35" t="s">
        <v>689</v>
      </c>
      <c r="I309" s="35" t="s">
        <v>683</v>
      </c>
      <c r="J309" s="24" t="s">
        <v>685</v>
      </c>
    </row>
    <row r="310" spans="1:10">
      <c r="A310" s="15" t="s">
        <v>690</v>
      </c>
      <c r="B310" s="15" t="s">
        <v>690</v>
      </c>
      <c r="C310" s="12">
        <v>20</v>
      </c>
      <c r="D310" s="54">
        <f>'보험개발원 위험률'!D60</f>
        <v>7.3999999999999996E-5</v>
      </c>
      <c r="E310" s="54">
        <f>'보험개발원 위험률'!E60</f>
        <v>7.1000000000000005E-5</v>
      </c>
      <c r="F310" s="35" t="s">
        <v>697</v>
      </c>
      <c r="G310" s="35" t="s">
        <v>707</v>
      </c>
      <c r="H310" s="35" t="s">
        <v>689</v>
      </c>
      <c r="I310" s="35" t="s">
        <v>683</v>
      </c>
      <c r="J310" s="24" t="s">
        <v>685</v>
      </c>
    </row>
    <row r="311" spans="1:10">
      <c r="A311" s="15" t="s">
        <v>690</v>
      </c>
      <c r="B311" s="15" t="s">
        <v>690</v>
      </c>
      <c r="C311" s="12">
        <v>21</v>
      </c>
      <c r="D311" s="54">
        <f>'보험개발원 위험률'!D60+('보험개발원 위험률'!D61-'보험개발원 위험률'!D60)*(C311-'보험개발원 위험률'!C60)/('보험개발원 위험률'!C61-'보험개발원 위험률'!C60)</f>
        <v>8.8499999999999996E-5</v>
      </c>
      <c r="E311" s="54">
        <f>'보험개발원 위험률'!E60+('보험개발원 위험률'!E61-'보험개발원 위험률'!E60)*(C311-'보험개발원 위험률'!C60)/('보험개발원 위험률'!C61-'보험개발원 위험률'!C60)</f>
        <v>8.2600000000000002E-5</v>
      </c>
      <c r="F311" s="35" t="s">
        <v>699</v>
      </c>
      <c r="G311" s="35" t="s">
        <v>742</v>
      </c>
      <c r="H311" s="35" t="s">
        <v>689</v>
      </c>
      <c r="I311" s="35" t="s">
        <v>683</v>
      </c>
      <c r="J311" s="24" t="s">
        <v>685</v>
      </c>
    </row>
    <row r="312" spans="1:10">
      <c r="A312" s="15" t="s">
        <v>690</v>
      </c>
      <c r="B312" s="15" t="s">
        <v>690</v>
      </c>
      <c r="C312" s="12">
        <v>22</v>
      </c>
      <c r="D312" s="54">
        <f>'보험개발원 위험률'!D60+('보험개발원 위험률'!D61-'보험개발원 위험률'!D60)*(C312-'보험개발원 위험률'!C60)/('보험개발원 위험률'!C61-'보험개발원 위험률'!C60)</f>
        <v>1.03E-4</v>
      </c>
      <c r="E312" s="54">
        <f>'보험개발원 위험률'!E60+('보험개발원 위험률'!E61-'보험개발원 위험률'!E60)*(C312-'보험개발원 위험률'!C60)/('보험개발원 위험률'!C61-'보험개발원 위험률'!C60)</f>
        <v>9.4199999999999999E-5</v>
      </c>
      <c r="F312" s="35" t="s">
        <v>699</v>
      </c>
      <c r="G312" s="35" t="s">
        <v>742</v>
      </c>
      <c r="H312" s="35" t="s">
        <v>689</v>
      </c>
      <c r="I312" s="35" t="s">
        <v>683</v>
      </c>
      <c r="J312" s="24" t="s">
        <v>685</v>
      </c>
    </row>
    <row r="313" spans="1:10">
      <c r="A313" s="15" t="s">
        <v>690</v>
      </c>
      <c r="B313" s="15" t="s">
        <v>690</v>
      </c>
      <c r="C313" s="12">
        <v>23</v>
      </c>
      <c r="D313" s="54">
        <f>'보험개발원 위험률'!D60+('보험개발원 위험률'!D61-'보험개발원 위험률'!D60)*(C313-'보험개발원 위험률'!C60)/('보험개발원 위험률'!C61-'보험개발원 위험률'!C60)</f>
        <v>1.175E-4</v>
      </c>
      <c r="E313" s="54">
        <f>'보험개발원 위험률'!E60+('보험개발원 위험률'!E61-'보험개발원 위험률'!E60)*(C313-'보험개발원 위험률'!C60)/('보험개발원 위험률'!C61-'보험개발원 위험률'!C60)</f>
        <v>1.058E-4</v>
      </c>
      <c r="F313" s="35" t="s">
        <v>699</v>
      </c>
      <c r="G313" s="35" t="s">
        <v>742</v>
      </c>
      <c r="H313" s="35" t="s">
        <v>689</v>
      </c>
      <c r="I313" s="35" t="s">
        <v>683</v>
      </c>
      <c r="J313" s="24" t="s">
        <v>685</v>
      </c>
    </row>
    <row r="314" spans="1:10">
      <c r="A314" s="15" t="s">
        <v>690</v>
      </c>
      <c r="B314" s="15" t="s">
        <v>690</v>
      </c>
      <c r="C314" s="12">
        <v>24</v>
      </c>
      <c r="D314" s="54">
        <f>'보험개발원 위험률'!D60+('보험개발원 위험률'!D61-'보험개발원 위험률'!D60)*(C314-'보험개발원 위험률'!C60)/('보험개발원 위험률'!C61-'보험개발원 위험률'!C60)</f>
        <v>1.3200000000000001E-4</v>
      </c>
      <c r="E314" s="54">
        <f>'보험개발원 위험률'!E60+('보험개발원 위험률'!E61-'보험개발원 위험률'!E60)*(C314-'보험개발원 위험률'!C60)/('보험개발원 위험률'!C61-'보험개발원 위험률'!C60)</f>
        <v>1.1740000000000001E-4</v>
      </c>
      <c r="F314" s="35" t="s">
        <v>699</v>
      </c>
      <c r="G314" s="35" t="s">
        <v>742</v>
      </c>
      <c r="H314" s="35" t="s">
        <v>689</v>
      </c>
      <c r="I314" s="35" t="s">
        <v>683</v>
      </c>
      <c r="J314" s="24" t="s">
        <v>685</v>
      </c>
    </row>
    <row r="315" spans="1:10">
      <c r="A315" s="15" t="s">
        <v>690</v>
      </c>
      <c r="B315" s="15" t="s">
        <v>690</v>
      </c>
      <c r="C315" s="12">
        <v>25</v>
      </c>
      <c r="D315" s="54">
        <f>'보험개발원 위험률'!D60+('보험개발원 위험률'!D61-'보험개발원 위험률'!D60)*(C315-'보험개발원 위험률'!C60)/('보험개발원 위험률'!C61-'보험개발원 위험률'!C60)</f>
        <v>1.4649999999999998E-4</v>
      </c>
      <c r="E315" s="54">
        <f>'보험개발원 위험률'!E60+('보험개발원 위험률'!E61-'보험개발원 위험률'!E60)*(C315-'보험개발원 위험률'!C60)/('보험개발원 위험률'!C61-'보험개발원 위험률'!C60)</f>
        <v>1.2899999999999999E-4</v>
      </c>
      <c r="F315" s="35" t="s">
        <v>699</v>
      </c>
      <c r="G315" s="35" t="s">
        <v>742</v>
      </c>
      <c r="H315" s="35" t="s">
        <v>689</v>
      </c>
      <c r="I315" s="35" t="s">
        <v>683</v>
      </c>
      <c r="J315" s="24" t="s">
        <v>685</v>
      </c>
    </row>
    <row r="316" spans="1:10">
      <c r="A316" s="15" t="s">
        <v>690</v>
      </c>
      <c r="B316" s="15" t="s">
        <v>690</v>
      </c>
      <c r="C316" s="12">
        <v>26</v>
      </c>
      <c r="D316" s="54">
        <f>'보험개발원 위험률'!D60+('보험개발원 위험률'!D61-'보험개발원 위험률'!D60)*(C316-'보험개발원 위험률'!C60)/('보험개발원 위험률'!C61-'보험개발원 위험률'!C60)</f>
        <v>1.6100000000000001E-4</v>
      </c>
      <c r="E316" s="54">
        <f>'보험개발원 위험률'!E60+('보험개발원 위험률'!E61-'보험개발원 위험률'!E60)*(C316-'보험개발원 위험률'!C60)/('보험개발원 위험률'!C61-'보험개발원 위험률'!C60)</f>
        <v>1.406E-4</v>
      </c>
      <c r="F316" s="35" t="s">
        <v>699</v>
      </c>
      <c r="G316" s="35" t="s">
        <v>742</v>
      </c>
      <c r="H316" s="35" t="s">
        <v>689</v>
      </c>
      <c r="I316" s="35" t="s">
        <v>683</v>
      </c>
      <c r="J316" s="24" t="s">
        <v>685</v>
      </c>
    </row>
    <row r="317" spans="1:10">
      <c r="A317" s="15" t="s">
        <v>690</v>
      </c>
      <c r="B317" s="15" t="s">
        <v>690</v>
      </c>
      <c r="C317" s="12">
        <v>27</v>
      </c>
      <c r="D317" s="54">
        <f>'보험개발원 위험률'!D60+('보험개발원 위험률'!D61-'보험개발원 위험률'!D60)*(C317-'보험개발원 위험률'!C60)/('보험개발원 위험률'!C61-'보험개발원 위험률'!C60)</f>
        <v>1.7549999999999998E-4</v>
      </c>
      <c r="E317" s="54">
        <f>'보험개발원 위험률'!E60+('보험개발원 위험률'!E61-'보험개발원 위험률'!E60)*(C317-'보험개발원 위험률'!C60)/('보험개발원 위험률'!C61-'보험개발원 위험률'!C60)</f>
        <v>1.5220000000000001E-4</v>
      </c>
      <c r="F317" s="35" t="s">
        <v>699</v>
      </c>
      <c r="G317" s="35" t="s">
        <v>742</v>
      </c>
      <c r="H317" s="35" t="s">
        <v>689</v>
      </c>
      <c r="I317" s="35" t="s">
        <v>683</v>
      </c>
      <c r="J317" s="24" t="s">
        <v>685</v>
      </c>
    </row>
    <row r="318" spans="1:10">
      <c r="A318" s="15" t="s">
        <v>690</v>
      </c>
      <c r="B318" s="15" t="s">
        <v>690</v>
      </c>
      <c r="C318" s="12">
        <v>28</v>
      </c>
      <c r="D318" s="54">
        <f>'보험개발원 위험률'!D60+('보험개발원 위험률'!D61-'보험개발원 위험률'!D60)*(C318-'보험개발원 위험률'!C60)/('보험개발원 위험률'!C61-'보험개발원 위험률'!C60)</f>
        <v>1.9000000000000001E-4</v>
      </c>
      <c r="E318" s="54">
        <f>'보험개발원 위험률'!E60+('보험개발원 위험률'!E61-'보험개발원 위험률'!E60)*(C318-'보험개발원 위험률'!C60)/('보험개발원 위험률'!C61-'보험개발원 위험률'!C60)</f>
        <v>1.638E-4</v>
      </c>
      <c r="F318" s="35" t="s">
        <v>699</v>
      </c>
      <c r="G318" s="35" t="s">
        <v>742</v>
      </c>
      <c r="H318" s="35" t="s">
        <v>689</v>
      </c>
      <c r="I318" s="35" t="s">
        <v>683</v>
      </c>
      <c r="J318" s="24" t="s">
        <v>685</v>
      </c>
    </row>
    <row r="319" spans="1:10">
      <c r="A319" s="15" t="s">
        <v>690</v>
      </c>
      <c r="B319" s="15" t="s">
        <v>690</v>
      </c>
      <c r="C319" s="12">
        <v>29</v>
      </c>
      <c r="D319" s="54">
        <f>'보험개발원 위험률'!D60+('보험개발원 위험률'!D61-'보험개발원 위험률'!D60)*(C319-'보험개발원 위험률'!C60)/('보험개발원 위험률'!C61-'보험개발원 위험률'!C60)</f>
        <v>2.0449999999999998E-4</v>
      </c>
      <c r="E319" s="54">
        <f>'보험개발원 위험률'!E60+('보험개발원 위험률'!E61-'보험개발원 위험률'!E60)*(C319-'보험개발원 위험률'!C60)/('보험개발원 위험률'!C61-'보험개발원 위험률'!C60)</f>
        <v>1.7539999999999998E-4</v>
      </c>
      <c r="F319" s="35" t="s">
        <v>699</v>
      </c>
      <c r="G319" s="35" t="s">
        <v>742</v>
      </c>
      <c r="H319" s="35" t="s">
        <v>689</v>
      </c>
      <c r="I319" s="35" t="s">
        <v>683</v>
      </c>
      <c r="J319" s="24" t="s">
        <v>685</v>
      </c>
    </row>
    <row r="320" spans="1:10">
      <c r="A320" s="15" t="s">
        <v>690</v>
      </c>
      <c r="B320" s="15" t="s">
        <v>690</v>
      </c>
      <c r="C320" s="12">
        <v>30</v>
      </c>
      <c r="D320" s="54">
        <f>'보험개발원 위험률'!D61</f>
        <v>2.1900000000000001E-4</v>
      </c>
      <c r="E320" s="54">
        <f>'보험개발원 위험률'!E61</f>
        <v>1.8699999999999999E-4</v>
      </c>
      <c r="F320" s="35" t="s">
        <v>697</v>
      </c>
      <c r="G320" s="35" t="s">
        <v>711</v>
      </c>
      <c r="H320" s="35" t="s">
        <v>689</v>
      </c>
      <c r="I320" s="35" t="s">
        <v>683</v>
      </c>
      <c r="J320" s="24" t="s">
        <v>685</v>
      </c>
    </row>
    <row r="321" spans="1:10">
      <c r="A321" s="15" t="s">
        <v>690</v>
      </c>
      <c r="B321" s="15" t="s">
        <v>690</v>
      </c>
      <c r="C321" s="12">
        <v>31</v>
      </c>
      <c r="D321" s="54">
        <f>'보험개발원 위험률'!D61+('보험개발원 위험률'!D62-'보험개발원 위험률'!D61)*(C321-'보험개발원 위험률'!C61)/('보험개발원 위험률'!C62-'보험개발원 위험률'!C61)</f>
        <v>2.675E-4</v>
      </c>
      <c r="E321" s="54">
        <f>'보험개발원 위험률'!E61+('보험개발원 위험률'!E62-'보험개발원 위험률'!E61)*(C321-'보험개발원 위험률'!C61)/('보험개발원 위험률'!C62-'보험개발원 위험률'!C61)</f>
        <v>2.0989999999999998E-4</v>
      </c>
      <c r="F321" s="35" t="s">
        <v>699</v>
      </c>
      <c r="G321" s="35" t="s">
        <v>743</v>
      </c>
      <c r="H321" s="35" t="s">
        <v>689</v>
      </c>
      <c r="I321" s="35" t="s">
        <v>683</v>
      </c>
      <c r="J321" s="24" t="s">
        <v>685</v>
      </c>
    </row>
    <row r="322" spans="1:10">
      <c r="A322" s="15" t="s">
        <v>690</v>
      </c>
      <c r="B322" s="15" t="s">
        <v>690</v>
      </c>
      <c r="C322" s="12">
        <v>32</v>
      </c>
      <c r="D322" s="54">
        <f>'보험개발원 위험률'!D61+('보험개발원 위험률'!D62-'보험개발원 위험률'!D61)*(C322-'보험개발원 위험률'!C61)/('보험개발원 위험률'!C62-'보험개발원 위험률'!C61)</f>
        <v>3.1599999999999998E-4</v>
      </c>
      <c r="E322" s="54">
        <f>'보험개발원 위험률'!E61+('보험개발원 위험률'!E62-'보험개발원 위험률'!E61)*(C322-'보험개발원 위험률'!C61)/('보험개발원 위험률'!C62-'보험개발원 위험률'!C61)</f>
        <v>2.3279999999999999E-4</v>
      </c>
      <c r="F322" s="35" t="s">
        <v>699</v>
      </c>
      <c r="G322" s="35" t="s">
        <v>743</v>
      </c>
      <c r="H322" s="35" t="s">
        <v>689</v>
      </c>
      <c r="I322" s="35" t="s">
        <v>683</v>
      </c>
      <c r="J322" s="24" t="s">
        <v>685</v>
      </c>
    </row>
    <row r="323" spans="1:10">
      <c r="A323" s="15" t="s">
        <v>690</v>
      </c>
      <c r="B323" s="15" t="s">
        <v>690</v>
      </c>
      <c r="C323" s="12">
        <v>33</v>
      </c>
      <c r="D323" s="54">
        <f>'보험개발원 위험률'!D61+('보험개발원 위험률'!D62-'보험개발원 위험률'!D61)*(C323-'보험개발원 위험률'!C61)/('보험개발원 위험률'!C62-'보험개발원 위험률'!C61)</f>
        <v>3.6450000000000002E-4</v>
      </c>
      <c r="E323" s="54">
        <f>'보험개발원 위험률'!E61+('보험개발원 위험률'!E62-'보험개발원 위험률'!E61)*(C323-'보험개발원 위험률'!C61)/('보험개발원 위험률'!C62-'보험개발원 위험률'!C61)</f>
        <v>2.5569999999999998E-4</v>
      </c>
      <c r="F323" s="35" t="s">
        <v>699</v>
      </c>
      <c r="G323" s="35" t="s">
        <v>743</v>
      </c>
      <c r="H323" s="35" t="s">
        <v>689</v>
      </c>
      <c r="I323" s="35" t="s">
        <v>683</v>
      </c>
      <c r="J323" s="24" t="s">
        <v>685</v>
      </c>
    </row>
    <row r="324" spans="1:10">
      <c r="A324" s="15" t="s">
        <v>690</v>
      </c>
      <c r="B324" s="15" t="s">
        <v>690</v>
      </c>
      <c r="C324" s="12">
        <v>34</v>
      </c>
      <c r="D324" s="54">
        <f>'보험개발원 위험률'!D61+('보험개발원 위험률'!D62-'보험개발원 위험률'!D61)*(C324-'보험개발원 위험률'!C61)/('보험개발원 위험률'!C62-'보험개발원 위험률'!C61)</f>
        <v>4.1300000000000001E-4</v>
      </c>
      <c r="E324" s="54">
        <f>'보험개발원 위험률'!E61+('보험개발원 위험률'!E62-'보험개발원 위험률'!E61)*(C324-'보험개발원 위험률'!C61)/('보험개발원 위험률'!C62-'보험개발원 위험률'!C61)</f>
        <v>2.786E-4</v>
      </c>
      <c r="F324" s="35" t="s">
        <v>699</v>
      </c>
      <c r="G324" s="35" t="s">
        <v>743</v>
      </c>
      <c r="H324" s="35" t="s">
        <v>689</v>
      </c>
      <c r="I324" s="35" t="s">
        <v>683</v>
      </c>
      <c r="J324" s="24" t="s">
        <v>685</v>
      </c>
    </row>
    <row r="325" spans="1:10">
      <c r="A325" s="15" t="s">
        <v>690</v>
      </c>
      <c r="B325" s="15" t="s">
        <v>690</v>
      </c>
      <c r="C325" s="12">
        <v>35</v>
      </c>
      <c r="D325" s="54">
        <f>'보험개발원 위험률'!D61+('보험개발원 위험률'!D62-'보험개발원 위험률'!D61)*(C325-'보험개발원 위험률'!C61)/('보험개발원 위험률'!C62-'보험개발원 위험률'!C61)</f>
        <v>4.615E-4</v>
      </c>
      <c r="E325" s="54">
        <f>'보험개발원 위험률'!E61+('보험개발원 위험률'!E62-'보험개발원 위험률'!E61)*(C325-'보험개발원 위험률'!C61)/('보험개발원 위험률'!C62-'보험개발원 위험률'!C61)</f>
        <v>3.0150000000000001E-4</v>
      </c>
      <c r="F325" s="35" t="s">
        <v>699</v>
      </c>
      <c r="G325" s="35" t="s">
        <v>743</v>
      </c>
      <c r="H325" s="35" t="s">
        <v>689</v>
      </c>
      <c r="I325" s="35" t="s">
        <v>683</v>
      </c>
      <c r="J325" s="24" t="s">
        <v>685</v>
      </c>
    </row>
    <row r="326" spans="1:10">
      <c r="A326" s="15" t="s">
        <v>690</v>
      </c>
      <c r="B326" s="15" t="s">
        <v>690</v>
      </c>
      <c r="C326" s="12">
        <v>36</v>
      </c>
      <c r="D326" s="54">
        <f>'보험개발원 위험률'!D61+('보험개발원 위험률'!D62-'보험개발원 위험률'!D61)*(C326-'보험개발원 위험률'!C61)/('보험개발원 위험률'!C62-'보험개발원 위험률'!C61)</f>
        <v>5.1000000000000004E-4</v>
      </c>
      <c r="E326" s="54">
        <f>'보험개발원 위험률'!E61+('보험개발원 위험률'!E62-'보험개발원 위험률'!E61)*(C326-'보험개발원 위험률'!C61)/('보험개발원 위험률'!C62-'보험개발원 위험률'!C61)</f>
        <v>3.2439999999999997E-4</v>
      </c>
      <c r="F326" s="35" t="s">
        <v>699</v>
      </c>
      <c r="G326" s="35" t="s">
        <v>743</v>
      </c>
      <c r="H326" s="35" t="s">
        <v>689</v>
      </c>
      <c r="I326" s="35" t="s">
        <v>683</v>
      </c>
      <c r="J326" s="24" t="s">
        <v>685</v>
      </c>
    </row>
    <row r="327" spans="1:10">
      <c r="A327" s="15" t="s">
        <v>690</v>
      </c>
      <c r="B327" s="15" t="s">
        <v>690</v>
      </c>
      <c r="C327" s="12">
        <v>37</v>
      </c>
      <c r="D327" s="54">
        <f>'보험개발원 위험률'!D61+('보험개발원 위험률'!D62-'보험개발원 위험률'!D61)*(C327-'보험개발원 위험률'!C61)/('보험개발원 위험률'!C62-'보험개발원 위험률'!C61)</f>
        <v>5.5849999999999997E-4</v>
      </c>
      <c r="E327" s="54">
        <f>'보험개발원 위험률'!E61+('보험개발원 위험률'!E62-'보험개발원 위험률'!E61)*(C327-'보험개발원 위험률'!C61)/('보험개발원 위험률'!C62-'보험개발원 위험률'!C61)</f>
        <v>3.4729999999999999E-4</v>
      </c>
      <c r="F327" s="35" t="s">
        <v>699</v>
      </c>
      <c r="G327" s="35" t="s">
        <v>743</v>
      </c>
      <c r="H327" s="35" t="s">
        <v>689</v>
      </c>
      <c r="I327" s="35" t="s">
        <v>683</v>
      </c>
      <c r="J327" s="24" t="s">
        <v>685</v>
      </c>
    </row>
    <row r="328" spans="1:10">
      <c r="A328" s="15" t="s">
        <v>690</v>
      </c>
      <c r="B328" s="15" t="s">
        <v>690</v>
      </c>
      <c r="C328" s="12">
        <v>38</v>
      </c>
      <c r="D328" s="54">
        <f>'보험개발원 위험률'!D61+('보험개발원 위험률'!D62-'보험개발원 위험률'!D61)*(C328-'보험개발원 위험률'!C61)/('보험개발원 위험률'!C62-'보험개발원 위험률'!C61)</f>
        <v>6.0700000000000001E-4</v>
      </c>
      <c r="E328" s="54">
        <f>'보험개발원 위험률'!E61+('보험개발원 위험률'!E62-'보험개발원 위험률'!E61)*(C328-'보험개발원 위험률'!C61)/('보험개발원 위험률'!C62-'보험개발원 위험률'!C61)</f>
        <v>3.702E-4</v>
      </c>
      <c r="F328" s="35" t="s">
        <v>699</v>
      </c>
      <c r="G328" s="35" t="s">
        <v>743</v>
      </c>
      <c r="H328" s="35" t="s">
        <v>689</v>
      </c>
      <c r="I328" s="35" t="s">
        <v>683</v>
      </c>
      <c r="J328" s="24" t="s">
        <v>685</v>
      </c>
    </row>
    <row r="329" spans="1:10">
      <c r="A329" s="15" t="s">
        <v>690</v>
      </c>
      <c r="B329" s="15" t="s">
        <v>690</v>
      </c>
      <c r="C329" s="12">
        <v>39</v>
      </c>
      <c r="D329" s="54">
        <f>'보험개발원 위험률'!D61+('보험개발원 위험률'!D62-'보험개발원 위험률'!D61)*(C329-'보험개발원 위험률'!C61)/('보험개발원 위험률'!C62-'보험개발원 위험률'!C61)</f>
        <v>6.5550000000000005E-4</v>
      </c>
      <c r="E329" s="54">
        <f>'보험개발원 위험률'!E61+('보험개발원 위험률'!E62-'보험개발원 위험률'!E61)*(C329-'보험개발원 위험률'!C61)/('보험개발원 위험률'!C62-'보험개발원 위험률'!C61)</f>
        <v>3.9309999999999996E-4</v>
      </c>
      <c r="F329" s="35" t="s">
        <v>699</v>
      </c>
      <c r="G329" s="35" t="s">
        <v>743</v>
      </c>
      <c r="H329" s="35" t="s">
        <v>689</v>
      </c>
      <c r="I329" s="35" t="s">
        <v>683</v>
      </c>
      <c r="J329" s="24" t="s">
        <v>685</v>
      </c>
    </row>
    <row r="330" spans="1:10">
      <c r="A330" s="15" t="s">
        <v>690</v>
      </c>
      <c r="B330" s="15" t="s">
        <v>690</v>
      </c>
      <c r="C330" s="12">
        <v>40</v>
      </c>
      <c r="D330" s="54">
        <f>'보험개발원 위험률'!D62</f>
        <v>7.0399999999999998E-4</v>
      </c>
      <c r="E330" s="54">
        <f>'보험개발원 위험률'!E62</f>
        <v>4.1599999999999997E-4</v>
      </c>
      <c r="F330" s="35" t="s">
        <v>697</v>
      </c>
      <c r="G330" s="35" t="s">
        <v>715</v>
      </c>
      <c r="H330" s="35" t="s">
        <v>689</v>
      </c>
      <c r="I330" s="35" t="s">
        <v>683</v>
      </c>
      <c r="J330" s="24" t="s">
        <v>685</v>
      </c>
    </row>
    <row r="331" spans="1:10">
      <c r="A331" s="15" t="s">
        <v>690</v>
      </c>
      <c r="B331" s="15" t="s">
        <v>690</v>
      </c>
      <c r="C331" s="12">
        <v>41</v>
      </c>
      <c r="D331" s="54">
        <f>'보험개발원 위험률'!D62+('보험개발원 위험률'!D63-'보험개발원 위험률'!D62)*(C331-'보험개발원 위험률'!C62)/('보험개발원 위험률'!C63-'보험개발원 위험률'!C62)</f>
        <v>7.7919999999999997E-4</v>
      </c>
      <c r="E331" s="54">
        <f>'보험개발원 위험률'!E62+('보험개발원 위험률'!E63-'보험개발원 위험률'!E62)*(C331-'보험개발원 위험률'!C62)/('보험개발원 위험률'!C63-'보험개발원 위험률'!C62)</f>
        <v>4.6409999999999995E-4</v>
      </c>
      <c r="F331" s="35" t="s">
        <v>699</v>
      </c>
      <c r="G331" s="35" t="s">
        <v>744</v>
      </c>
      <c r="H331" s="35" t="s">
        <v>689</v>
      </c>
      <c r="I331" s="35" t="s">
        <v>683</v>
      </c>
      <c r="J331" s="24" t="s">
        <v>685</v>
      </c>
    </row>
    <row r="332" spans="1:10">
      <c r="A332" s="15" t="s">
        <v>690</v>
      </c>
      <c r="B332" s="15" t="s">
        <v>690</v>
      </c>
      <c r="C332" s="12">
        <v>42</v>
      </c>
      <c r="D332" s="54">
        <f>'보험개발원 위험률'!D62+('보험개발원 위험률'!D63-'보험개발원 위험률'!D62)*(C332-'보험개발원 위험률'!C62)/('보험개발원 위험률'!C63-'보험개발원 위험률'!C62)</f>
        <v>8.5439999999999995E-4</v>
      </c>
      <c r="E332" s="54">
        <f>'보험개발원 위험률'!E62+('보험개발원 위험률'!E63-'보험개발원 위험률'!E62)*(C332-'보험개발원 위험률'!C62)/('보험개발원 위험률'!C63-'보험개발원 위험률'!C62)</f>
        <v>5.1219999999999998E-4</v>
      </c>
      <c r="F332" s="35" t="s">
        <v>699</v>
      </c>
      <c r="G332" s="35" t="s">
        <v>744</v>
      </c>
      <c r="H332" s="35" t="s">
        <v>689</v>
      </c>
      <c r="I332" s="35" t="s">
        <v>683</v>
      </c>
      <c r="J332" s="24" t="s">
        <v>685</v>
      </c>
    </row>
    <row r="333" spans="1:10">
      <c r="A333" s="15" t="s">
        <v>690</v>
      </c>
      <c r="B333" s="15" t="s">
        <v>690</v>
      </c>
      <c r="C333" s="12">
        <v>43</v>
      </c>
      <c r="D333" s="54">
        <f>'보험개발원 위험률'!D62+('보험개발원 위험률'!D63-'보험개발원 위험률'!D62)*(C333-'보험개발원 위험률'!C62)/('보험개발원 위험률'!C63-'보험개발원 위험률'!C62)</f>
        <v>9.2960000000000004E-4</v>
      </c>
      <c r="E333" s="54">
        <f>'보험개발원 위험률'!E62+('보험개발원 위험률'!E63-'보험개발원 위험률'!E62)*(C333-'보험개발원 위험률'!C62)/('보험개발원 위험률'!C63-'보험개발원 위험률'!C62)</f>
        <v>5.6030000000000001E-4</v>
      </c>
      <c r="F333" s="35" t="s">
        <v>699</v>
      </c>
      <c r="G333" s="35" t="s">
        <v>744</v>
      </c>
      <c r="H333" s="35" t="s">
        <v>689</v>
      </c>
      <c r="I333" s="35" t="s">
        <v>683</v>
      </c>
      <c r="J333" s="24" t="s">
        <v>685</v>
      </c>
    </row>
    <row r="334" spans="1:10">
      <c r="A334" s="15" t="s">
        <v>690</v>
      </c>
      <c r="B334" s="15" t="s">
        <v>690</v>
      </c>
      <c r="C334" s="12">
        <v>44</v>
      </c>
      <c r="D334" s="54">
        <f>'보험개발원 위험률'!D62+('보험개발원 위험률'!D63-'보험개발원 위험률'!D62)*(C334-'보험개발원 위험률'!C62)/('보험개발원 위험률'!C63-'보험개발원 위험률'!C62)</f>
        <v>1.0048000000000001E-3</v>
      </c>
      <c r="E334" s="54">
        <f>'보험개발원 위험률'!E62+('보험개발원 위험률'!E63-'보험개발원 위험률'!E62)*(C334-'보험개발원 위험률'!C62)/('보험개발원 위험률'!C63-'보험개발원 위험률'!C62)</f>
        <v>6.0840000000000004E-4</v>
      </c>
      <c r="F334" s="35" t="s">
        <v>699</v>
      </c>
      <c r="G334" s="35" t="s">
        <v>744</v>
      </c>
      <c r="H334" s="35" t="s">
        <v>689</v>
      </c>
      <c r="I334" s="35" t="s">
        <v>683</v>
      </c>
      <c r="J334" s="24" t="s">
        <v>685</v>
      </c>
    </row>
    <row r="335" spans="1:10">
      <c r="A335" s="15" t="s">
        <v>690</v>
      </c>
      <c r="B335" s="15" t="s">
        <v>690</v>
      </c>
      <c r="C335" s="12">
        <v>45</v>
      </c>
      <c r="D335" s="54">
        <f>'보험개발원 위험률'!D62+('보험개발원 위험률'!D63-'보험개발원 위험률'!D62)*(C335-'보험개발원 위험률'!C62)/('보험개발원 위험률'!C63-'보험개발원 위험률'!C62)</f>
        <v>1.08E-3</v>
      </c>
      <c r="E335" s="54">
        <f>'보험개발원 위험률'!E62+('보험개발원 위험률'!E63-'보험개발원 위험률'!E62)*(C335-'보험개발원 위험률'!C62)/('보험개발원 위험률'!C63-'보험개발원 위험률'!C62)</f>
        <v>6.5649999999999997E-4</v>
      </c>
      <c r="F335" s="35" t="s">
        <v>699</v>
      </c>
      <c r="G335" s="35" t="s">
        <v>744</v>
      </c>
      <c r="H335" s="35" t="s">
        <v>689</v>
      </c>
      <c r="I335" s="35" t="s">
        <v>683</v>
      </c>
      <c r="J335" s="24" t="s">
        <v>685</v>
      </c>
    </row>
    <row r="336" spans="1:10">
      <c r="A336" s="15" t="s">
        <v>690</v>
      </c>
      <c r="B336" s="15" t="s">
        <v>690</v>
      </c>
      <c r="C336" s="12">
        <v>46</v>
      </c>
      <c r="D336" s="54">
        <f>'보험개발원 위험률'!D62+('보험개발원 위험률'!D63-'보험개발원 위험률'!D62)*(C336-'보험개발원 위험률'!C62)/('보험개발원 위험률'!C63-'보험개발원 위험률'!C62)</f>
        <v>1.1551999999999999E-3</v>
      </c>
      <c r="E336" s="54">
        <f>'보험개발원 위험률'!E62+('보험개발원 위험률'!E63-'보험개발원 위험률'!E62)*(C336-'보험개발원 위험률'!C62)/('보험개발원 위험률'!C63-'보험개발원 위험률'!C62)</f>
        <v>7.046E-4</v>
      </c>
      <c r="F336" s="35" t="s">
        <v>699</v>
      </c>
      <c r="G336" s="35" t="s">
        <v>744</v>
      </c>
      <c r="H336" s="35" t="s">
        <v>689</v>
      </c>
      <c r="I336" s="35" t="s">
        <v>683</v>
      </c>
      <c r="J336" s="24" t="s">
        <v>685</v>
      </c>
    </row>
    <row r="337" spans="1:10">
      <c r="A337" s="15" t="s">
        <v>690</v>
      </c>
      <c r="B337" s="15" t="s">
        <v>690</v>
      </c>
      <c r="C337" s="12">
        <v>47</v>
      </c>
      <c r="D337" s="54">
        <f>'보험개발원 위험률'!D62+('보험개발원 위험률'!D63-'보험개발원 위험률'!D62)*(C337-'보험개발원 위험률'!C62)/('보험개발원 위험률'!C63-'보험개발원 위험률'!C62)</f>
        <v>1.2304E-3</v>
      </c>
      <c r="E337" s="54">
        <f>'보험개발원 위험률'!E62+('보험개발원 위험률'!E63-'보험개발원 위험률'!E62)*(C337-'보험개발원 위험률'!C62)/('보험개발원 위험률'!C63-'보험개발원 위험률'!C62)</f>
        <v>7.5270000000000003E-4</v>
      </c>
      <c r="F337" s="35" t="s">
        <v>699</v>
      </c>
      <c r="G337" s="35" t="s">
        <v>744</v>
      </c>
      <c r="H337" s="35" t="s">
        <v>689</v>
      </c>
      <c r="I337" s="35" t="s">
        <v>683</v>
      </c>
      <c r="J337" s="24" t="s">
        <v>685</v>
      </c>
    </row>
    <row r="338" spans="1:10">
      <c r="A338" s="15" t="s">
        <v>690</v>
      </c>
      <c r="B338" s="15" t="s">
        <v>690</v>
      </c>
      <c r="C338" s="12">
        <v>48</v>
      </c>
      <c r="D338" s="54">
        <f>'보험개발원 위험률'!D62+('보험개발원 위험률'!D63-'보험개발원 위험률'!D62)*(C338-'보험개발원 위험률'!C62)/('보험개발원 위험률'!C63-'보험개발원 위험률'!C62)</f>
        <v>1.3056000000000001E-3</v>
      </c>
      <c r="E338" s="54">
        <f>'보험개발원 위험률'!E62+('보험개발원 위험률'!E63-'보험개발원 위험률'!E62)*(C338-'보험개발원 위험률'!C62)/('보험개발원 위험률'!C63-'보험개발원 위험률'!C62)</f>
        <v>8.0079999999999995E-4</v>
      </c>
      <c r="F338" s="35" t="s">
        <v>699</v>
      </c>
      <c r="G338" s="35" t="s">
        <v>744</v>
      </c>
      <c r="H338" s="35" t="s">
        <v>689</v>
      </c>
      <c r="I338" s="35" t="s">
        <v>683</v>
      </c>
      <c r="J338" s="24" t="s">
        <v>685</v>
      </c>
    </row>
    <row r="339" spans="1:10">
      <c r="A339" s="15" t="s">
        <v>690</v>
      </c>
      <c r="B339" s="15" t="s">
        <v>690</v>
      </c>
      <c r="C339" s="12">
        <v>49</v>
      </c>
      <c r="D339" s="54">
        <f>'보험개발원 위험률'!D62+('보험개발원 위험률'!D63-'보험개발원 위험률'!D62)*(C339-'보험개발원 위험률'!C62)/('보험개발원 위험률'!C63-'보험개발원 위험률'!C62)</f>
        <v>1.3808000000000002E-3</v>
      </c>
      <c r="E339" s="54">
        <f>'보험개발원 위험률'!E62+('보험개발원 위험률'!E63-'보험개발원 위험률'!E62)*(C339-'보험개발원 위험률'!C62)/('보험개발원 위험률'!C63-'보험개발원 위험률'!C62)</f>
        <v>8.4890000000000009E-4</v>
      </c>
      <c r="F339" s="35" t="s">
        <v>699</v>
      </c>
      <c r="G339" s="35" t="s">
        <v>744</v>
      </c>
      <c r="H339" s="35" t="s">
        <v>689</v>
      </c>
      <c r="I339" s="35" t="s">
        <v>683</v>
      </c>
      <c r="J339" s="24" t="s">
        <v>685</v>
      </c>
    </row>
    <row r="340" spans="1:10">
      <c r="A340" s="15" t="s">
        <v>690</v>
      </c>
      <c r="B340" s="15" t="s">
        <v>690</v>
      </c>
      <c r="C340" s="12">
        <v>50</v>
      </c>
      <c r="D340" s="54">
        <f>'보험개발원 위험률'!D63</f>
        <v>1.456E-3</v>
      </c>
      <c r="E340" s="54">
        <f>'보험개발원 위험률'!E63</f>
        <v>8.9700000000000001E-4</v>
      </c>
      <c r="F340" s="35" t="s">
        <v>697</v>
      </c>
      <c r="G340" s="35" t="s">
        <v>719</v>
      </c>
      <c r="H340" s="35" t="s">
        <v>689</v>
      </c>
      <c r="I340" s="35" t="s">
        <v>683</v>
      </c>
      <c r="J340" s="24" t="s">
        <v>685</v>
      </c>
    </row>
    <row r="341" spans="1:10">
      <c r="A341" s="15" t="s">
        <v>690</v>
      </c>
      <c r="B341" s="15" t="s">
        <v>690</v>
      </c>
      <c r="C341" s="12">
        <v>51</v>
      </c>
      <c r="D341" s="54">
        <f>'보험개발원 위험률'!D63+('보험개발원 위험률'!D64-'보험개발원 위험률'!D63)*(C341-'보험개발원 위험률'!C63)/('보험개발원 위험률'!C64-'보험개발원 위험률'!C63)</f>
        <v>1.6197E-3</v>
      </c>
      <c r="E341" s="54">
        <f>'보험개발원 위험률'!E63+('보험개발원 위험률'!E64-'보험개발원 위험률'!E63)*(C341-'보험개발원 위험률'!C63)/('보험개발원 위험률'!C64-'보험개발원 위험률'!C63)</f>
        <v>9.7689999999999995E-4</v>
      </c>
      <c r="F341" s="35" t="s">
        <v>699</v>
      </c>
      <c r="G341" s="35" t="s">
        <v>745</v>
      </c>
      <c r="H341" s="35" t="s">
        <v>689</v>
      </c>
      <c r="I341" s="35" t="s">
        <v>683</v>
      </c>
      <c r="J341" s="24" t="s">
        <v>685</v>
      </c>
    </row>
    <row r="342" spans="1:10">
      <c r="A342" s="15" t="s">
        <v>690</v>
      </c>
      <c r="B342" s="15" t="s">
        <v>690</v>
      </c>
      <c r="C342" s="12">
        <v>52</v>
      </c>
      <c r="D342" s="54">
        <f>'보험개발원 위험률'!D63+('보험개발원 위험률'!D64-'보험개발원 위험률'!D63)*(C342-'보험개발원 위험률'!C63)/('보험개발원 위험률'!C64-'보험개발원 위험률'!C63)</f>
        <v>1.7834000000000001E-3</v>
      </c>
      <c r="E342" s="54">
        <f>'보험개발원 위험률'!E63+('보험개발원 위험률'!E64-'보험개발원 위험률'!E63)*(C342-'보험개발원 위험률'!C63)/('보험개발원 위험률'!C64-'보험개발원 위험률'!C63)</f>
        <v>1.0568000000000001E-3</v>
      </c>
      <c r="F342" s="35" t="s">
        <v>699</v>
      </c>
      <c r="G342" s="35" t="s">
        <v>745</v>
      </c>
      <c r="H342" s="35" t="s">
        <v>689</v>
      </c>
      <c r="I342" s="35" t="s">
        <v>683</v>
      </c>
      <c r="J342" s="24" t="s">
        <v>685</v>
      </c>
    </row>
    <row r="343" spans="1:10">
      <c r="A343" s="15" t="s">
        <v>690</v>
      </c>
      <c r="B343" s="15" t="s">
        <v>690</v>
      </c>
      <c r="C343" s="12">
        <v>53</v>
      </c>
      <c r="D343" s="54">
        <f>'보험개발원 위험률'!D63+('보험개발원 위험률'!D64-'보험개발원 위험률'!D63)*(C343-'보험개발원 위험률'!C63)/('보험개발원 위험률'!C64-'보험개발원 위험률'!C63)</f>
        <v>1.9471E-3</v>
      </c>
      <c r="E343" s="54">
        <f>'보험개발원 위험률'!E63+('보험개발원 위험률'!E64-'보험개발원 위험률'!E63)*(C343-'보험개발원 위험률'!C63)/('보험개발원 위험률'!C64-'보험개발원 위험률'!C63)</f>
        <v>1.1367E-3</v>
      </c>
      <c r="F343" s="35" t="s">
        <v>699</v>
      </c>
      <c r="G343" s="35" t="s">
        <v>745</v>
      </c>
      <c r="H343" s="35" t="s">
        <v>689</v>
      </c>
      <c r="I343" s="35" t="s">
        <v>683</v>
      </c>
      <c r="J343" s="24" t="s">
        <v>685</v>
      </c>
    </row>
    <row r="344" spans="1:10">
      <c r="A344" s="15" t="s">
        <v>690</v>
      </c>
      <c r="B344" s="15" t="s">
        <v>690</v>
      </c>
      <c r="C344" s="12">
        <v>54</v>
      </c>
      <c r="D344" s="54">
        <f>'보험개발원 위험률'!D63+('보험개발원 위험률'!D64-'보험개발원 위험률'!D63)*(C344-'보험개발원 위험률'!C63)/('보험개발원 위험률'!C64-'보험개발원 위험률'!C63)</f>
        <v>2.1107999999999999E-3</v>
      </c>
      <c r="E344" s="54">
        <f>'보험개발원 위험률'!E63+('보험개발원 위험률'!E64-'보험개발원 위험률'!E63)*(C344-'보험개발원 위험률'!C63)/('보험개발원 위험률'!C64-'보험개발원 위험률'!C63)</f>
        <v>1.2166E-3</v>
      </c>
      <c r="F344" s="35" t="s">
        <v>699</v>
      </c>
      <c r="G344" s="35" t="s">
        <v>745</v>
      </c>
      <c r="H344" s="35" t="s">
        <v>689</v>
      </c>
      <c r="I344" s="35" t="s">
        <v>683</v>
      </c>
      <c r="J344" s="24" t="s">
        <v>685</v>
      </c>
    </row>
    <row r="345" spans="1:10">
      <c r="A345" s="15" t="s">
        <v>690</v>
      </c>
      <c r="B345" s="15" t="s">
        <v>690</v>
      </c>
      <c r="C345" s="12">
        <v>55</v>
      </c>
      <c r="D345" s="54">
        <f>'보험개발원 위험률'!D63+('보험개발원 위험률'!D64-'보험개발원 위험률'!D63)*(C345-'보험개발원 위험률'!C63)/('보험개발원 위험률'!C64-'보험개발원 위험률'!C63)</f>
        <v>2.2745E-3</v>
      </c>
      <c r="E345" s="54">
        <f>'보험개발원 위험률'!E63+('보험개발원 위험률'!E64-'보험개발원 위험률'!E63)*(C345-'보험개발원 위험률'!C63)/('보험개발원 위험률'!C64-'보험개발원 위험률'!C63)</f>
        <v>1.2964999999999999E-3</v>
      </c>
      <c r="F345" s="35" t="s">
        <v>699</v>
      </c>
      <c r="G345" s="35" t="s">
        <v>745</v>
      </c>
      <c r="H345" s="35" t="s">
        <v>689</v>
      </c>
      <c r="I345" s="35" t="s">
        <v>683</v>
      </c>
      <c r="J345" s="24" t="s">
        <v>685</v>
      </c>
    </row>
    <row r="346" spans="1:10">
      <c r="A346" s="15" t="s">
        <v>690</v>
      </c>
      <c r="B346" s="15" t="s">
        <v>690</v>
      </c>
      <c r="C346" s="12">
        <v>56</v>
      </c>
      <c r="D346" s="54">
        <f>'보험개발원 위험률'!D63+('보험개발원 위험률'!D64-'보험개발원 위험률'!D63)*(C346-'보험개발원 위험률'!C63)/('보험개발원 위험률'!C64-'보험개발원 위험률'!C63)</f>
        <v>2.4381999999999997E-3</v>
      </c>
      <c r="E346" s="54">
        <f>'보험개발원 위험률'!E63+('보험개발원 위험률'!E64-'보험개발원 위험률'!E63)*(C346-'보험개발원 위험률'!C63)/('보험개발원 위험률'!C64-'보험개발원 위험률'!C63)</f>
        <v>1.3763999999999998E-3</v>
      </c>
      <c r="F346" s="35" t="s">
        <v>699</v>
      </c>
      <c r="G346" s="35" t="s">
        <v>745</v>
      </c>
      <c r="H346" s="35" t="s">
        <v>689</v>
      </c>
      <c r="I346" s="35" t="s">
        <v>683</v>
      </c>
      <c r="J346" s="24" t="s">
        <v>685</v>
      </c>
    </row>
    <row r="347" spans="1:10">
      <c r="A347" s="15" t="s">
        <v>690</v>
      </c>
      <c r="B347" s="15" t="s">
        <v>690</v>
      </c>
      <c r="C347" s="12">
        <v>57</v>
      </c>
      <c r="D347" s="54">
        <f>'보험개발원 위험률'!D63+('보험개발원 위험률'!D64-'보험개발원 위험률'!D63)*(C347-'보험개발원 위험률'!C63)/('보험개발원 위험률'!C64-'보험개발원 위험률'!C63)</f>
        <v>2.6018999999999999E-3</v>
      </c>
      <c r="E347" s="54">
        <f>'보험개발원 위험률'!E63+('보험개발원 위험률'!E64-'보험개발원 위험률'!E63)*(C347-'보험개발원 위험률'!C63)/('보험개발원 위험률'!C64-'보험개발원 위험률'!C63)</f>
        <v>1.4563E-3</v>
      </c>
      <c r="F347" s="35" t="s">
        <v>699</v>
      </c>
      <c r="G347" s="35" t="s">
        <v>745</v>
      </c>
      <c r="H347" s="35" t="s">
        <v>689</v>
      </c>
      <c r="I347" s="35" t="s">
        <v>683</v>
      </c>
      <c r="J347" s="24" t="s">
        <v>685</v>
      </c>
    </row>
    <row r="348" spans="1:10">
      <c r="A348" s="15" t="s">
        <v>690</v>
      </c>
      <c r="B348" s="15" t="s">
        <v>690</v>
      </c>
      <c r="C348" s="12">
        <v>58</v>
      </c>
      <c r="D348" s="54">
        <f>'보험개발원 위험률'!D63+('보험개발원 위험률'!D64-'보험개발원 위험률'!D63)*(C348-'보험개발원 위험률'!C63)/('보험개발원 위험률'!C64-'보험개발원 위험률'!C63)</f>
        <v>2.7656E-3</v>
      </c>
      <c r="E348" s="54">
        <f>'보험개발원 위험률'!E63+('보험개발원 위험률'!E64-'보험개발원 위험률'!E63)*(C348-'보험개발원 위험률'!C63)/('보험개발원 위험률'!C64-'보험개발원 위험률'!C63)</f>
        <v>1.5362000000000002E-3</v>
      </c>
      <c r="F348" s="35" t="s">
        <v>699</v>
      </c>
      <c r="G348" s="35" t="s">
        <v>745</v>
      </c>
      <c r="H348" s="35" t="s">
        <v>689</v>
      </c>
      <c r="I348" s="35" t="s">
        <v>683</v>
      </c>
      <c r="J348" s="24" t="s">
        <v>685</v>
      </c>
    </row>
    <row r="349" spans="1:10">
      <c r="A349" s="15" t="s">
        <v>690</v>
      </c>
      <c r="B349" s="15" t="s">
        <v>690</v>
      </c>
      <c r="C349" s="12">
        <v>59</v>
      </c>
      <c r="D349" s="54">
        <f>'보험개발원 위험률'!D63+('보험개발원 위험률'!D64-'보험개발원 위험률'!D63)*(C349-'보험개발원 위험률'!C63)/('보험개발원 위험률'!C64-'보험개발원 위험률'!C63)</f>
        <v>2.9293000000000001E-3</v>
      </c>
      <c r="E349" s="54">
        <f>'보험개발원 위험률'!E63+('보험개발원 위험률'!E64-'보험개발원 위험률'!E63)*(C349-'보험개발원 위험률'!C63)/('보험개발원 위험률'!C64-'보험개발원 위험률'!C63)</f>
        <v>1.6161000000000001E-3</v>
      </c>
      <c r="F349" s="35" t="s">
        <v>699</v>
      </c>
      <c r="G349" s="35" t="s">
        <v>745</v>
      </c>
      <c r="H349" s="35" t="s">
        <v>689</v>
      </c>
      <c r="I349" s="35" t="s">
        <v>683</v>
      </c>
      <c r="J349" s="24" t="s">
        <v>685</v>
      </c>
    </row>
    <row r="350" spans="1:10">
      <c r="A350" s="15" t="s">
        <v>690</v>
      </c>
      <c r="B350" s="15" t="s">
        <v>690</v>
      </c>
      <c r="C350" s="12">
        <v>60</v>
      </c>
      <c r="D350" s="54">
        <f>'보험개발원 위험률'!D64</f>
        <v>3.0929999999999998E-3</v>
      </c>
      <c r="E350" s="54">
        <f>'보험개발원 위험률'!E64</f>
        <v>1.696E-3</v>
      </c>
      <c r="F350" s="35" t="s">
        <v>697</v>
      </c>
      <c r="G350" s="35" t="s">
        <v>723</v>
      </c>
      <c r="H350" s="35" t="s">
        <v>689</v>
      </c>
      <c r="I350" s="35" t="s">
        <v>683</v>
      </c>
      <c r="J350" s="24" t="s">
        <v>685</v>
      </c>
    </row>
    <row r="351" spans="1:10">
      <c r="A351" s="15" t="s">
        <v>690</v>
      </c>
      <c r="B351" s="15" t="s">
        <v>690</v>
      </c>
      <c r="C351" s="12">
        <v>61</v>
      </c>
      <c r="D351" s="54">
        <f>'보험개발원 위험률'!D64+('보험개발원 위험률'!D65-'보험개발원 위험률'!D64)*(C351-'보험개발원 위험률'!C64)/('보험개발원 위험률'!C65-'보험개발원 위험률'!C64)</f>
        <v>3.3406999999999998E-3</v>
      </c>
      <c r="E351" s="54">
        <f>'보험개발원 위험률'!E64+('보험개발원 위험률'!E65-'보험개발원 위험률'!E64)*(C351-'보험개발원 위험률'!C64)/('보험개발원 위험률'!C65-'보험개발원 위험률'!C64)</f>
        <v>1.8851E-3</v>
      </c>
      <c r="F351" s="35" t="s">
        <v>699</v>
      </c>
      <c r="G351" s="35" t="s">
        <v>746</v>
      </c>
      <c r="H351" s="35" t="s">
        <v>689</v>
      </c>
      <c r="I351" s="35" t="s">
        <v>683</v>
      </c>
      <c r="J351" s="24" t="s">
        <v>685</v>
      </c>
    </row>
    <row r="352" spans="1:10">
      <c r="A352" s="15" t="s">
        <v>690</v>
      </c>
      <c r="B352" s="15" t="s">
        <v>690</v>
      </c>
      <c r="C352" s="12">
        <v>62</v>
      </c>
      <c r="D352" s="54">
        <f>'보험개발원 위험률'!D64+('보험개발원 위험률'!D65-'보험개발원 위험률'!D64)*(C352-'보험개발원 위험률'!C64)/('보험개발원 위험률'!C65-'보험개발원 위험률'!C64)</f>
        <v>3.5883999999999998E-3</v>
      </c>
      <c r="E352" s="54">
        <f>'보험개발원 위험률'!E64+('보험개발원 위험률'!E65-'보험개발원 위험률'!E64)*(C352-'보험개발원 위험률'!C64)/('보험개발원 위험률'!C65-'보험개발원 위험률'!C64)</f>
        <v>2.0742E-3</v>
      </c>
      <c r="F352" s="35" t="s">
        <v>699</v>
      </c>
      <c r="G352" s="35" t="s">
        <v>746</v>
      </c>
      <c r="H352" s="35" t="s">
        <v>689</v>
      </c>
      <c r="I352" s="35" t="s">
        <v>683</v>
      </c>
      <c r="J352" s="24" t="s">
        <v>685</v>
      </c>
    </row>
    <row r="353" spans="1:10">
      <c r="A353" s="15" t="s">
        <v>690</v>
      </c>
      <c r="B353" s="15" t="s">
        <v>690</v>
      </c>
      <c r="C353" s="12">
        <v>63</v>
      </c>
      <c r="D353" s="54">
        <f>'보험개발원 위험률'!D64+('보험개발원 위험률'!D65-'보험개발원 위험률'!D64)*(C353-'보험개발원 위험률'!C64)/('보험개발원 위험률'!C65-'보험개발원 위험률'!C64)</f>
        <v>3.8361000000000003E-3</v>
      </c>
      <c r="E353" s="54">
        <f>'보험개발원 위험률'!E64+('보험개발원 위험률'!E65-'보험개발원 위험률'!E64)*(C353-'보험개발원 위험률'!C64)/('보험개발원 위험률'!C65-'보험개발원 위험률'!C64)</f>
        <v>2.2633000000000002E-3</v>
      </c>
      <c r="F353" s="35" t="s">
        <v>699</v>
      </c>
      <c r="G353" s="35" t="s">
        <v>746</v>
      </c>
      <c r="H353" s="35" t="s">
        <v>689</v>
      </c>
      <c r="I353" s="35" t="s">
        <v>683</v>
      </c>
      <c r="J353" s="24" t="s">
        <v>685</v>
      </c>
    </row>
    <row r="354" spans="1:10">
      <c r="A354" s="15" t="s">
        <v>690</v>
      </c>
      <c r="B354" s="15" t="s">
        <v>690</v>
      </c>
      <c r="C354" s="12">
        <v>64</v>
      </c>
      <c r="D354" s="54">
        <f>'보험개발원 위험률'!D64+('보험개발원 위험률'!D65-'보험개발원 위험률'!D64)*(C354-'보험개발원 위험률'!C64)/('보험개발원 위험률'!C65-'보험개발원 위험률'!C64)</f>
        <v>4.0838000000000003E-3</v>
      </c>
      <c r="E354" s="54">
        <f>'보험개발원 위험률'!E64+('보험개발원 위험률'!E65-'보험개발원 위험률'!E64)*(C354-'보험개발원 위험률'!C64)/('보험개발원 위험률'!C65-'보험개발원 위험률'!C64)</f>
        <v>2.4524E-3</v>
      </c>
      <c r="F354" s="35" t="s">
        <v>699</v>
      </c>
      <c r="G354" s="35" t="s">
        <v>746</v>
      </c>
      <c r="H354" s="35" t="s">
        <v>689</v>
      </c>
      <c r="I354" s="35" t="s">
        <v>683</v>
      </c>
      <c r="J354" s="24" t="s">
        <v>685</v>
      </c>
    </row>
    <row r="355" spans="1:10">
      <c r="A355" s="15" t="s">
        <v>690</v>
      </c>
      <c r="B355" s="15" t="s">
        <v>690</v>
      </c>
      <c r="C355" s="12">
        <v>65</v>
      </c>
      <c r="D355" s="54">
        <f>'보험개발원 위험률'!D64+('보험개발원 위험률'!D65-'보험개발원 위험률'!D64)*(C355-'보험개발원 위험률'!C64)/('보험개발원 위험률'!C65-'보험개발원 위험률'!C64)</f>
        <v>4.3315000000000003E-3</v>
      </c>
      <c r="E355" s="54">
        <f>'보험개발원 위험률'!E64+('보험개발원 위험률'!E65-'보험개발원 위험률'!E64)*(C355-'보험개발원 위험률'!C64)/('보험개발원 위험률'!C65-'보험개발원 위험률'!C64)</f>
        <v>2.6414999999999998E-3</v>
      </c>
      <c r="F355" s="35" t="s">
        <v>699</v>
      </c>
      <c r="G355" s="35" t="s">
        <v>746</v>
      </c>
      <c r="H355" s="35" t="s">
        <v>689</v>
      </c>
      <c r="I355" s="35" t="s">
        <v>683</v>
      </c>
      <c r="J355" s="24" t="s">
        <v>685</v>
      </c>
    </row>
    <row r="356" spans="1:10">
      <c r="A356" s="15" t="s">
        <v>690</v>
      </c>
      <c r="B356" s="15" t="s">
        <v>690</v>
      </c>
      <c r="C356" s="12">
        <v>66</v>
      </c>
      <c r="D356" s="54">
        <f>'보험개발원 위험률'!D64+('보험개발원 위험률'!D65-'보험개발원 위험률'!D64)*(C356-'보험개발원 위험률'!C64)/('보험개발원 위험률'!C65-'보험개발원 위험률'!C64)</f>
        <v>4.5792000000000003E-3</v>
      </c>
      <c r="E356" s="54">
        <f>'보험개발원 위험률'!E64+('보험개발원 위험률'!E65-'보험개발원 위험률'!E64)*(C356-'보험개발원 위험률'!C64)/('보험개발원 위험률'!C65-'보험개발원 위험률'!C64)</f>
        <v>2.8306E-3</v>
      </c>
      <c r="F356" s="35" t="s">
        <v>699</v>
      </c>
      <c r="G356" s="35" t="s">
        <v>746</v>
      </c>
      <c r="H356" s="35" t="s">
        <v>689</v>
      </c>
      <c r="I356" s="35" t="s">
        <v>683</v>
      </c>
      <c r="J356" s="24" t="s">
        <v>685</v>
      </c>
    </row>
    <row r="357" spans="1:10">
      <c r="A357" s="15" t="s">
        <v>690</v>
      </c>
      <c r="B357" s="15" t="s">
        <v>690</v>
      </c>
      <c r="C357" s="12">
        <v>67</v>
      </c>
      <c r="D357" s="54">
        <f>'보험개발원 위험률'!D64+('보험개발원 위험률'!D65-'보험개발원 위험률'!D64)*(C357-'보험개발원 위험률'!C64)/('보험개발원 위험률'!C65-'보험개발원 위험률'!C64)</f>
        <v>4.8269000000000003E-3</v>
      </c>
      <c r="E357" s="54">
        <f>'보험개발원 위험률'!E64+('보험개발원 위험률'!E65-'보험개발원 위험률'!E64)*(C357-'보험개발원 위험률'!C64)/('보험개발원 위험률'!C65-'보험개발원 위험률'!C64)</f>
        <v>3.0197000000000002E-3</v>
      </c>
      <c r="F357" s="35" t="s">
        <v>699</v>
      </c>
      <c r="G357" s="35" t="s">
        <v>746</v>
      </c>
      <c r="H357" s="35" t="s">
        <v>689</v>
      </c>
      <c r="I357" s="35" t="s">
        <v>683</v>
      </c>
      <c r="J357" s="24" t="s">
        <v>685</v>
      </c>
    </row>
    <row r="358" spans="1:10">
      <c r="A358" s="15" t="s">
        <v>690</v>
      </c>
      <c r="B358" s="15" t="s">
        <v>690</v>
      </c>
      <c r="C358" s="12">
        <v>68</v>
      </c>
      <c r="D358" s="54">
        <f>'보험개발원 위험률'!D64+('보험개발원 위험률'!D65-'보험개발원 위험률'!D64)*(C358-'보험개발원 위험률'!C64)/('보험개발원 위험률'!C65-'보험개발원 위험률'!C64)</f>
        <v>5.0746000000000003E-3</v>
      </c>
      <c r="E358" s="54">
        <f>'보험개발원 위험률'!E64+('보험개발원 위험률'!E65-'보험개발원 위험률'!E64)*(C358-'보험개발원 위험률'!C64)/('보험개발원 위험률'!C65-'보험개발원 위험률'!C64)</f>
        <v>3.2087999999999999E-3</v>
      </c>
      <c r="F358" s="35" t="s">
        <v>699</v>
      </c>
      <c r="G358" s="35" t="s">
        <v>746</v>
      </c>
      <c r="H358" s="35" t="s">
        <v>689</v>
      </c>
      <c r="I358" s="35" t="s">
        <v>683</v>
      </c>
      <c r="J358" s="24" t="s">
        <v>685</v>
      </c>
    </row>
    <row r="359" spans="1:10">
      <c r="A359" s="15" t="s">
        <v>690</v>
      </c>
      <c r="B359" s="15" t="s">
        <v>690</v>
      </c>
      <c r="C359" s="12">
        <v>69</v>
      </c>
      <c r="D359" s="54">
        <f>'보험개발원 위험률'!D64+('보험개발원 위험률'!D65-'보험개발원 위험률'!D64)*(C359-'보험개발원 위험률'!C64)/('보험개발원 위험률'!C65-'보험개발원 위험률'!C64)</f>
        <v>5.3223000000000003E-3</v>
      </c>
      <c r="E359" s="54">
        <f>'보험개발원 위험률'!E64+('보험개발원 위험률'!E65-'보험개발원 위험률'!E64)*(C359-'보험개발원 위험률'!C64)/('보험개발원 위험률'!C65-'보험개발원 위험률'!C64)</f>
        <v>3.3978999999999997E-3</v>
      </c>
      <c r="F359" s="35" t="s">
        <v>699</v>
      </c>
      <c r="G359" s="35" t="s">
        <v>746</v>
      </c>
      <c r="H359" s="35" t="s">
        <v>689</v>
      </c>
      <c r="I359" s="35" t="s">
        <v>683</v>
      </c>
      <c r="J359" s="24" t="s">
        <v>685</v>
      </c>
    </row>
    <row r="360" spans="1:10">
      <c r="A360" s="15" t="s">
        <v>690</v>
      </c>
      <c r="B360" s="15" t="s">
        <v>690</v>
      </c>
      <c r="C360" s="12">
        <v>70</v>
      </c>
      <c r="D360" s="54">
        <f>'보험개발원 위험률'!D65</f>
        <v>5.5700000000000003E-3</v>
      </c>
      <c r="E360" s="54">
        <f>'보험개발원 위험률'!E65</f>
        <v>3.5869999999999999E-3</v>
      </c>
      <c r="F360" s="35" t="s">
        <v>697</v>
      </c>
      <c r="G360" s="35" t="s">
        <v>727</v>
      </c>
      <c r="H360" s="35" t="s">
        <v>689</v>
      </c>
      <c r="I360" s="35" t="s">
        <v>683</v>
      </c>
      <c r="J360" s="24" t="s">
        <v>685</v>
      </c>
    </row>
    <row r="361" spans="1:10">
      <c r="A361" s="15" t="s">
        <v>690</v>
      </c>
      <c r="B361" s="15" t="s">
        <v>690</v>
      </c>
      <c r="C361" s="12">
        <v>71</v>
      </c>
      <c r="D361" s="54">
        <f>'보험개발원 위험률'!D65+('보험개발원 위험률'!D66-'보험개발원 위험률'!D65)*(C361-'보험개발원 위험률'!C65)/('보험개발원 위험률'!C66-'보험개발원 위험률'!C65)</f>
        <v>5.9151000000000004E-3</v>
      </c>
      <c r="E361" s="54">
        <f>'보험개발원 위험률'!E65+('보험개발원 위험률'!E66-'보험개발원 위험률'!E65)*(C361-'보험개발원 위험률'!C65)/('보험개발원 위험률'!C66-'보험개발원 위험률'!C65)</f>
        <v>3.9293999999999996E-3</v>
      </c>
      <c r="F361" s="35" t="s">
        <v>699</v>
      </c>
      <c r="G361" s="35" t="s">
        <v>747</v>
      </c>
      <c r="H361" s="35" t="s">
        <v>689</v>
      </c>
      <c r="I361" s="35" t="s">
        <v>683</v>
      </c>
      <c r="J361" s="24" t="s">
        <v>685</v>
      </c>
    </row>
    <row r="362" spans="1:10">
      <c r="A362" s="15" t="s">
        <v>690</v>
      </c>
      <c r="B362" s="15" t="s">
        <v>690</v>
      </c>
      <c r="C362" s="12">
        <v>72</v>
      </c>
      <c r="D362" s="54">
        <f>'보험개발원 위험률'!D65+('보험개발원 위험률'!D66-'보험개발원 위험률'!D65)*(C362-'보험개발원 위험률'!C65)/('보험개발원 위험률'!C66-'보험개발원 위험률'!C65)</f>
        <v>6.2602000000000005E-3</v>
      </c>
      <c r="E362" s="54">
        <f>'보험개발원 위험률'!E65+('보험개발원 위험률'!E66-'보험개발원 위험률'!E65)*(C362-'보험개발원 위험률'!C65)/('보험개발원 위험률'!C66-'보험개발원 위험률'!C65)</f>
        <v>4.2718000000000001E-3</v>
      </c>
      <c r="F362" s="35" t="s">
        <v>699</v>
      </c>
      <c r="G362" s="35" t="s">
        <v>747</v>
      </c>
      <c r="H362" s="35" t="s">
        <v>689</v>
      </c>
      <c r="I362" s="35" t="s">
        <v>683</v>
      </c>
      <c r="J362" s="24" t="s">
        <v>685</v>
      </c>
    </row>
    <row r="363" spans="1:10">
      <c r="A363" s="15" t="s">
        <v>690</v>
      </c>
      <c r="B363" s="15" t="s">
        <v>690</v>
      </c>
      <c r="C363" s="12">
        <v>73</v>
      </c>
      <c r="D363" s="54">
        <f>'보험개발원 위험률'!D65+('보험개발원 위험률'!D66-'보험개발원 위험률'!D65)*(C363-'보험개발원 위험률'!C65)/('보험개발원 위험률'!C66-'보험개발원 위험률'!C65)</f>
        <v>6.6052999999999997E-3</v>
      </c>
      <c r="E363" s="54">
        <f>'보험개발원 위험률'!E65+('보험개발원 위험률'!E66-'보험개발원 위험률'!E65)*(C363-'보험개발원 위험률'!C65)/('보험개발원 위험률'!C66-'보험개발원 위험률'!C65)</f>
        <v>4.6141999999999997E-3</v>
      </c>
      <c r="F363" s="35" t="s">
        <v>699</v>
      </c>
      <c r="G363" s="35" t="s">
        <v>747</v>
      </c>
      <c r="H363" s="35" t="s">
        <v>689</v>
      </c>
      <c r="I363" s="35" t="s">
        <v>683</v>
      </c>
      <c r="J363" s="24" t="s">
        <v>685</v>
      </c>
    </row>
    <row r="364" spans="1:10">
      <c r="A364" s="15" t="s">
        <v>690</v>
      </c>
      <c r="B364" s="15" t="s">
        <v>690</v>
      </c>
      <c r="C364" s="12">
        <v>74</v>
      </c>
      <c r="D364" s="54">
        <f>'보험개발원 위험률'!D65+('보험개발원 위험률'!D66-'보험개발원 위험률'!D65)*(C364-'보험개발원 위험률'!C65)/('보험개발원 위험률'!C66-'보험개발원 위험률'!C65)</f>
        <v>6.9503999999999998E-3</v>
      </c>
      <c r="E364" s="54">
        <f>'보험개발원 위험률'!E65+('보험개발원 위험률'!E66-'보험개발원 위험률'!E65)*(C364-'보험개발원 위험률'!C65)/('보험개발원 위험률'!C66-'보험개발원 위험률'!C65)</f>
        <v>4.9566000000000002E-3</v>
      </c>
      <c r="F364" s="35" t="s">
        <v>699</v>
      </c>
      <c r="G364" s="35" t="s">
        <v>747</v>
      </c>
      <c r="H364" s="35" t="s">
        <v>689</v>
      </c>
      <c r="I364" s="35" t="s">
        <v>683</v>
      </c>
      <c r="J364" s="24" t="s">
        <v>685</v>
      </c>
    </row>
    <row r="365" spans="1:10">
      <c r="A365" s="15" t="s">
        <v>690</v>
      </c>
      <c r="B365" s="15" t="s">
        <v>690</v>
      </c>
      <c r="C365" s="12">
        <v>75</v>
      </c>
      <c r="D365" s="54">
        <f>'보험개발원 위험률'!D65+('보험개발원 위험률'!D66-'보험개발원 위험률'!D65)*(C365-'보험개발원 위험률'!C65)/('보험개발원 위험률'!C66-'보험개발원 위험률'!C65)</f>
        <v>7.2954999999999999E-3</v>
      </c>
      <c r="E365" s="54">
        <f>'보험개발원 위험률'!E65+('보험개발원 위험률'!E66-'보험개발원 위험률'!E65)*(C365-'보험개발원 위험률'!C65)/('보험개발원 위험률'!C66-'보험개발원 위험률'!C65)</f>
        <v>5.2989999999999999E-3</v>
      </c>
      <c r="F365" s="35" t="s">
        <v>699</v>
      </c>
      <c r="G365" s="35" t="s">
        <v>747</v>
      </c>
      <c r="H365" s="35" t="s">
        <v>689</v>
      </c>
      <c r="I365" s="35" t="s">
        <v>683</v>
      </c>
      <c r="J365" s="24" t="s">
        <v>685</v>
      </c>
    </row>
    <row r="366" spans="1:10">
      <c r="A366" s="15" t="s">
        <v>690</v>
      </c>
      <c r="B366" s="15" t="s">
        <v>690</v>
      </c>
      <c r="C366" s="12">
        <v>76</v>
      </c>
      <c r="D366" s="54">
        <f>'보험개발원 위험률'!D65+('보험개발원 위험률'!D66-'보험개발원 위험률'!D65)*(C366-'보험개발원 위험률'!C65)/('보험개발원 위험률'!C66-'보험개발원 위험률'!C65)</f>
        <v>7.6406E-3</v>
      </c>
      <c r="E366" s="54">
        <f>'보험개발원 위험률'!E65+('보험개발원 위험률'!E66-'보험개발원 위험률'!E65)*(C366-'보험개발원 위험률'!C65)/('보험개발원 위험률'!C66-'보험개발원 위험률'!C65)</f>
        <v>5.6413999999999995E-3</v>
      </c>
      <c r="F366" s="35" t="s">
        <v>699</v>
      </c>
      <c r="G366" s="35" t="s">
        <v>747</v>
      </c>
      <c r="H366" s="35" t="s">
        <v>689</v>
      </c>
      <c r="I366" s="35" t="s">
        <v>683</v>
      </c>
      <c r="J366" s="24" t="s">
        <v>685</v>
      </c>
    </row>
    <row r="367" spans="1:10">
      <c r="A367" s="15" t="s">
        <v>690</v>
      </c>
      <c r="B367" s="15" t="s">
        <v>690</v>
      </c>
      <c r="C367" s="12">
        <v>77</v>
      </c>
      <c r="D367" s="54">
        <f>'보험개발원 위험률'!D65+('보험개발원 위험률'!D66-'보험개발원 위험률'!D65)*(C367-'보험개발원 위험률'!C65)/('보험개발원 위험률'!C66-'보험개발원 위험률'!C65)</f>
        <v>7.9857000000000001E-3</v>
      </c>
      <c r="E367" s="54">
        <f>'보험개발원 위험률'!E65+('보험개발원 위험률'!E66-'보험개발원 위험률'!E65)*(C367-'보험개발원 위험률'!C65)/('보험개발원 위험률'!C66-'보험개발원 위험률'!C65)</f>
        <v>5.9838000000000001E-3</v>
      </c>
      <c r="F367" s="35" t="s">
        <v>699</v>
      </c>
      <c r="G367" s="35" t="s">
        <v>747</v>
      </c>
      <c r="H367" s="35" t="s">
        <v>689</v>
      </c>
      <c r="I367" s="35" t="s">
        <v>683</v>
      </c>
      <c r="J367" s="24" t="s">
        <v>685</v>
      </c>
    </row>
    <row r="368" spans="1:10">
      <c r="A368" s="15" t="s">
        <v>690</v>
      </c>
      <c r="B368" s="15" t="s">
        <v>690</v>
      </c>
      <c r="C368" s="12">
        <v>78</v>
      </c>
      <c r="D368" s="54">
        <f>'보험개발원 위험률'!D65+('보험개발원 위험률'!D66-'보험개발원 위험률'!D65)*(C368-'보험개발원 위험률'!C65)/('보험개발원 위험률'!C66-'보험개발원 위험률'!C65)</f>
        <v>8.3307999999999993E-3</v>
      </c>
      <c r="E368" s="54">
        <f>'보험개발원 위험률'!E65+('보험개발원 위험률'!E66-'보험개발원 위험률'!E65)*(C368-'보험개발원 위험률'!C65)/('보험개발원 위험률'!C66-'보험개발원 위험률'!C65)</f>
        <v>6.3261999999999997E-3</v>
      </c>
      <c r="F368" s="35" t="s">
        <v>699</v>
      </c>
      <c r="G368" s="35" t="s">
        <v>747</v>
      </c>
      <c r="H368" s="35" t="s">
        <v>689</v>
      </c>
      <c r="I368" s="35" t="s">
        <v>683</v>
      </c>
      <c r="J368" s="24" t="s">
        <v>685</v>
      </c>
    </row>
    <row r="369" spans="1:10">
      <c r="A369" s="15" t="s">
        <v>690</v>
      </c>
      <c r="B369" s="15" t="s">
        <v>690</v>
      </c>
      <c r="C369" s="12">
        <v>79</v>
      </c>
      <c r="D369" s="54">
        <f>'보험개발원 위험률'!D65+('보험개발원 위험률'!D66-'보험개발원 위험률'!D65)*(C369-'보험개발원 위험률'!C65)/('보험개발원 위험률'!C66-'보험개발원 위험률'!C65)</f>
        <v>8.6759000000000003E-3</v>
      </c>
      <c r="E369" s="54">
        <f>'보험개발원 위험률'!E65+('보험개발원 위험률'!E66-'보험개발원 위험률'!E65)*(C369-'보험개발원 위험률'!C65)/('보험개발원 위험률'!C66-'보험개발원 위험률'!C65)</f>
        <v>6.6686000000000002E-3</v>
      </c>
      <c r="F369" s="35" t="s">
        <v>699</v>
      </c>
      <c r="G369" s="35" t="s">
        <v>747</v>
      </c>
      <c r="H369" s="35" t="s">
        <v>689</v>
      </c>
      <c r="I369" s="35" t="s">
        <v>683</v>
      </c>
      <c r="J369" s="24" t="s">
        <v>685</v>
      </c>
    </row>
    <row r="370" spans="1:10">
      <c r="A370" s="15" t="s">
        <v>690</v>
      </c>
      <c r="B370" s="15" t="s">
        <v>690</v>
      </c>
      <c r="C370" s="12">
        <v>80</v>
      </c>
      <c r="D370" s="54">
        <f>'보험개발원 위험률'!D66</f>
        <v>9.0209999999999995E-3</v>
      </c>
      <c r="E370" s="54">
        <f>'보험개발원 위험률'!E66</f>
        <v>7.0109999999999999E-3</v>
      </c>
      <c r="F370" s="35" t="s">
        <v>697</v>
      </c>
      <c r="G370" s="35" t="s">
        <v>731</v>
      </c>
      <c r="H370" s="35" t="s">
        <v>689</v>
      </c>
      <c r="I370" s="35" t="s">
        <v>683</v>
      </c>
      <c r="J370" s="24" t="s">
        <v>685</v>
      </c>
    </row>
    <row r="371" spans="1:10">
      <c r="A371" s="15" t="s">
        <v>691</v>
      </c>
      <c r="B371" s="15" t="s">
        <v>691</v>
      </c>
      <c r="C371" s="12">
        <v>0</v>
      </c>
      <c r="D371" s="54">
        <f>'보험개발원 위험률'!D67</f>
        <v>1.9999999999999999E-6</v>
      </c>
      <c r="E371" s="54">
        <f>'보험개발원 위험률'!E67</f>
        <v>3.0000000000000001E-6</v>
      </c>
      <c r="F371" s="35" t="s">
        <v>697</v>
      </c>
      <c r="G371" s="35" t="s">
        <v>698</v>
      </c>
      <c r="H371" s="35" t="s">
        <v>689</v>
      </c>
      <c r="I371" s="35" t="s">
        <v>683</v>
      </c>
      <c r="J371" s="24" t="s">
        <v>685</v>
      </c>
    </row>
    <row r="372" spans="1:10">
      <c r="A372" s="15" t="s">
        <v>691</v>
      </c>
      <c r="B372" s="15" t="s">
        <v>691</v>
      </c>
      <c r="C372" s="12">
        <v>1</v>
      </c>
      <c r="D372" s="54">
        <f>'보험개발원 위험률'!D67+('보험개발원 위험률'!D68-'보험개발원 위험률'!D67)*(C372-'보험개발원 위험률'!C67)/('보험개발원 위험률'!C68-'보험개발원 위험률'!C67)</f>
        <v>2.0999999999999998E-6</v>
      </c>
      <c r="E372" s="54">
        <f>'보험개발원 위험률'!E67+('보험개발원 위험률'!E68-'보험개발원 위험률'!E67)*(C372-'보험개발원 위험률'!C67)/('보험개발원 위험률'!C68-'보험개발원 위험률'!C67)</f>
        <v>2.7999999999999999E-6</v>
      </c>
      <c r="F372" s="35" t="s">
        <v>699</v>
      </c>
      <c r="G372" s="35" t="s">
        <v>740</v>
      </c>
      <c r="H372" s="35" t="s">
        <v>689</v>
      </c>
      <c r="I372" s="35" t="s">
        <v>683</v>
      </c>
      <c r="J372" s="24" t="s">
        <v>685</v>
      </c>
    </row>
    <row r="373" spans="1:10">
      <c r="A373" s="15" t="s">
        <v>691</v>
      </c>
      <c r="B373" s="15" t="s">
        <v>691</v>
      </c>
      <c r="C373" s="12">
        <v>2</v>
      </c>
      <c r="D373" s="54">
        <f>'보험개발원 위험률'!D67+('보험개발원 위험률'!D68-'보험개발원 위험률'!D67)*(C373-'보험개발원 위험률'!C67)/('보험개발원 위험률'!C68-'보험개발원 위험률'!C67)</f>
        <v>2.2000000000000001E-6</v>
      </c>
      <c r="E373" s="54">
        <f>'보험개발원 위험률'!E67+('보험개발원 위험률'!E68-'보험개발원 위험률'!E67)*(C373-'보험개발원 위험률'!C67)/('보험개발원 위험률'!C68-'보험개발원 위험률'!C67)</f>
        <v>2.6000000000000001E-6</v>
      </c>
      <c r="F373" s="35" t="s">
        <v>699</v>
      </c>
      <c r="G373" s="35" t="s">
        <v>740</v>
      </c>
      <c r="H373" s="35" t="s">
        <v>689</v>
      </c>
      <c r="I373" s="35" t="s">
        <v>683</v>
      </c>
      <c r="J373" s="24" t="s">
        <v>685</v>
      </c>
    </row>
    <row r="374" spans="1:10">
      <c r="A374" s="15" t="s">
        <v>691</v>
      </c>
      <c r="B374" s="15" t="s">
        <v>691</v>
      </c>
      <c r="C374" s="12">
        <v>3</v>
      </c>
      <c r="D374" s="54">
        <f>'보험개발원 위험률'!D67+('보험개발원 위험률'!D68-'보험개발원 위험률'!D67)*(C374-'보험개발원 위험률'!C67)/('보험개발원 위험률'!C68-'보험개발원 위험률'!C67)</f>
        <v>2.3E-6</v>
      </c>
      <c r="E374" s="54">
        <f>'보험개발원 위험률'!E67+('보험개발원 위험률'!E68-'보험개발원 위험률'!E67)*(C374-'보험개발원 위험률'!C67)/('보험개발원 위험률'!C68-'보험개발원 위험률'!C67)</f>
        <v>2.3999999999999999E-6</v>
      </c>
      <c r="F374" s="35" t="s">
        <v>699</v>
      </c>
      <c r="G374" s="35" t="s">
        <v>740</v>
      </c>
      <c r="H374" s="35" t="s">
        <v>689</v>
      </c>
      <c r="I374" s="35" t="s">
        <v>683</v>
      </c>
      <c r="J374" s="24" t="s">
        <v>685</v>
      </c>
    </row>
    <row r="375" spans="1:10">
      <c r="A375" s="15" t="s">
        <v>691</v>
      </c>
      <c r="B375" s="15" t="s">
        <v>691</v>
      </c>
      <c r="C375" s="12">
        <v>4</v>
      </c>
      <c r="D375" s="54">
        <f>'보험개발원 위험률'!D67+('보험개발원 위험률'!D68-'보험개발원 위험률'!D67)*(C375-'보험개발원 위험률'!C67)/('보험개발원 위험률'!C68-'보험개발원 위험률'!C67)</f>
        <v>2.3999999999999999E-6</v>
      </c>
      <c r="E375" s="54">
        <f>'보험개발원 위험률'!E67+('보험개발원 위험률'!E68-'보험개발원 위험률'!E67)*(C375-'보험개발원 위험률'!C67)/('보험개발원 위험률'!C68-'보험개발원 위험률'!C67)</f>
        <v>2.2000000000000001E-6</v>
      </c>
      <c r="F375" s="35" t="s">
        <v>699</v>
      </c>
      <c r="G375" s="35" t="s">
        <v>740</v>
      </c>
      <c r="H375" s="35" t="s">
        <v>689</v>
      </c>
      <c r="I375" s="35" t="s">
        <v>683</v>
      </c>
      <c r="J375" s="24" t="s">
        <v>685</v>
      </c>
    </row>
    <row r="376" spans="1:10">
      <c r="A376" s="15" t="s">
        <v>691</v>
      </c>
      <c r="B376" s="15" t="s">
        <v>691</v>
      </c>
      <c r="C376" s="12">
        <v>5</v>
      </c>
      <c r="D376" s="54">
        <f>'보험개발원 위험률'!D67+('보험개발원 위험률'!D68-'보험개발원 위험률'!D67)*(C376-'보험개발원 위험률'!C67)/('보험개발원 위험률'!C68-'보험개발원 위험률'!C67)</f>
        <v>2.4999999999999998E-6</v>
      </c>
      <c r="E376" s="54">
        <f>'보험개발원 위험률'!E67+('보험개발원 위험률'!E68-'보험개발원 위험률'!E67)*(C376-'보험개발원 위험률'!C67)/('보험개발원 위험률'!C68-'보험개발원 위험률'!C67)</f>
        <v>1.9999999999999999E-6</v>
      </c>
      <c r="F376" s="35" t="s">
        <v>699</v>
      </c>
      <c r="G376" s="35" t="s">
        <v>740</v>
      </c>
      <c r="H376" s="35" t="s">
        <v>689</v>
      </c>
      <c r="I376" s="35" t="s">
        <v>683</v>
      </c>
      <c r="J376" s="24" t="s">
        <v>685</v>
      </c>
    </row>
    <row r="377" spans="1:10">
      <c r="A377" s="15" t="s">
        <v>691</v>
      </c>
      <c r="B377" s="15" t="s">
        <v>691</v>
      </c>
      <c r="C377" s="12">
        <v>6</v>
      </c>
      <c r="D377" s="54">
        <f>'보험개발원 위험률'!D67+('보험개발원 위험률'!D68-'보험개발원 위험률'!D67)*(C377-'보험개발원 위험률'!C67)/('보험개발원 위험률'!C68-'보험개발원 위험률'!C67)</f>
        <v>2.6000000000000001E-6</v>
      </c>
      <c r="E377" s="54">
        <f>'보험개발원 위험률'!E67+('보험개발원 위험률'!E68-'보험개발원 위험률'!E67)*(C377-'보험개발원 위험률'!C67)/('보험개발원 위험률'!C68-'보험개발원 위험률'!C67)</f>
        <v>1.7999999999999999E-6</v>
      </c>
      <c r="F377" s="35" t="s">
        <v>699</v>
      </c>
      <c r="G377" s="35" t="s">
        <v>740</v>
      </c>
      <c r="H377" s="35" t="s">
        <v>689</v>
      </c>
      <c r="I377" s="35" t="s">
        <v>683</v>
      </c>
      <c r="J377" s="24" t="s">
        <v>685</v>
      </c>
    </row>
    <row r="378" spans="1:10">
      <c r="A378" s="15" t="s">
        <v>691</v>
      </c>
      <c r="B378" s="15" t="s">
        <v>691</v>
      </c>
      <c r="C378" s="12">
        <v>7</v>
      </c>
      <c r="D378" s="54">
        <f>'보험개발원 위험률'!D67+('보험개발원 위험률'!D68-'보험개발원 위험률'!D67)*(C378-'보험개발원 위험률'!C67)/('보험개발원 위험률'!C68-'보험개발원 위험률'!C67)</f>
        <v>2.7E-6</v>
      </c>
      <c r="E378" s="54">
        <f>'보험개발원 위험률'!E67+('보험개발원 위험률'!E68-'보험개발원 위험률'!E67)*(C378-'보험개발원 위험률'!C67)/('보험개발원 위험률'!C68-'보험개발원 위험률'!C67)</f>
        <v>1.5999999999999999E-6</v>
      </c>
      <c r="F378" s="35" t="s">
        <v>699</v>
      </c>
      <c r="G378" s="35" t="s">
        <v>740</v>
      </c>
      <c r="H378" s="35" t="s">
        <v>689</v>
      </c>
      <c r="I378" s="35" t="s">
        <v>683</v>
      </c>
      <c r="J378" s="24" t="s">
        <v>685</v>
      </c>
    </row>
    <row r="379" spans="1:10">
      <c r="A379" s="15" t="s">
        <v>691</v>
      </c>
      <c r="B379" s="15" t="s">
        <v>691</v>
      </c>
      <c r="C379" s="12">
        <v>8</v>
      </c>
      <c r="D379" s="54">
        <f>'보험개발원 위험률'!D67+('보험개발원 위험률'!D68-'보험개발원 위험률'!D67)*(C379-'보험개발원 위험률'!C67)/('보험개발원 위험률'!C68-'보험개발원 위험률'!C67)</f>
        <v>2.8000000000000003E-6</v>
      </c>
      <c r="E379" s="54">
        <f>'보험개발원 위험률'!E67+('보험개발원 위험률'!E68-'보험개발원 위험률'!E67)*(C379-'보험개발원 위험률'!C67)/('보험개발원 위험률'!C68-'보험개발원 위험률'!C67)</f>
        <v>1.3999999999999997E-6</v>
      </c>
      <c r="F379" s="35" t="s">
        <v>699</v>
      </c>
      <c r="G379" s="35" t="s">
        <v>740</v>
      </c>
      <c r="H379" s="35" t="s">
        <v>689</v>
      </c>
      <c r="I379" s="35" t="s">
        <v>683</v>
      </c>
      <c r="J379" s="24" t="s">
        <v>685</v>
      </c>
    </row>
    <row r="380" spans="1:10">
      <c r="A380" s="15" t="s">
        <v>691</v>
      </c>
      <c r="B380" s="15" t="s">
        <v>691</v>
      </c>
      <c r="C380" s="12">
        <v>9</v>
      </c>
      <c r="D380" s="54">
        <f>'보험개발원 위험률'!D67+('보험개발원 위험률'!D68-'보험개발원 위험률'!D67)*(C380-'보험개발원 위험률'!C67)/('보험개발원 위험률'!C68-'보험개발원 위험률'!C67)</f>
        <v>2.9000000000000002E-6</v>
      </c>
      <c r="E380" s="54">
        <f>'보험개발원 위험률'!E67+('보험개발원 위험률'!E68-'보험개발원 위험률'!E67)*(C380-'보험개발원 위험률'!C67)/('보험개발원 위험률'!C68-'보험개발원 위험률'!C67)</f>
        <v>1.1999999999999997E-6</v>
      </c>
      <c r="F380" s="35" t="s">
        <v>699</v>
      </c>
      <c r="G380" s="35" t="s">
        <v>740</v>
      </c>
      <c r="H380" s="35" t="s">
        <v>689</v>
      </c>
      <c r="I380" s="35" t="s">
        <v>683</v>
      </c>
      <c r="J380" s="24" t="s">
        <v>685</v>
      </c>
    </row>
    <row r="381" spans="1:10">
      <c r="A381" s="15" t="s">
        <v>691</v>
      </c>
      <c r="B381" s="15" t="s">
        <v>691</v>
      </c>
      <c r="C381" s="12">
        <v>10</v>
      </c>
      <c r="D381" s="54">
        <f>'보험개발원 위험률'!D68</f>
        <v>3.0000000000000001E-6</v>
      </c>
      <c r="E381" s="54">
        <f>'보험개발원 위험률'!E68</f>
        <v>9.9999999999999995E-7</v>
      </c>
      <c r="F381" s="35" t="s">
        <v>697</v>
      </c>
      <c r="G381" s="35" t="s">
        <v>703</v>
      </c>
      <c r="H381" s="35" t="s">
        <v>689</v>
      </c>
      <c r="I381" s="35" t="s">
        <v>683</v>
      </c>
      <c r="J381" s="24" t="s">
        <v>685</v>
      </c>
    </row>
    <row r="382" spans="1:10">
      <c r="A382" s="15" t="s">
        <v>691</v>
      </c>
      <c r="B382" s="15" t="s">
        <v>691</v>
      </c>
      <c r="C382" s="12">
        <v>11</v>
      </c>
      <c r="D382" s="54">
        <f>'보험개발원 위험률'!D68+('보험개발원 위험률'!D69-'보험개발원 위험률'!D68)*(C382-'보험개발원 위험률'!C68)/('보험개발원 위험률'!C69-'보험개발원 위험률'!C68)</f>
        <v>4.9999999999999996E-6</v>
      </c>
      <c r="E382" s="54">
        <f>'보험개발원 위험률'!E68+('보험개발원 위험률'!E69-'보험개발원 위험률'!E68)*(C382-'보험개발원 위험률'!C68)/('보험개발원 위험률'!C69-'보험개발원 위험률'!C68)</f>
        <v>1.5999999999999999E-6</v>
      </c>
      <c r="F382" s="35" t="s">
        <v>699</v>
      </c>
      <c r="G382" s="35" t="s">
        <v>741</v>
      </c>
      <c r="H382" s="35" t="s">
        <v>689</v>
      </c>
      <c r="I382" s="35" t="s">
        <v>683</v>
      </c>
      <c r="J382" s="24" t="s">
        <v>685</v>
      </c>
    </row>
    <row r="383" spans="1:10">
      <c r="A383" s="15" t="s">
        <v>691</v>
      </c>
      <c r="B383" s="15" t="s">
        <v>691</v>
      </c>
      <c r="C383" s="12">
        <v>12</v>
      </c>
      <c r="D383" s="54">
        <f>'보험개발원 위험률'!D68+('보험개발원 위험률'!D69-'보험개발원 위험률'!D68)*(C383-'보험개발원 위험률'!C68)/('보험개발원 위험률'!C69-'보험개발원 위험률'!C68)</f>
        <v>6.9999999999999999E-6</v>
      </c>
      <c r="E383" s="54">
        <f>'보험개발원 위험률'!E68+('보험개발원 위험률'!E69-'보험개발원 위험률'!E68)*(C383-'보험개발원 위험률'!C68)/('보험개발원 위험률'!C69-'보험개발원 위험률'!C68)</f>
        <v>2.2000000000000001E-6</v>
      </c>
      <c r="F383" s="35" t="s">
        <v>699</v>
      </c>
      <c r="G383" s="35" t="s">
        <v>741</v>
      </c>
      <c r="H383" s="35" t="s">
        <v>689</v>
      </c>
      <c r="I383" s="35" t="s">
        <v>683</v>
      </c>
      <c r="J383" s="24" t="s">
        <v>685</v>
      </c>
    </row>
    <row r="384" spans="1:10">
      <c r="A384" s="15" t="s">
        <v>691</v>
      </c>
      <c r="B384" s="15" t="s">
        <v>691</v>
      </c>
      <c r="C384" s="12">
        <v>13</v>
      </c>
      <c r="D384" s="54">
        <f>'보험개발원 위험률'!D68+('보험개발원 위험률'!D69-'보험개발원 위험률'!D68)*(C384-'보험개발원 위험률'!C68)/('보험개발원 위험률'!C69-'보험개발원 위험률'!C68)</f>
        <v>8.9999999999999985E-6</v>
      </c>
      <c r="E384" s="54">
        <f>'보험개발원 위험률'!E68+('보험개발원 위험률'!E69-'보험개발원 위험률'!E68)*(C384-'보험개발원 위험률'!C68)/('보험개발원 위험률'!C69-'보험개발원 위험률'!C68)</f>
        <v>2.8000000000000003E-6</v>
      </c>
      <c r="F384" s="35" t="s">
        <v>699</v>
      </c>
      <c r="G384" s="35" t="s">
        <v>741</v>
      </c>
      <c r="H384" s="35" t="s">
        <v>689</v>
      </c>
      <c r="I384" s="35" t="s">
        <v>683</v>
      </c>
      <c r="J384" s="24" t="s">
        <v>685</v>
      </c>
    </row>
    <row r="385" spans="1:10">
      <c r="A385" s="15" t="s">
        <v>691</v>
      </c>
      <c r="B385" s="15" t="s">
        <v>691</v>
      </c>
      <c r="C385" s="12">
        <v>14</v>
      </c>
      <c r="D385" s="54">
        <f>'보험개발원 위험률'!D68+('보험개발원 위험률'!D69-'보험개발원 위험률'!D68)*(C385-'보험개발원 위험률'!C68)/('보험개발원 위험률'!C69-'보험개발원 위험률'!C68)</f>
        <v>1.1E-5</v>
      </c>
      <c r="E385" s="54">
        <f>'보험개발원 위험률'!E68+('보험개발원 위험률'!E69-'보험개발원 위험률'!E68)*(C385-'보험개발원 위험률'!C68)/('보험개발원 위험률'!C69-'보험개발원 위험률'!C68)</f>
        <v>3.3999999999999996E-6</v>
      </c>
      <c r="F385" s="35" t="s">
        <v>699</v>
      </c>
      <c r="G385" s="35" t="s">
        <v>741</v>
      </c>
      <c r="H385" s="35" t="s">
        <v>689</v>
      </c>
      <c r="I385" s="35" t="s">
        <v>683</v>
      </c>
      <c r="J385" s="24" t="s">
        <v>685</v>
      </c>
    </row>
    <row r="386" spans="1:10">
      <c r="A386" s="15" t="s">
        <v>691</v>
      </c>
      <c r="B386" s="15" t="s">
        <v>691</v>
      </c>
      <c r="C386" s="12">
        <v>15</v>
      </c>
      <c r="D386" s="54">
        <f>'보험개발원 위험률'!D68+('보험개발원 위험률'!D69-'보험개발원 위험률'!D68)*(C386-'보험개발원 위험률'!C68)/('보험개발원 위험률'!C69-'보험개발원 위험률'!C68)</f>
        <v>1.2999999999999999E-5</v>
      </c>
      <c r="E386" s="54">
        <f>'보험개발원 위험률'!E68+('보험개발원 위험률'!E69-'보험개발원 위험률'!E68)*(C386-'보험개발원 위험률'!C68)/('보험개발원 위험률'!C69-'보험개발원 위험률'!C68)</f>
        <v>3.9999999999999998E-6</v>
      </c>
      <c r="F386" s="35" t="s">
        <v>699</v>
      </c>
      <c r="G386" s="35" t="s">
        <v>741</v>
      </c>
      <c r="H386" s="35" t="s">
        <v>689</v>
      </c>
      <c r="I386" s="35" t="s">
        <v>683</v>
      </c>
      <c r="J386" s="24" t="s">
        <v>685</v>
      </c>
    </row>
    <row r="387" spans="1:10">
      <c r="A387" s="15" t="s">
        <v>691</v>
      </c>
      <c r="B387" s="15" t="s">
        <v>691</v>
      </c>
      <c r="C387" s="12">
        <v>16</v>
      </c>
      <c r="D387" s="54">
        <f>'보험개발원 위험률'!D68+('보험개발원 위험률'!D69-'보험개발원 위험률'!D68)*(C387-'보험개발원 위험률'!C68)/('보험개발원 위험률'!C69-'보험개발원 위험률'!C68)</f>
        <v>1.4999999999999999E-5</v>
      </c>
      <c r="E387" s="54">
        <f>'보험개발원 위험률'!E68+('보험개발원 위험률'!E69-'보험개발원 위험률'!E68)*(C387-'보험개발원 위험률'!C68)/('보험개발원 위험률'!C69-'보험개발원 위험률'!C68)</f>
        <v>4.6E-6</v>
      </c>
      <c r="F387" s="35" t="s">
        <v>699</v>
      </c>
      <c r="G387" s="35" t="s">
        <v>741</v>
      </c>
      <c r="H387" s="35" t="s">
        <v>689</v>
      </c>
      <c r="I387" s="35" t="s">
        <v>683</v>
      </c>
      <c r="J387" s="24" t="s">
        <v>685</v>
      </c>
    </row>
    <row r="388" spans="1:10">
      <c r="A388" s="15" t="s">
        <v>691</v>
      </c>
      <c r="B388" s="15" t="s">
        <v>691</v>
      </c>
      <c r="C388" s="12">
        <v>17</v>
      </c>
      <c r="D388" s="54">
        <f>'보험개발원 위험률'!D68+('보험개발원 위험률'!D69-'보험개발원 위험률'!D68)*(C388-'보험개발원 위험률'!C68)/('보험개발원 위험률'!C69-'보험개발원 위험률'!C68)</f>
        <v>1.7E-5</v>
      </c>
      <c r="E388" s="54">
        <f>'보험개발원 위험률'!E68+('보험개발원 위험률'!E69-'보험개발원 위험률'!E68)*(C388-'보험개발원 위험률'!C68)/('보험개발원 위험률'!C69-'보험개발원 위험률'!C68)</f>
        <v>5.2000000000000002E-6</v>
      </c>
      <c r="F388" s="35" t="s">
        <v>699</v>
      </c>
      <c r="G388" s="35" t="s">
        <v>741</v>
      </c>
      <c r="H388" s="35" t="s">
        <v>689</v>
      </c>
      <c r="I388" s="35" t="s">
        <v>683</v>
      </c>
      <c r="J388" s="24" t="s">
        <v>685</v>
      </c>
    </row>
    <row r="389" spans="1:10">
      <c r="A389" s="15" t="s">
        <v>691</v>
      </c>
      <c r="B389" s="15" t="s">
        <v>691</v>
      </c>
      <c r="C389" s="12">
        <v>18</v>
      </c>
      <c r="D389" s="54">
        <f>'보험개발원 위험률'!D68+('보험개발원 위험률'!D69-'보험개발원 위험률'!D68)*(C389-'보험개발원 위험률'!C68)/('보험개발원 위험률'!C69-'보험개발원 위험률'!C68)</f>
        <v>1.9000000000000001E-5</v>
      </c>
      <c r="E389" s="54">
        <f>'보험개발원 위험률'!E68+('보험개발원 위험률'!E69-'보험개발원 위험률'!E68)*(C389-'보험개발원 위험률'!C68)/('보험개발원 위험률'!C69-'보험개발원 위험률'!C68)</f>
        <v>5.7999999999999995E-6</v>
      </c>
      <c r="F389" s="35" t="s">
        <v>699</v>
      </c>
      <c r="G389" s="35" t="s">
        <v>741</v>
      </c>
      <c r="H389" s="35" t="s">
        <v>689</v>
      </c>
      <c r="I389" s="35" t="s">
        <v>683</v>
      </c>
      <c r="J389" s="24" t="s">
        <v>685</v>
      </c>
    </row>
    <row r="390" spans="1:10">
      <c r="A390" s="15" t="s">
        <v>691</v>
      </c>
      <c r="B390" s="15" t="s">
        <v>691</v>
      </c>
      <c r="C390" s="12">
        <v>19</v>
      </c>
      <c r="D390" s="54">
        <f>'보험개발원 위험률'!D68+('보험개발원 위험률'!D69-'보험개발원 위험률'!D68)*(C390-'보험개발원 위험률'!C68)/('보험개발원 위험률'!C69-'보험개발원 위험률'!C68)</f>
        <v>2.0999999999999995E-5</v>
      </c>
      <c r="E390" s="54">
        <f>'보험개발원 위험률'!E68+('보험개발원 위험률'!E69-'보험개발원 위험률'!E68)*(C390-'보험개발원 위험률'!C68)/('보험개발원 위험률'!C69-'보험개발원 위험률'!C68)</f>
        <v>6.3999999999999997E-6</v>
      </c>
      <c r="F390" s="35" t="s">
        <v>699</v>
      </c>
      <c r="G390" s="35" t="s">
        <v>741</v>
      </c>
      <c r="H390" s="35" t="s">
        <v>689</v>
      </c>
      <c r="I390" s="35" t="s">
        <v>683</v>
      </c>
      <c r="J390" s="24" t="s">
        <v>685</v>
      </c>
    </row>
    <row r="391" spans="1:10">
      <c r="A391" s="15" t="s">
        <v>691</v>
      </c>
      <c r="B391" s="15" t="s">
        <v>691</v>
      </c>
      <c r="C391" s="12">
        <v>20</v>
      </c>
      <c r="D391" s="54">
        <f>'보험개발원 위험률'!D69</f>
        <v>2.3E-5</v>
      </c>
      <c r="E391" s="54">
        <f>'보험개발원 위험률'!E69</f>
        <v>6.9999999999999999E-6</v>
      </c>
      <c r="F391" s="35" t="s">
        <v>697</v>
      </c>
      <c r="G391" s="35" t="s">
        <v>707</v>
      </c>
      <c r="H391" s="35" t="s">
        <v>689</v>
      </c>
      <c r="I391" s="35" t="s">
        <v>683</v>
      </c>
      <c r="J391" s="24" t="s">
        <v>685</v>
      </c>
    </row>
    <row r="392" spans="1:10">
      <c r="A392" s="15" t="s">
        <v>691</v>
      </c>
      <c r="B392" s="15" t="s">
        <v>691</v>
      </c>
      <c r="C392" s="12">
        <v>21</v>
      </c>
      <c r="D392" s="54">
        <f>'보험개발원 위험률'!D69+('보험개발원 위험률'!D70-'보험개발원 위험률'!D69)*(C392-'보험개발원 위험률'!C69)/('보험개발원 위험률'!C70-'보험개발원 위험률'!C69)</f>
        <v>2.8800000000000002E-5</v>
      </c>
      <c r="E392" s="54">
        <f>'보험개발원 위험률'!E69+('보험개발원 위험률'!E70-'보험개발원 위험률'!E69)*(C392-'보험개발원 위험률'!C69)/('보험개발원 위험률'!C70-'보험개발원 위험률'!C69)</f>
        <v>8.1000000000000004E-6</v>
      </c>
      <c r="F392" s="35" t="s">
        <v>699</v>
      </c>
      <c r="G392" s="35" t="s">
        <v>742</v>
      </c>
      <c r="H392" s="35" t="s">
        <v>689</v>
      </c>
      <c r="I392" s="35" t="s">
        <v>683</v>
      </c>
      <c r="J392" s="24" t="s">
        <v>685</v>
      </c>
    </row>
    <row r="393" spans="1:10">
      <c r="A393" s="15" t="s">
        <v>691</v>
      </c>
      <c r="B393" s="15" t="s">
        <v>691</v>
      </c>
      <c r="C393" s="12">
        <v>22</v>
      </c>
      <c r="D393" s="54">
        <f>'보험개발원 위험률'!D69+('보험개발원 위험률'!D70-'보험개발원 위험률'!D69)*(C393-'보험개발원 위험률'!C69)/('보험개발원 위험률'!C70-'보험개발원 위험률'!C69)</f>
        <v>3.4600000000000001E-5</v>
      </c>
      <c r="E393" s="54">
        <f>'보험개발원 위험률'!E69+('보험개발원 위험률'!E70-'보험개발원 위험률'!E69)*(C393-'보험개발원 위험률'!C69)/('보험개발원 위험률'!C70-'보험개발원 위험률'!C69)</f>
        <v>9.2E-6</v>
      </c>
      <c r="F393" s="35" t="s">
        <v>699</v>
      </c>
      <c r="G393" s="35" t="s">
        <v>742</v>
      </c>
      <c r="H393" s="35" t="s">
        <v>689</v>
      </c>
      <c r="I393" s="35" t="s">
        <v>683</v>
      </c>
      <c r="J393" s="24" t="s">
        <v>685</v>
      </c>
    </row>
    <row r="394" spans="1:10">
      <c r="A394" s="15" t="s">
        <v>691</v>
      </c>
      <c r="B394" s="15" t="s">
        <v>691</v>
      </c>
      <c r="C394" s="12">
        <v>23</v>
      </c>
      <c r="D394" s="54">
        <f>'보험개발원 위험률'!D69+('보험개발원 위험률'!D70-'보험개발원 위험률'!D69)*(C394-'보험개발원 위험률'!C69)/('보험개발원 위험률'!C70-'보험개발원 위험률'!C69)</f>
        <v>4.0399999999999999E-5</v>
      </c>
      <c r="E394" s="54">
        <f>'보험개발원 위험률'!E69+('보험개발원 위험률'!E70-'보험개발원 위험률'!E69)*(C394-'보험개발원 위험률'!C69)/('보험개발원 위험률'!C70-'보험개발원 위험률'!C69)</f>
        <v>1.03E-5</v>
      </c>
      <c r="F394" s="35" t="s">
        <v>699</v>
      </c>
      <c r="G394" s="35" t="s">
        <v>742</v>
      </c>
      <c r="H394" s="35" t="s">
        <v>689</v>
      </c>
      <c r="I394" s="35" t="s">
        <v>683</v>
      </c>
      <c r="J394" s="24" t="s">
        <v>685</v>
      </c>
    </row>
    <row r="395" spans="1:10">
      <c r="A395" s="15" t="s">
        <v>691</v>
      </c>
      <c r="B395" s="15" t="s">
        <v>691</v>
      </c>
      <c r="C395" s="12">
        <v>24</v>
      </c>
      <c r="D395" s="54">
        <f>'보험개발원 위험률'!D69+('보험개발원 위험률'!D70-'보험개발원 위험률'!D69)*(C395-'보험개발원 위험률'!C69)/('보험개발원 위험률'!C70-'보험개발원 위험률'!C69)</f>
        <v>4.6199999999999998E-5</v>
      </c>
      <c r="E395" s="54">
        <f>'보험개발원 위험률'!E69+('보험개발원 위험률'!E70-'보험개발원 위험률'!E69)*(C395-'보험개발원 위험률'!C69)/('보험개발원 위험률'!C70-'보험개발원 위험률'!C69)</f>
        <v>1.1399999999999999E-5</v>
      </c>
      <c r="F395" s="35" t="s">
        <v>699</v>
      </c>
      <c r="G395" s="35" t="s">
        <v>742</v>
      </c>
      <c r="H395" s="35" t="s">
        <v>689</v>
      </c>
      <c r="I395" s="35" t="s">
        <v>683</v>
      </c>
      <c r="J395" s="24" t="s">
        <v>685</v>
      </c>
    </row>
    <row r="396" spans="1:10">
      <c r="A396" s="15" t="s">
        <v>691</v>
      </c>
      <c r="B396" s="15" t="s">
        <v>691</v>
      </c>
      <c r="C396" s="12">
        <v>25</v>
      </c>
      <c r="D396" s="54">
        <f>'보험개발원 위험률'!D69+('보험개발원 위험률'!D70-'보험개발원 위험률'!D69)*(C396-'보험개발원 위험률'!C69)/('보험개발원 위험률'!C70-'보험개발원 위험률'!C69)</f>
        <v>5.2000000000000004E-5</v>
      </c>
      <c r="E396" s="54">
        <f>'보험개발원 위험률'!E69+('보험개발원 위험률'!E70-'보험개발원 위험률'!E69)*(C396-'보험개발원 위험률'!C69)/('보험개발원 위험률'!C70-'보험개발원 위험률'!C69)</f>
        <v>1.2499999999999999E-5</v>
      </c>
      <c r="F396" s="35" t="s">
        <v>699</v>
      </c>
      <c r="G396" s="35" t="s">
        <v>742</v>
      </c>
      <c r="H396" s="35" t="s">
        <v>689</v>
      </c>
      <c r="I396" s="35" t="s">
        <v>683</v>
      </c>
      <c r="J396" s="24" t="s">
        <v>685</v>
      </c>
    </row>
    <row r="397" spans="1:10">
      <c r="A397" s="15" t="s">
        <v>691</v>
      </c>
      <c r="B397" s="15" t="s">
        <v>691</v>
      </c>
      <c r="C397" s="12">
        <v>26</v>
      </c>
      <c r="D397" s="54">
        <f>'보험개발원 위험률'!D69+('보험개발원 위험률'!D70-'보험개발원 위험률'!D69)*(C397-'보험개발원 위험률'!C69)/('보험개발원 위험률'!C70-'보험개발원 위험률'!C69)</f>
        <v>5.7799999999999995E-5</v>
      </c>
      <c r="E397" s="54">
        <f>'보험개발원 위험률'!E69+('보험개발원 위험률'!E70-'보험개발원 위험률'!E69)*(C397-'보험개발원 위험률'!C69)/('보험개발원 위험률'!C70-'보험개발원 위험률'!C69)</f>
        <v>1.36E-5</v>
      </c>
      <c r="F397" s="35" t="s">
        <v>699</v>
      </c>
      <c r="G397" s="35" t="s">
        <v>742</v>
      </c>
      <c r="H397" s="35" t="s">
        <v>689</v>
      </c>
      <c r="I397" s="35" t="s">
        <v>683</v>
      </c>
      <c r="J397" s="24" t="s">
        <v>685</v>
      </c>
    </row>
    <row r="398" spans="1:10">
      <c r="A398" s="15" t="s">
        <v>691</v>
      </c>
      <c r="B398" s="15" t="s">
        <v>691</v>
      </c>
      <c r="C398" s="12">
        <v>27</v>
      </c>
      <c r="D398" s="54">
        <f>'보험개발원 위험률'!D69+('보험개발원 위험률'!D70-'보험개발원 위험률'!D69)*(C398-'보험개발원 위험률'!C69)/('보험개발원 위험률'!C70-'보험개발원 위험률'!C69)</f>
        <v>6.3600000000000001E-5</v>
      </c>
      <c r="E398" s="54">
        <f>'보험개발원 위험률'!E69+('보험개발원 위험률'!E70-'보험개발원 위험률'!E69)*(C398-'보험개발원 위험률'!C69)/('보험개발원 위험률'!C70-'보험개발원 위험률'!C69)</f>
        <v>1.4700000000000002E-5</v>
      </c>
      <c r="F398" s="35" t="s">
        <v>699</v>
      </c>
      <c r="G398" s="35" t="s">
        <v>742</v>
      </c>
      <c r="H398" s="35" t="s">
        <v>689</v>
      </c>
      <c r="I398" s="35" t="s">
        <v>683</v>
      </c>
      <c r="J398" s="24" t="s">
        <v>685</v>
      </c>
    </row>
    <row r="399" spans="1:10">
      <c r="A399" s="15" t="s">
        <v>691</v>
      </c>
      <c r="B399" s="15" t="s">
        <v>691</v>
      </c>
      <c r="C399" s="12">
        <v>28</v>
      </c>
      <c r="D399" s="54">
        <f>'보험개발원 위험률'!D69+('보험개발원 위험률'!D70-'보험개발원 위험률'!D69)*(C399-'보험개발원 위험률'!C69)/('보험개발원 위험률'!C70-'보험개발원 위험률'!C69)</f>
        <v>6.9400000000000006E-5</v>
      </c>
      <c r="E399" s="54">
        <f>'보험개발원 위험률'!E69+('보험개발원 위험률'!E70-'보험개발원 위험률'!E69)*(C399-'보험개발원 위험률'!C69)/('보험개발원 위험률'!C70-'보험개발원 위험률'!C69)</f>
        <v>1.5800000000000001E-5</v>
      </c>
      <c r="F399" s="35" t="s">
        <v>699</v>
      </c>
      <c r="G399" s="35" t="s">
        <v>742</v>
      </c>
      <c r="H399" s="35" t="s">
        <v>689</v>
      </c>
      <c r="I399" s="35" t="s">
        <v>683</v>
      </c>
      <c r="J399" s="24" t="s">
        <v>685</v>
      </c>
    </row>
    <row r="400" spans="1:10">
      <c r="A400" s="15" t="s">
        <v>691</v>
      </c>
      <c r="B400" s="15" t="s">
        <v>691</v>
      </c>
      <c r="C400" s="12">
        <v>29</v>
      </c>
      <c r="D400" s="54">
        <f>'보험개발원 위험률'!D69+('보험개발원 위험률'!D70-'보험개발원 위험률'!D69)*(C400-'보험개발원 위험률'!C69)/('보험개발원 위험률'!C70-'보험개발원 위험률'!C69)</f>
        <v>7.5199999999999998E-5</v>
      </c>
      <c r="E400" s="54">
        <f>'보험개발원 위험률'!E69+('보험개발원 위험률'!E70-'보험개발원 위험률'!E69)*(C400-'보험개발원 위험률'!C69)/('보험개발원 위험률'!C70-'보험개발원 위험률'!C69)</f>
        <v>1.6900000000000001E-5</v>
      </c>
      <c r="F400" s="35" t="s">
        <v>699</v>
      </c>
      <c r="G400" s="35" t="s">
        <v>742</v>
      </c>
      <c r="H400" s="35" t="s">
        <v>689</v>
      </c>
      <c r="I400" s="35" t="s">
        <v>683</v>
      </c>
      <c r="J400" s="24" t="s">
        <v>685</v>
      </c>
    </row>
    <row r="401" spans="1:10">
      <c r="A401" s="15" t="s">
        <v>691</v>
      </c>
      <c r="B401" s="15" t="s">
        <v>691</v>
      </c>
      <c r="C401" s="12">
        <v>30</v>
      </c>
      <c r="D401" s="54">
        <f>'보험개발원 위험률'!D70</f>
        <v>8.1000000000000004E-5</v>
      </c>
      <c r="E401" s="54">
        <f>'보험개발원 위험률'!E70</f>
        <v>1.8E-5</v>
      </c>
      <c r="F401" s="35" t="s">
        <v>697</v>
      </c>
      <c r="G401" s="35" t="s">
        <v>711</v>
      </c>
      <c r="H401" s="35" t="s">
        <v>689</v>
      </c>
      <c r="I401" s="35" t="s">
        <v>683</v>
      </c>
      <c r="J401" s="24" t="s">
        <v>685</v>
      </c>
    </row>
    <row r="402" spans="1:10">
      <c r="A402" s="15" t="s">
        <v>691</v>
      </c>
      <c r="B402" s="15" t="s">
        <v>691</v>
      </c>
      <c r="C402" s="12">
        <v>31</v>
      </c>
      <c r="D402" s="54">
        <f>'보험개발원 위험률'!D70+('보험개발원 위험률'!D71-'보험개발원 위험률'!D70)*(C402-'보험개발원 위험률'!C70)/('보험개발원 위험률'!C71-'보험개발원 위험률'!C70)</f>
        <v>1.0669999999999999E-4</v>
      </c>
      <c r="E402" s="54">
        <f>'보험개발원 위험률'!E70+('보험개발원 위험률'!E71-'보험개발원 위험률'!E70)*(C402-'보험개발원 위험률'!C70)/('보험개발원 위험률'!C71-'보험개발원 위험률'!C70)</f>
        <v>2.0100000000000001E-5</v>
      </c>
      <c r="F402" s="35" t="s">
        <v>699</v>
      </c>
      <c r="G402" s="35" t="s">
        <v>743</v>
      </c>
      <c r="H402" s="35" t="s">
        <v>689</v>
      </c>
      <c r="I402" s="35" t="s">
        <v>683</v>
      </c>
      <c r="J402" s="24" t="s">
        <v>685</v>
      </c>
    </row>
    <row r="403" spans="1:10">
      <c r="A403" s="15" t="s">
        <v>691</v>
      </c>
      <c r="B403" s="15" t="s">
        <v>691</v>
      </c>
      <c r="C403" s="12">
        <v>32</v>
      </c>
      <c r="D403" s="54">
        <f>'보험개발원 위험률'!D70+('보험개발원 위험률'!D71-'보험개발원 위험률'!D70)*(C403-'보험개발원 위험률'!C70)/('보험개발원 위험률'!C71-'보험개발원 위험률'!C70)</f>
        <v>1.3239999999999999E-4</v>
      </c>
      <c r="E403" s="54">
        <f>'보험개발원 위험률'!E70+('보험개발원 위험률'!E71-'보험개발원 위험률'!E70)*(C403-'보험개발원 위험률'!C70)/('보험개발원 위험률'!C71-'보험개발원 위험률'!C70)</f>
        <v>2.2200000000000001E-5</v>
      </c>
      <c r="F403" s="35" t="s">
        <v>699</v>
      </c>
      <c r="G403" s="35" t="s">
        <v>743</v>
      </c>
      <c r="H403" s="35" t="s">
        <v>689</v>
      </c>
      <c r="I403" s="35" t="s">
        <v>683</v>
      </c>
      <c r="J403" s="24" t="s">
        <v>685</v>
      </c>
    </row>
    <row r="404" spans="1:10">
      <c r="A404" s="15" t="s">
        <v>691</v>
      </c>
      <c r="B404" s="15" t="s">
        <v>691</v>
      </c>
      <c r="C404" s="12">
        <v>33</v>
      </c>
      <c r="D404" s="54">
        <f>'보험개발원 위험률'!D70+('보험개발원 위험률'!D71-'보험개발원 위험률'!D70)*(C404-'보험개발원 위험률'!C70)/('보험개발원 위험률'!C71-'보험개발원 위험률'!C70)</f>
        <v>1.5809999999999999E-4</v>
      </c>
      <c r="E404" s="54">
        <f>'보험개발원 위험률'!E70+('보험개발원 위험률'!E71-'보험개발원 위험률'!E70)*(C404-'보험개발원 위험률'!C70)/('보험개발원 위험률'!C71-'보험개발원 위험률'!C70)</f>
        <v>2.4300000000000001E-5</v>
      </c>
      <c r="F404" s="35" t="s">
        <v>699</v>
      </c>
      <c r="G404" s="35" t="s">
        <v>743</v>
      </c>
      <c r="H404" s="35" t="s">
        <v>689</v>
      </c>
      <c r="I404" s="35" t="s">
        <v>683</v>
      </c>
      <c r="J404" s="24" t="s">
        <v>685</v>
      </c>
    </row>
    <row r="405" spans="1:10">
      <c r="A405" s="15" t="s">
        <v>691</v>
      </c>
      <c r="B405" s="15" t="s">
        <v>691</v>
      </c>
      <c r="C405" s="12">
        <v>34</v>
      </c>
      <c r="D405" s="54">
        <f>'보험개발원 위험률'!D70+('보험개발원 위험률'!D71-'보험개발원 위험률'!D70)*(C405-'보험개발원 위험률'!C70)/('보험개발원 위험률'!C71-'보험개발원 위험률'!C70)</f>
        <v>1.8379999999999997E-4</v>
      </c>
      <c r="E405" s="54">
        <f>'보험개발원 위험률'!E70+('보험개발원 위험률'!E71-'보험개발원 위험률'!E70)*(C405-'보험개발원 위험률'!C70)/('보험개발원 위험률'!C71-'보험개발원 위험률'!C70)</f>
        <v>2.6399999999999998E-5</v>
      </c>
      <c r="F405" s="35" t="s">
        <v>699</v>
      </c>
      <c r="G405" s="35" t="s">
        <v>743</v>
      </c>
      <c r="H405" s="35" t="s">
        <v>689</v>
      </c>
      <c r="I405" s="35" t="s">
        <v>683</v>
      </c>
      <c r="J405" s="24" t="s">
        <v>685</v>
      </c>
    </row>
    <row r="406" spans="1:10">
      <c r="A406" s="15" t="s">
        <v>691</v>
      </c>
      <c r="B406" s="15" t="s">
        <v>691</v>
      </c>
      <c r="C406" s="12">
        <v>35</v>
      </c>
      <c r="D406" s="54">
        <f>'보험개발원 위험률'!D70+('보험개발원 위험률'!D71-'보험개발원 위험률'!D70)*(C406-'보험개발원 위험률'!C70)/('보험개발원 위험률'!C71-'보험개발원 위험률'!C70)</f>
        <v>2.095E-4</v>
      </c>
      <c r="E406" s="54">
        <f>'보험개발원 위험률'!E70+('보험개발원 위험률'!E71-'보험개발원 위험률'!E70)*(C406-'보험개발원 위험률'!C70)/('보험개발원 위험률'!C71-'보험개발원 위험률'!C70)</f>
        <v>2.8500000000000002E-5</v>
      </c>
      <c r="F406" s="35" t="s">
        <v>699</v>
      </c>
      <c r="G406" s="35" t="s">
        <v>743</v>
      </c>
      <c r="H406" s="35" t="s">
        <v>689</v>
      </c>
      <c r="I406" s="35" t="s">
        <v>683</v>
      </c>
      <c r="J406" s="24" t="s">
        <v>685</v>
      </c>
    </row>
    <row r="407" spans="1:10">
      <c r="A407" s="15" t="s">
        <v>691</v>
      </c>
      <c r="B407" s="15" t="s">
        <v>691</v>
      </c>
      <c r="C407" s="12">
        <v>36</v>
      </c>
      <c r="D407" s="54">
        <f>'보험개발원 위험률'!D70+('보험개발원 위험률'!D71-'보험개발원 위험률'!D70)*(C407-'보험개발원 위험률'!C70)/('보험개발원 위험률'!C71-'보험개발원 위험률'!C70)</f>
        <v>2.3519999999999997E-4</v>
      </c>
      <c r="E407" s="54">
        <f>'보험개발원 위험률'!E70+('보험개발원 위험률'!E71-'보험개발원 위험률'!E70)*(C407-'보험개발원 위험률'!C70)/('보험개발원 위험률'!C71-'보험개발원 위험률'!C70)</f>
        <v>3.0599999999999998E-5</v>
      </c>
      <c r="F407" s="35" t="s">
        <v>699</v>
      </c>
      <c r="G407" s="35" t="s">
        <v>743</v>
      </c>
      <c r="H407" s="35" t="s">
        <v>689</v>
      </c>
      <c r="I407" s="35" t="s">
        <v>683</v>
      </c>
      <c r="J407" s="24" t="s">
        <v>685</v>
      </c>
    </row>
    <row r="408" spans="1:10">
      <c r="A408" s="15" t="s">
        <v>691</v>
      </c>
      <c r="B408" s="15" t="s">
        <v>691</v>
      </c>
      <c r="C408" s="12">
        <v>37</v>
      </c>
      <c r="D408" s="54">
        <f>'보험개발원 위험률'!D70+('보험개발원 위험률'!D71-'보험개발원 위험률'!D70)*(C408-'보험개발원 위험률'!C70)/('보험개발원 위험률'!C71-'보험개발원 위험률'!C70)</f>
        <v>2.609E-4</v>
      </c>
      <c r="E408" s="54">
        <f>'보험개발원 위험률'!E70+('보험개발원 위험률'!E71-'보험개발원 위험률'!E70)*(C408-'보험개발원 위험률'!C70)/('보험개발원 위험률'!C71-'보험개발원 위험률'!C70)</f>
        <v>3.2700000000000002E-5</v>
      </c>
      <c r="F408" s="35" t="s">
        <v>699</v>
      </c>
      <c r="G408" s="35" t="s">
        <v>743</v>
      </c>
      <c r="H408" s="35" t="s">
        <v>689</v>
      </c>
      <c r="I408" s="35" t="s">
        <v>683</v>
      </c>
      <c r="J408" s="24" t="s">
        <v>685</v>
      </c>
    </row>
    <row r="409" spans="1:10">
      <c r="A409" s="15" t="s">
        <v>691</v>
      </c>
      <c r="B409" s="15" t="s">
        <v>691</v>
      </c>
      <c r="C409" s="12">
        <v>38</v>
      </c>
      <c r="D409" s="54">
        <f>'보험개발원 위험률'!D70+('보험개발원 위험률'!D71-'보험개발원 위험률'!D70)*(C409-'보험개발원 위험률'!C70)/('보험개발원 위험률'!C71-'보험개발원 위험률'!C70)</f>
        <v>2.8659999999999997E-4</v>
      </c>
      <c r="E409" s="54">
        <f>'보험개발원 위험률'!E70+('보험개발원 위험률'!E71-'보험개발원 위험률'!E70)*(C409-'보험개발원 위험률'!C70)/('보험개발원 위험률'!C71-'보험개발원 위험률'!C70)</f>
        <v>3.4799999999999999E-5</v>
      </c>
      <c r="F409" s="35" t="s">
        <v>699</v>
      </c>
      <c r="G409" s="35" t="s">
        <v>743</v>
      </c>
      <c r="H409" s="35" t="s">
        <v>689</v>
      </c>
      <c r="I409" s="35" t="s">
        <v>683</v>
      </c>
      <c r="J409" s="24" t="s">
        <v>685</v>
      </c>
    </row>
    <row r="410" spans="1:10">
      <c r="A410" s="15" t="s">
        <v>691</v>
      </c>
      <c r="B410" s="15" t="s">
        <v>691</v>
      </c>
      <c r="C410" s="12">
        <v>39</v>
      </c>
      <c r="D410" s="54">
        <f>'보험개발원 위험률'!D70+('보험개발원 위험률'!D71-'보험개발원 위험률'!D70)*(C410-'보험개발원 위험률'!C70)/('보험개발원 위험률'!C71-'보험개발원 위험률'!C70)</f>
        <v>3.1229999999999995E-4</v>
      </c>
      <c r="E410" s="54">
        <f>'보험개발원 위험률'!E70+('보험개발원 위험률'!E71-'보험개발원 위험률'!E70)*(C410-'보험개발원 위험률'!C70)/('보험개발원 위험률'!C71-'보험개발원 위험률'!C70)</f>
        <v>3.6900000000000002E-5</v>
      </c>
      <c r="F410" s="35" t="s">
        <v>699</v>
      </c>
      <c r="G410" s="35" t="s">
        <v>743</v>
      </c>
      <c r="H410" s="35" t="s">
        <v>689</v>
      </c>
      <c r="I410" s="35" t="s">
        <v>683</v>
      </c>
      <c r="J410" s="24" t="s">
        <v>685</v>
      </c>
    </row>
    <row r="411" spans="1:10">
      <c r="A411" s="15" t="s">
        <v>691</v>
      </c>
      <c r="B411" s="15" t="s">
        <v>691</v>
      </c>
      <c r="C411" s="12">
        <v>40</v>
      </c>
      <c r="D411" s="54">
        <f>'보험개발원 위험률'!D71</f>
        <v>3.3799999999999998E-4</v>
      </c>
      <c r="E411" s="54">
        <f>'보험개발원 위험률'!E71</f>
        <v>3.8999999999999999E-5</v>
      </c>
      <c r="F411" s="35" t="s">
        <v>697</v>
      </c>
      <c r="G411" s="35" t="s">
        <v>715</v>
      </c>
      <c r="H411" s="35" t="s">
        <v>689</v>
      </c>
      <c r="I411" s="35" t="s">
        <v>683</v>
      </c>
      <c r="J411" s="24" t="s">
        <v>685</v>
      </c>
    </row>
    <row r="412" spans="1:10">
      <c r="A412" s="15" t="s">
        <v>691</v>
      </c>
      <c r="B412" s="15" t="s">
        <v>691</v>
      </c>
      <c r="C412" s="12">
        <v>41</v>
      </c>
      <c r="D412" s="54">
        <f>'보험개발원 위험률'!D71+('보험개발원 위험률'!D72-'보험개발원 위험률'!D71)*(C412-'보험개발원 위험률'!C71)/('보험개발원 위험률'!C72-'보험개발원 위험률'!C71)</f>
        <v>3.8699999999999997E-4</v>
      </c>
      <c r="E412" s="54">
        <f>'보험개발원 위험률'!E71+('보험개발원 위험률'!E72-'보험개발원 위험률'!E71)*(C412-'보험개발원 위험률'!C71)/('보험개발원 위험률'!C72-'보험개발원 위험률'!C71)</f>
        <v>4.4499999999999997E-5</v>
      </c>
      <c r="F412" s="35" t="s">
        <v>699</v>
      </c>
      <c r="G412" s="35" t="s">
        <v>744</v>
      </c>
      <c r="H412" s="35" t="s">
        <v>689</v>
      </c>
      <c r="I412" s="35" t="s">
        <v>683</v>
      </c>
      <c r="J412" s="24" t="s">
        <v>685</v>
      </c>
    </row>
    <row r="413" spans="1:10">
      <c r="A413" s="15" t="s">
        <v>691</v>
      </c>
      <c r="B413" s="15" t="s">
        <v>691</v>
      </c>
      <c r="C413" s="12">
        <v>42</v>
      </c>
      <c r="D413" s="54">
        <f>'보험개발원 위험률'!D71+('보험개발원 위험률'!D72-'보험개발원 위험률'!D71)*(C413-'보험개발원 위험률'!C71)/('보험개발원 위험률'!C72-'보험개발원 위험률'!C71)</f>
        <v>4.3599999999999997E-4</v>
      </c>
      <c r="E413" s="54">
        <f>'보험개발원 위험률'!E71+('보험개발원 위험률'!E72-'보험개발원 위험률'!E71)*(C413-'보험개발원 위험률'!C71)/('보험개발원 위험률'!C72-'보험개발원 위험률'!C71)</f>
        <v>4.9999999999999996E-5</v>
      </c>
      <c r="F413" s="35" t="s">
        <v>699</v>
      </c>
      <c r="G413" s="35" t="s">
        <v>744</v>
      </c>
      <c r="H413" s="35" t="s">
        <v>689</v>
      </c>
      <c r="I413" s="35" t="s">
        <v>683</v>
      </c>
      <c r="J413" s="24" t="s">
        <v>685</v>
      </c>
    </row>
    <row r="414" spans="1:10">
      <c r="A414" s="15" t="s">
        <v>691</v>
      </c>
      <c r="B414" s="15" t="s">
        <v>691</v>
      </c>
      <c r="C414" s="12">
        <v>43</v>
      </c>
      <c r="D414" s="54">
        <f>'보험개발원 위험률'!D71+('보험개발원 위험률'!D72-'보험개발원 위험률'!D71)*(C414-'보험개발원 위험률'!C71)/('보험개발원 위험률'!C72-'보험개발원 위험률'!C71)</f>
        <v>4.8499999999999997E-4</v>
      </c>
      <c r="E414" s="54">
        <f>'보험개발원 위험률'!E71+('보험개발원 위험률'!E72-'보험개발원 위험률'!E71)*(C414-'보험개발원 위험률'!C71)/('보험개발원 위험률'!C72-'보험개발원 위험률'!C71)</f>
        <v>5.5500000000000001E-5</v>
      </c>
      <c r="F414" s="35" t="s">
        <v>699</v>
      </c>
      <c r="G414" s="35" t="s">
        <v>744</v>
      </c>
      <c r="H414" s="35" t="s">
        <v>689</v>
      </c>
      <c r="I414" s="35" t="s">
        <v>683</v>
      </c>
      <c r="J414" s="24" t="s">
        <v>685</v>
      </c>
    </row>
    <row r="415" spans="1:10">
      <c r="A415" s="15" t="s">
        <v>691</v>
      </c>
      <c r="B415" s="15" t="s">
        <v>691</v>
      </c>
      <c r="C415" s="12">
        <v>44</v>
      </c>
      <c r="D415" s="54">
        <f>'보험개발원 위험률'!D71+('보험개발원 위험률'!D72-'보험개발원 위험률'!D71)*(C415-'보험개발원 위험률'!C71)/('보험개발원 위험률'!C72-'보험개발원 위험률'!C71)</f>
        <v>5.3399999999999997E-4</v>
      </c>
      <c r="E415" s="54">
        <f>'보험개발원 위험률'!E71+('보험개발원 위험률'!E72-'보험개발원 위험률'!E71)*(C415-'보험개발원 위험률'!C71)/('보험개발원 위험률'!C72-'보험개발원 위험률'!C71)</f>
        <v>6.0999999999999999E-5</v>
      </c>
      <c r="F415" s="35" t="s">
        <v>699</v>
      </c>
      <c r="G415" s="35" t="s">
        <v>744</v>
      </c>
      <c r="H415" s="35" t="s">
        <v>689</v>
      </c>
      <c r="I415" s="35" t="s">
        <v>683</v>
      </c>
      <c r="J415" s="24" t="s">
        <v>685</v>
      </c>
    </row>
    <row r="416" spans="1:10">
      <c r="A416" s="15" t="s">
        <v>691</v>
      </c>
      <c r="B416" s="15" t="s">
        <v>691</v>
      </c>
      <c r="C416" s="12">
        <v>45</v>
      </c>
      <c r="D416" s="54">
        <f>'보험개발원 위험률'!D71+('보험개발원 위험률'!D72-'보험개발원 위험률'!D71)*(C416-'보험개발원 위험률'!C71)/('보험개발원 위험률'!C72-'보험개발원 위험률'!C71)</f>
        <v>5.8299999999999997E-4</v>
      </c>
      <c r="E416" s="54">
        <f>'보험개발원 위험률'!E71+('보험개발원 위험률'!E72-'보험개발원 위험률'!E71)*(C416-'보험개발원 위험률'!C71)/('보험개발원 위험률'!C72-'보험개발원 위험률'!C71)</f>
        <v>6.649999999999999E-5</v>
      </c>
      <c r="F416" s="35" t="s">
        <v>699</v>
      </c>
      <c r="G416" s="35" t="s">
        <v>744</v>
      </c>
      <c r="H416" s="35" t="s">
        <v>689</v>
      </c>
      <c r="I416" s="35" t="s">
        <v>683</v>
      </c>
      <c r="J416" s="24" t="s">
        <v>685</v>
      </c>
    </row>
    <row r="417" spans="1:10">
      <c r="A417" s="15" t="s">
        <v>691</v>
      </c>
      <c r="B417" s="15" t="s">
        <v>691</v>
      </c>
      <c r="C417" s="12">
        <v>46</v>
      </c>
      <c r="D417" s="54">
        <f>'보험개발원 위험률'!D71+('보험개발원 위험률'!D72-'보험개발원 위험률'!D71)*(C417-'보험개발원 위험률'!C71)/('보험개발원 위험률'!C72-'보험개발원 위험률'!C71)</f>
        <v>6.3199999999999997E-4</v>
      </c>
      <c r="E417" s="54">
        <f>'보험개발원 위험률'!E71+('보험개발원 위험률'!E72-'보험개발원 위험률'!E71)*(C417-'보험개발원 위험률'!C71)/('보험개발원 위험률'!C72-'보험개발원 위험률'!C71)</f>
        <v>7.2000000000000002E-5</v>
      </c>
      <c r="F417" s="35" t="s">
        <v>699</v>
      </c>
      <c r="G417" s="35" t="s">
        <v>744</v>
      </c>
      <c r="H417" s="35" t="s">
        <v>689</v>
      </c>
      <c r="I417" s="35" t="s">
        <v>683</v>
      </c>
      <c r="J417" s="24" t="s">
        <v>685</v>
      </c>
    </row>
    <row r="418" spans="1:10">
      <c r="A418" s="15" t="s">
        <v>691</v>
      </c>
      <c r="B418" s="15" t="s">
        <v>691</v>
      </c>
      <c r="C418" s="12">
        <v>47</v>
      </c>
      <c r="D418" s="54">
        <f>'보험개발원 위험률'!D71+('보험개발원 위험률'!D72-'보험개발원 위험률'!D71)*(C418-'보험개발원 위험률'!C71)/('보험개발원 위험률'!C72-'보험개발원 위험률'!C71)</f>
        <v>6.8099999999999996E-4</v>
      </c>
      <c r="E418" s="54">
        <f>'보험개발원 위험률'!E71+('보험개발원 위험률'!E72-'보험개발원 위험률'!E71)*(C418-'보험개발원 위험률'!C71)/('보험개발원 위험률'!C72-'보험개발원 위험률'!C71)</f>
        <v>7.75E-5</v>
      </c>
      <c r="F418" s="35" t="s">
        <v>699</v>
      </c>
      <c r="G418" s="35" t="s">
        <v>744</v>
      </c>
      <c r="H418" s="35" t="s">
        <v>689</v>
      </c>
      <c r="I418" s="35" t="s">
        <v>683</v>
      </c>
      <c r="J418" s="24" t="s">
        <v>685</v>
      </c>
    </row>
    <row r="419" spans="1:10">
      <c r="A419" s="15" t="s">
        <v>691</v>
      </c>
      <c r="B419" s="15" t="s">
        <v>691</v>
      </c>
      <c r="C419" s="12">
        <v>48</v>
      </c>
      <c r="D419" s="54">
        <f>'보험개발원 위험률'!D71+('보험개발원 위험률'!D72-'보험개발원 위험률'!D71)*(C419-'보험개발원 위험률'!C71)/('보험개발원 위험률'!C72-'보험개발원 위험률'!C71)</f>
        <v>7.2999999999999996E-4</v>
      </c>
      <c r="E419" s="54">
        <f>'보험개발원 위험률'!E71+('보험개발원 위험률'!E72-'보험개발원 위험률'!E71)*(C419-'보험개발원 위험률'!C71)/('보험개발원 위험률'!C72-'보험개발원 위험률'!C71)</f>
        <v>8.2999999999999998E-5</v>
      </c>
      <c r="F419" s="35" t="s">
        <v>699</v>
      </c>
      <c r="G419" s="35" t="s">
        <v>744</v>
      </c>
      <c r="H419" s="35" t="s">
        <v>689</v>
      </c>
      <c r="I419" s="35" t="s">
        <v>683</v>
      </c>
      <c r="J419" s="24" t="s">
        <v>685</v>
      </c>
    </row>
    <row r="420" spans="1:10">
      <c r="A420" s="15" t="s">
        <v>691</v>
      </c>
      <c r="B420" s="15" t="s">
        <v>691</v>
      </c>
      <c r="C420" s="12">
        <v>49</v>
      </c>
      <c r="D420" s="54">
        <f>'보험개발원 위험률'!D71+('보험개발원 위험률'!D72-'보험개발원 위험률'!D71)*(C420-'보험개발원 위험률'!C71)/('보험개발원 위험률'!C72-'보험개발원 위험률'!C71)</f>
        <v>7.7899999999999996E-4</v>
      </c>
      <c r="E420" s="54">
        <f>'보험개발원 위험률'!E71+('보험개발원 위험률'!E72-'보험개발원 위험률'!E71)*(C420-'보험개발원 위험률'!C71)/('보험개발원 위험률'!C72-'보험개발원 위험률'!C71)</f>
        <v>8.8499999999999996E-5</v>
      </c>
      <c r="F420" s="35" t="s">
        <v>699</v>
      </c>
      <c r="G420" s="35" t="s">
        <v>744</v>
      </c>
      <c r="H420" s="35" t="s">
        <v>689</v>
      </c>
      <c r="I420" s="35" t="s">
        <v>683</v>
      </c>
      <c r="J420" s="24" t="s">
        <v>685</v>
      </c>
    </row>
    <row r="421" spans="1:10">
      <c r="A421" s="15" t="s">
        <v>691</v>
      </c>
      <c r="B421" s="15" t="s">
        <v>691</v>
      </c>
      <c r="C421" s="12">
        <v>50</v>
      </c>
      <c r="D421" s="54">
        <f>'보험개발원 위험률'!D72</f>
        <v>8.2799999999999996E-4</v>
      </c>
      <c r="E421" s="54">
        <f>'보험개발원 위험률'!E72</f>
        <v>9.3999999999999994E-5</v>
      </c>
      <c r="F421" s="35" t="s">
        <v>697</v>
      </c>
      <c r="G421" s="35" t="s">
        <v>719</v>
      </c>
      <c r="H421" s="35" t="s">
        <v>689</v>
      </c>
      <c r="I421" s="35" t="s">
        <v>683</v>
      </c>
      <c r="J421" s="24" t="s">
        <v>685</v>
      </c>
    </row>
    <row r="422" spans="1:10">
      <c r="A422" s="15" t="s">
        <v>691</v>
      </c>
      <c r="B422" s="15" t="s">
        <v>691</v>
      </c>
      <c r="C422" s="12">
        <v>51</v>
      </c>
      <c r="D422" s="54">
        <f>'보험개발원 위험률'!D72+('보험개발원 위험률'!D73-'보험개발원 위험률'!D72)*(C422-'보험개발원 위험률'!C72)/('보험개발원 위험률'!C73-'보험개발원 위험률'!C72)</f>
        <v>8.8059999999999994E-4</v>
      </c>
      <c r="E422" s="54">
        <f>'보험개발원 위험률'!E72+('보험개발원 위험률'!E73-'보험개발원 위험률'!E72)*(C422-'보험개발원 위험률'!C72)/('보험개발원 위험률'!C73-'보험개발원 위험률'!C72)</f>
        <v>1.0619999999999999E-4</v>
      </c>
      <c r="F422" s="35" t="s">
        <v>699</v>
      </c>
      <c r="G422" s="35" t="s">
        <v>745</v>
      </c>
      <c r="H422" s="35" t="s">
        <v>689</v>
      </c>
      <c r="I422" s="35" t="s">
        <v>683</v>
      </c>
      <c r="J422" s="24" t="s">
        <v>685</v>
      </c>
    </row>
    <row r="423" spans="1:10">
      <c r="A423" s="15" t="s">
        <v>691</v>
      </c>
      <c r="B423" s="15" t="s">
        <v>691</v>
      </c>
      <c r="C423" s="12">
        <v>52</v>
      </c>
      <c r="D423" s="54">
        <f>'보험개발원 위험률'!D72+('보험개발원 위험률'!D73-'보험개발원 위험률'!D72)*(C423-'보험개발원 위험률'!C72)/('보험개발원 위험률'!C73-'보험개발원 위험률'!C72)</f>
        <v>9.3319999999999991E-4</v>
      </c>
      <c r="E423" s="54">
        <f>'보험개발원 위험률'!E72+('보험개발원 위험률'!E73-'보험개발원 위험률'!E72)*(C423-'보험개발원 위험률'!C72)/('보험개발원 위험률'!C73-'보험개발원 위험률'!C72)</f>
        <v>1.1839999999999999E-4</v>
      </c>
      <c r="F423" s="35" t="s">
        <v>699</v>
      </c>
      <c r="G423" s="35" t="s">
        <v>745</v>
      </c>
      <c r="H423" s="35" t="s">
        <v>689</v>
      </c>
      <c r="I423" s="35" t="s">
        <v>683</v>
      </c>
      <c r="J423" s="24" t="s">
        <v>685</v>
      </c>
    </row>
    <row r="424" spans="1:10">
      <c r="A424" s="15" t="s">
        <v>691</v>
      </c>
      <c r="B424" s="15" t="s">
        <v>691</v>
      </c>
      <c r="C424" s="12">
        <v>53</v>
      </c>
      <c r="D424" s="54">
        <f>'보험개발원 위험률'!D72+('보험개발원 위험률'!D73-'보험개발원 위험률'!D72)*(C424-'보험개발원 위험률'!C72)/('보험개발원 위험률'!C73-'보험개발원 위험률'!C72)</f>
        <v>9.858E-4</v>
      </c>
      <c r="E424" s="54">
        <f>'보험개발원 위험률'!E72+('보험개발원 위험률'!E73-'보험개발원 위험률'!E72)*(C424-'보험개발원 위험률'!C72)/('보험개발원 위험률'!C73-'보험개발원 위험률'!C72)</f>
        <v>1.306E-4</v>
      </c>
      <c r="F424" s="35" t="s">
        <v>699</v>
      </c>
      <c r="G424" s="35" t="s">
        <v>745</v>
      </c>
      <c r="H424" s="35" t="s">
        <v>689</v>
      </c>
      <c r="I424" s="35" t="s">
        <v>683</v>
      </c>
      <c r="J424" s="24" t="s">
        <v>685</v>
      </c>
    </row>
    <row r="425" spans="1:10">
      <c r="A425" s="15" t="s">
        <v>691</v>
      </c>
      <c r="B425" s="15" t="s">
        <v>691</v>
      </c>
      <c r="C425" s="12">
        <v>54</v>
      </c>
      <c r="D425" s="54">
        <f>'보험개발원 위험률'!D72+('보험개발원 위험률'!D73-'보험개발원 위험률'!D72)*(C425-'보험개발원 위험률'!C72)/('보험개발원 위험률'!C73-'보험개발원 위험률'!C72)</f>
        <v>1.0383999999999999E-3</v>
      </c>
      <c r="E425" s="54">
        <f>'보험개발원 위험률'!E72+('보험개발원 위험률'!E73-'보험개발원 위험률'!E72)*(C425-'보험개발원 위험률'!C72)/('보험개발원 위험률'!C73-'보험개발원 위험률'!C72)</f>
        <v>1.428E-4</v>
      </c>
      <c r="F425" s="35" t="s">
        <v>699</v>
      </c>
      <c r="G425" s="35" t="s">
        <v>745</v>
      </c>
      <c r="H425" s="35" t="s">
        <v>689</v>
      </c>
      <c r="I425" s="35" t="s">
        <v>683</v>
      </c>
      <c r="J425" s="24" t="s">
        <v>685</v>
      </c>
    </row>
    <row r="426" spans="1:10">
      <c r="A426" s="15" t="s">
        <v>691</v>
      </c>
      <c r="B426" s="15" t="s">
        <v>691</v>
      </c>
      <c r="C426" s="12">
        <v>55</v>
      </c>
      <c r="D426" s="54">
        <f>'보험개발원 위험률'!D72+('보험개발원 위험률'!D73-'보험개발원 위험률'!D72)*(C426-'보험개발원 위험률'!C72)/('보험개발원 위험률'!C73-'보험개발원 위험률'!C72)</f>
        <v>1.091E-3</v>
      </c>
      <c r="E426" s="54">
        <f>'보험개발원 위험률'!E72+('보험개발원 위험률'!E73-'보험개발원 위험률'!E72)*(C426-'보험개발원 위험률'!C72)/('보험개발원 위험률'!C73-'보험개발원 위험률'!C72)</f>
        <v>1.55E-4</v>
      </c>
      <c r="F426" s="35" t="s">
        <v>699</v>
      </c>
      <c r="G426" s="35" t="s">
        <v>745</v>
      </c>
      <c r="H426" s="35" t="s">
        <v>689</v>
      </c>
      <c r="I426" s="35" t="s">
        <v>683</v>
      </c>
      <c r="J426" s="24" t="s">
        <v>685</v>
      </c>
    </row>
    <row r="427" spans="1:10">
      <c r="A427" s="15" t="s">
        <v>691</v>
      </c>
      <c r="B427" s="15" t="s">
        <v>691</v>
      </c>
      <c r="C427" s="12">
        <v>56</v>
      </c>
      <c r="D427" s="54">
        <f>'보험개발원 위험률'!D72+('보험개발원 위험률'!D73-'보험개발원 위험률'!D72)*(C427-'보험개발원 위험률'!C72)/('보험개발원 위험률'!C73-'보험개발원 위험률'!C72)</f>
        <v>1.1435999999999998E-3</v>
      </c>
      <c r="E427" s="54">
        <f>'보험개발원 위험률'!E72+('보험개발원 위험률'!E73-'보험개발원 위험률'!E72)*(C427-'보험개발원 위험률'!C72)/('보험개발원 위험률'!C73-'보험개발원 위험률'!C72)</f>
        <v>1.672E-4</v>
      </c>
      <c r="F427" s="35" t="s">
        <v>699</v>
      </c>
      <c r="G427" s="35" t="s">
        <v>745</v>
      </c>
      <c r="H427" s="35" t="s">
        <v>689</v>
      </c>
      <c r="I427" s="35" t="s">
        <v>683</v>
      </c>
      <c r="J427" s="24" t="s">
        <v>685</v>
      </c>
    </row>
    <row r="428" spans="1:10">
      <c r="A428" s="15" t="s">
        <v>691</v>
      </c>
      <c r="B428" s="15" t="s">
        <v>691</v>
      </c>
      <c r="C428" s="12">
        <v>57</v>
      </c>
      <c r="D428" s="54">
        <f>'보험개발원 위험률'!D72+('보험개발원 위험률'!D73-'보험개발원 위험률'!D72)*(C428-'보험개발원 위험률'!C72)/('보험개발원 위험률'!C73-'보험개발원 위험률'!C72)</f>
        <v>1.1961999999999999E-3</v>
      </c>
      <c r="E428" s="54">
        <f>'보험개발원 위험률'!E72+('보험개발원 위험률'!E73-'보험개발원 위험률'!E72)*(C428-'보험개발원 위험률'!C72)/('보험개발원 위험률'!C73-'보험개발원 위험률'!C72)</f>
        <v>1.7939999999999997E-4</v>
      </c>
      <c r="F428" s="35" t="s">
        <v>699</v>
      </c>
      <c r="G428" s="35" t="s">
        <v>745</v>
      </c>
      <c r="H428" s="35" t="s">
        <v>689</v>
      </c>
      <c r="I428" s="35" t="s">
        <v>683</v>
      </c>
      <c r="J428" s="24" t="s">
        <v>685</v>
      </c>
    </row>
    <row r="429" spans="1:10">
      <c r="A429" s="15" t="s">
        <v>691</v>
      </c>
      <c r="B429" s="15" t="s">
        <v>691</v>
      </c>
      <c r="C429" s="12">
        <v>58</v>
      </c>
      <c r="D429" s="54">
        <f>'보험개발원 위험률'!D72+('보험개발원 위험률'!D73-'보험개발원 위험률'!D72)*(C429-'보험개발원 위험률'!C72)/('보험개발원 위험률'!C73-'보험개발원 위험률'!C72)</f>
        <v>1.2488E-3</v>
      </c>
      <c r="E429" s="54">
        <f>'보험개발원 위험률'!E72+('보험개발원 위험률'!E73-'보험개발원 위험률'!E72)*(C429-'보험개발원 위험률'!C72)/('보험개발원 위험률'!C73-'보험개발원 위험률'!C72)</f>
        <v>1.916E-4</v>
      </c>
      <c r="F429" s="35" t="s">
        <v>699</v>
      </c>
      <c r="G429" s="35" t="s">
        <v>745</v>
      </c>
      <c r="H429" s="35" t="s">
        <v>689</v>
      </c>
      <c r="I429" s="35" t="s">
        <v>683</v>
      </c>
      <c r="J429" s="24" t="s">
        <v>685</v>
      </c>
    </row>
    <row r="430" spans="1:10">
      <c r="A430" s="15" t="s">
        <v>691</v>
      </c>
      <c r="B430" s="15" t="s">
        <v>691</v>
      </c>
      <c r="C430" s="12">
        <v>59</v>
      </c>
      <c r="D430" s="54">
        <f>'보험개발원 위험률'!D72+('보험개발원 위험률'!D73-'보험개발원 위험률'!D72)*(C430-'보험개발원 위험률'!C72)/('보험개발원 위험률'!C73-'보험개발원 위험률'!C72)</f>
        <v>1.3013999999999999E-3</v>
      </c>
      <c r="E430" s="54">
        <f>'보험개발원 위험률'!E72+('보험개발원 위험률'!E73-'보험개발원 위험률'!E72)*(C430-'보험개발원 위험률'!C72)/('보험개발원 위험률'!C73-'보험개발원 위험률'!C72)</f>
        <v>2.0379999999999999E-4</v>
      </c>
      <c r="F430" s="35" t="s">
        <v>699</v>
      </c>
      <c r="G430" s="35" t="s">
        <v>745</v>
      </c>
      <c r="H430" s="35" t="s">
        <v>689</v>
      </c>
      <c r="I430" s="35" t="s">
        <v>683</v>
      </c>
      <c r="J430" s="24" t="s">
        <v>685</v>
      </c>
    </row>
    <row r="431" spans="1:10">
      <c r="A431" s="15" t="s">
        <v>691</v>
      </c>
      <c r="B431" s="15" t="s">
        <v>691</v>
      </c>
      <c r="C431" s="12">
        <v>60</v>
      </c>
      <c r="D431" s="54">
        <f>'보험개발원 위험률'!D73</f>
        <v>1.354E-3</v>
      </c>
      <c r="E431" s="54">
        <f>'보험개발원 위험률'!E73</f>
        <v>2.1599999999999999E-4</v>
      </c>
      <c r="F431" s="35" t="s">
        <v>697</v>
      </c>
      <c r="G431" s="35" t="s">
        <v>723</v>
      </c>
      <c r="H431" s="35" t="s">
        <v>689</v>
      </c>
      <c r="I431" s="35" t="s">
        <v>683</v>
      </c>
      <c r="J431" s="24" t="s">
        <v>685</v>
      </c>
    </row>
    <row r="432" spans="1:10">
      <c r="A432" s="15" t="s">
        <v>691</v>
      </c>
      <c r="B432" s="15" t="s">
        <v>691</v>
      </c>
      <c r="C432" s="12">
        <v>61</v>
      </c>
      <c r="D432" s="54">
        <f>'보험개발원 위험률'!D73+('보험개발원 위험률'!D74-'보험개발원 위험률'!D73)*(C432-'보험개발원 위험률'!C73)/('보험개발원 위험률'!C74-'보험개발원 위험률'!C73)</f>
        <v>1.41E-3</v>
      </c>
      <c r="E432" s="54">
        <f>'보험개발원 위험률'!E73+('보험개발원 위험률'!E74-'보험개발원 위험률'!E73)*(C432-'보험개발원 위험률'!C73)/('보험개발원 위험률'!C74-'보험개발원 위험률'!C73)</f>
        <v>2.544E-4</v>
      </c>
      <c r="F432" s="35" t="s">
        <v>699</v>
      </c>
      <c r="G432" s="35" t="s">
        <v>746</v>
      </c>
      <c r="H432" s="35" t="s">
        <v>689</v>
      </c>
      <c r="I432" s="35" t="s">
        <v>683</v>
      </c>
      <c r="J432" s="24" t="s">
        <v>685</v>
      </c>
    </row>
    <row r="433" spans="1:10">
      <c r="A433" s="15" t="s">
        <v>691</v>
      </c>
      <c r="B433" s="15" t="s">
        <v>691</v>
      </c>
      <c r="C433" s="12">
        <v>62</v>
      </c>
      <c r="D433" s="54">
        <f>'보험개발원 위험률'!D73+('보험개발원 위험률'!D74-'보험개발원 위험률'!D73)*(C433-'보험개발원 위험률'!C73)/('보험개발원 위험률'!C74-'보험개발원 위험률'!C73)</f>
        <v>1.4659999999999999E-3</v>
      </c>
      <c r="E433" s="54">
        <f>'보험개발원 위험률'!E73+('보험개발원 위험률'!E74-'보험개발원 위험률'!E73)*(C433-'보험개발원 위험률'!C73)/('보험개발원 위험률'!C74-'보험개발원 위험률'!C73)</f>
        <v>2.9279999999999996E-4</v>
      </c>
      <c r="F433" s="35" t="s">
        <v>699</v>
      </c>
      <c r="G433" s="35" t="s">
        <v>746</v>
      </c>
      <c r="H433" s="35" t="s">
        <v>689</v>
      </c>
      <c r="I433" s="35" t="s">
        <v>683</v>
      </c>
      <c r="J433" s="24" t="s">
        <v>685</v>
      </c>
    </row>
    <row r="434" spans="1:10">
      <c r="A434" s="15" t="s">
        <v>691</v>
      </c>
      <c r="B434" s="15" t="s">
        <v>691</v>
      </c>
      <c r="C434" s="12">
        <v>63</v>
      </c>
      <c r="D434" s="54">
        <f>'보험개발원 위험률'!D73+('보험개발원 위험률'!D74-'보험개발원 위험률'!D73)*(C434-'보험개발원 위험률'!C73)/('보험개발원 위험률'!C74-'보험개발원 위험률'!C73)</f>
        <v>1.5219999999999999E-3</v>
      </c>
      <c r="E434" s="54">
        <f>'보험개발원 위험률'!E73+('보험개발원 위험률'!E74-'보험개발원 위험률'!E73)*(C434-'보험개발원 위험률'!C73)/('보험개발원 위험률'!C74-'보험개발원 위험률'!C73)</f>
        <v>3.3119999999999997E-4</v>
      </c>
      <c r="F434" s="35" t="s">
        <v>699</v>
      </c>
      <c r="G434" s="35" t="s">
        <v>746</v>
      </c>
      <c r="H434" s="35" t="s">
        <v>689</v>
      </c>
      <c r="I434" s="35" t="s">
        <v>683</v>
      </c>
      <c r="J434" s="24" t="s">
        <v>685</v>
      </c>
    </row>
    <row r="435" spans="1:10">
      <c r="A435" s="15" t="s">
        <v>691</v>
      </c>
      <c r="B435" s="15" t="s">
        <v>691</v>
      </c>
      <c r="C435" s="12">
        <v>64</v>
      </c>
      <c r="D435" s="54">
        <f>'보험개발원 위험률'!D73+('보험개발원 위험률'!D74-'보험개발원 위험률'!D73)*(C435-'보험개발원 위험률'!C73)/('보험개발원 위험률'!C74-'보험개발원 위험률'!C73)</f>
        <v>1.578E-3</v>
      </c>
      <c r="E435" s="54">
        <f>'보험개발원 위험률'!E73+('보험개발원 위험률'!E74-'보험개발원 위험률'!E73)*(C435-'보험개발원 위험률'!C73)/('보험개발원 위험률'!C74-'보험개발원 위험률'!C73)</f>
        <v>3.6959999999999998E-4</v>
      </c>
      <c r="F435" s="35" t="s">
        <v>699</v>
      </c>
      <c r="G435" s="35" t="s">
        <v>746</v>
      </c>
      <c r="H435" s="35" t="s">
        <v>689</v>
      </c>
      <c r="I435" s="35" t="s">
        <v>683</v>
      </c>
      <c r="J435" s="24" t="s">
        <v>685</v>
      </c>
    </row>
    <row r="436" spans="1:10">
      <c r="A436" s="15" t="s">
        <v>691</v>
      </c>
      <c r="B436" s="15" t="s">
        <v>691</v>
      </c>
      <c r="C436" s="12">
        <v>65</v>
      </c>
      <c r="D436" s="54">
        <f>'보험개발원 위험률'!D73+('보험개발원 위험률'!D74-'보험개발원 위험률'!D73)*(C436-'보험개발원 위험률'!C73)/('보험개발원 위험률'!C74-'보험개발원 위험률'!C73)</f>
        <v>1.634E-3</v>
      </c>
      <c r="E436" s="54">
        <f>'보험개발원 위험률'!E73+('보험개발원 위험률'!E74-'보험개발원 위험률'!E73)*(C436-'보험개발원 위험률'!C73)/('보험개발원 위험률'!C74-'보험개발원 위험률'!C73)</f>
        <v>4.0799999999999994E-4</v>
      </c>
      <c r="F436" s="35" t="s">
        <v>699</v>
      </c>
      <c r="G436" s="35" t="s">
        <v>746</v>
      </c>
      <c r="H436" s="35" t="s">
        <v>689</v>
      </c>
      <c r="I436" s="35" t="s">
        <v>683</v>
      </c>
      <c r="J436" s="24" t="s">
        <v>685</v>
      </c>
    </row>
    <row r="437" spans="1:10">
      <c r="A437" s="15" t="s">
        <v>691</v>
      </c>
      <c r="B437" s="15" t="s">
        <v>691</v>
      </c>
      <c r="C437" s="12">
        <v>66</v>
      </c>
      <c r="D437" s="54">
        <f>'보험개발원 위험률'!D73+('보험개발원 위험률'!D74-'보험개발원 위험률'!D73)*(C437-'보험개발원 위험률'!C73)/('보험개발원 위험률'!C74-'보험개발원 위험률'!C73)</f>
        <v>1.6899999999999999E-3</v>
      </c>
      <c r="E437" s="54">
        <f>'보험개발원 위험률'!E73+('보험개발원 위험률'!E74-'보험개발원 위험률'!E73)*(C437-'보험개발원 위험률'!C73)/('보험개발원 위험률'!C74-'보험개발원 위험률'!C73)</f>
        <v>4.4639999999999995E-4</v>
      </c>
      <c r="F437" s="35" t="s">
        <v>699</v>
      </c>
      <c r="G437" s="35" t="s">
        <v>746</v>
      </c>
      <c r="H437" s="35" t="s">
        <v>689</v>
      </c>
      <c r="I437" s="35" t="s">
        <v>683</v>
      </c>
      <c r="J437" s="24" t="s">
        <v>685</v>
      </c>
    </row>
    <row r="438" spans="1:10">
      <c r="A438" s="15" t="s">
        <v>691</v>
      </c>
      <c r="B438" s="15" t="s">
        <v>691</v>
      </c>
      <c r="C438" s="12">
        <v>67</v>
      </c>
      <c r="D438" s="54">
        <f>'보험개발원 위험률'!D73+('보험개발원 위험률'!D74-'보험개발원 위험률'!D73)*(C438-'보험개발원 위험률'!C73)/('보험개발원 위험률'!C74-'보험개발원 위험률'!C73)</f>
        <v>1.7459999999999999E-3</v>
      </c>
      <c r="E438" s="54">
        <f>'보험개발원 위험률'!E73+('보험개발원 위험률'!E74-'보험개발원 위험률'!E73)*(C438-'보험개발원 위험률'!C73)/('보험개발원 위험률'!C74-'보험개발원 위험률'!C73)</f>
        <v>4.8479999999999997E-4</v>
      </c>
      <c r="F438" s="35" t="s">
        <v>699</v>
      </c>
      <c r="G438" s="35" t="s">
        <v>746</v>
      </c>
      <c r="H438" s="35" t="s">
        <v>689</v>
      </c>
      <c r="I438" s="35" t="s">
        <v>683</v>
      </c>
      <c r="J438" s="24" t="s">
        <v>685</v>
      </c>
    </row>
    <row r="439" spans="1:10">
      <c r="A439" s="15" t="s">
        <v>691</v>
      </c>
      <c r="B439" s="15" t="s">
        <v>691</v>
      </c>
      <c r="C439" s="12">
        <v>68</v>
      </c>
      <c r="D439" s="54">
        <f>'보험개발원 위험률'!D73+('보험개발원 위험률'!D74-'보험개발원 위험률'!D73)*(C439-'보험개발원 위험률'!C73)/('보험개발원 위험률'!C74-'보험개발원 위험률'!C73)</f>
        <v>1.8019999999999998E-3</v>
      </c>
      <c r="E439" s="54">
        <f>'보험개발원 위험률'!E73+('보험개발원 위험률'!E74-'보험개발원 위험률'!E73)*(C439-'보험개발원 위험률'!C73)/('보험개발원 위험률'!C74-'보험개발원 위험률'!C73)</f>
        <v>5.2319999999999992E-4</v>
      </c>
      <c r="F439" s="35" t="s">
        <v>699</v>
      </c>
      <c r="G439" s="35" t="s">
        <v>746</v>
      </c>
      <c r="H439" s="35" t="s">
        <v>689</v>
      </c>
      <c r="I439" s="35" t="s">
        <v>683</v>
      </c>
      <c r="J439" s="24" t="s">
        <v>685</v>
      </c>
    </row>
    <row r="440" spans="1:10">
      <c r="A440" s="15" t="s">
        <v>691</v>
      </c>
      <c r="B440" s="15" t="s">
        <v>691</v>
      </c>
      <c r="C440" s="12">
        <v>69</v>
      </c>
      <c r="D440" s="54">
        <f>'보험개발원 위험률'!D73+('보험개발원 위험률'!D74-'보험개발원 위험률'!D73)*(C440-'보험개발원 위험률'!C73)/('보험개발원 위험률'!C74-'보험개발원 위험률'!C73)</f>
        <v>1.8579999999999998E-3</v>
      </c>
      <c r="E440" s="54">
        <f>'보험개발원 위험률'!E73+('보험개발원 위험률'!E74-'보험개발원 위험률'!E73)*(C440-'보험개발원 위험률'!C73)/('보험개발원 위험률'!C74-'보험개발원 위험률'!C73)</f>
        <v>5.6159999999999999E-4</v>
      </c>
      <c r="F440" s="35" t="s">
        <v>699</v>
      </c>
      <c r="G440" s="35" t="s">
        <v>746</v>
      </c>
      <c r="H440" s="35" t="s">
        <v>689</v>
      </c>
      <c r="I440" s="35" t="s">
        <v>683</v>
      </c>
      <c r="J440" s="24" t="s">
        <v>685</v>
      </c>
    </row>
    <row r="441" spans="1:10">
      <c r="A441" s="15" t="s">
        <v>691</v>
      </c>
      <c r="B441" s="15" t="s">
        <v>691</v>
      </c>
      <c r="C441" s="12">
        <v>70</v>
      </c>
      <c r="D441" s="54">
        <f>'보험개발원 위험률'!D74</f>
        <v>1.9139999999999999E-3</v>
      </c>
      <c r="E441" s="54">
        <f>'보험개발원 위험률'!E74</f>
        <v>5.9999999999999995E-4</v>
      </c>
      <c r="F441" s="35" t="s">
        <v>697</v>
      </c>
      <c r="G441" s="35" t="s">
        <v>727</v>
      </c>
      <c r="H441" s="35" t="s">
        <v>689</v>
      </c>
      <c r="I441" s="35" t="s">
        <v>683</v>
      </c>
      <c r="J441" s="24" t="s">
        <v>685</v>
      </c>
    </row>
    <row r="442" spans="1:10">
      <c r="A442" s="15" t="s">
        <v>691</v>
      </c>
      <c r="B442" s="15" t="s">
        <v>691</v>
      </c>
      <c r="C442" s="12">
        <v>71</v>
      </c>
      <c r="D442" s="54">
        <f>'보험개발원 위험률'!D74+('보험개발원 위험률'!D75-'보험개발원 위험률'!D74)*(C442-'보험개발원 위험률'!C74)/('보험개발원 위험률'!C75-'보험개발원 위험률'!C74)</f>
        <v>1.9671999999999997E-3</v>
      </c>
      <c r="E442" s="54">
        <f>'보험개발원 위험률'!E74+('보험개발원 위험률'!E75-'보험개발원 위험률'!E74)*(C442-'보험개발원 위험률'!C74)/('보험개발원 위험률'!C75-'보험개발원 위험률'!C74)</f>
        <v>6.6259999999999995E-4</v>
      </c>
      <c r="F442" s="35" t="s">
        <v>699</v>
      </c>
      <c r="G442" s="35" t="s">
        <v>747</v>
      </c>
      <c r="H442" s="35" t="s">
        <v>689</v>
      </c>
      <c r="I442" s="35" t="s">
        <v>683</v>
      </c>
      <c r="J442" s="24" t="s">
        <v>685</v>
      </c>
    </row>
    <row r="443" spans="1:10">
      <c r="A443" s="15" t="s">
        <v>691</v>
      </c>
      <c r="B443" s="15" t="s">
        <v>691</v>
      </c>
      <c r="C443" s="12">
        <v>72</v>
      </c>
      <c r="D443" s="54">
        <f>'보험개발원 위험률'!D74+('보험개발원 위험률'!D75-'보험개발원 위험률'!D74)*(C443-'보험개발원 위험률'!C74)/('보험개발원 위험률'!C75-'보험개발원 위험률'!C74)</f>
        <v>2.0203999999999999E-3</v>
      </c>
      <c r="E443" s="54">
        <f>'보험개발원 위험률'!E74+('보험개발원 위험률'!E75-'보험개발원 위험률'!E74)*(C443-'보험개발원 위험률'!C74)/('보험개발원 위험률'!C75-'보험개발원 위험률'!C74)</f>
        <v>7.2519999999999995E-4</v>
      </c>
      <c r="F443" s="35" t="s">
        <v>699</v>
      </c>
      <c r="G443" s="35" t="s">
        <v>747</v>
      </c>
      <c r="H443" s="35" t="s">
        <v>689</v>
      </c>
      <c r="I443" s="35" t="s">
        <v>683</v>
      </c>
      <c r="J443" s="24" t="s">
        <v>685</v>
      </c>
    </row>
    <row r="444" spans="1:10">
      <c r="A444" s="15" t="s">
        <v>691</v>
      </c>
      <c r="B444" s="15" t="s">
        <v>691</v>
      </c>
      <c r="C444" s="12">
        <v>73</v>
      </c>
      <c r="D444" s="54">
        <f>'보험개발원 위험률'!D74+('보험개발원 위험률'!D75-'보험개발원 위험률'!D74)*(C444-'보험개발원 위험률'!C74)/('보험개발원 위험률'!C75-'보험개발원 위험률'!C74)</f>
        <v>2.0736000000000001E-3</v>
      </c>
      <c r="E444" s="54">
        <f>'보험개발원 위험률'!E74+('보험개발원 위험률'!E75-'보험개발원 위험률'!E74)*(C444-'보험개발원 위험률'!C74)/('보험개발원 위험률'!C75-'보험개발원 위험률'!C74)</f>
        <v>7.8779999999999996E-4</v>
      </c>
      <c r="F444" s="35" t="s">
        <v>699</v>
      </c>
      <c r="G444" s="35" t="s">
        <v>747</v>
      </c>
      <c r="H444" s="35" t="s">
        <v>689</v>
      </c>
      <c r="I444" s="35" t="s">
        <v>683</v>
      </c>
      <c r="J444" s="24" t="s">
        <v>685</v>
      </c>
    </row>
    <row r="445" spans="1:10">
      <c r="A445" s="15" t="s">
        <v>691</v>
      </c>
      <c r="B445" s="15" t="s">
        <v>691</v>
      </c>
      <c r="C445" s="12">
        <v>74</v>
      </c>
      <c r="D445" s="54">
        <f>'보험개발원 위험률'!D74+('보험개발원 위험률'!D75-'보험개발원 위험률'!D74)*(C445-'보험개발원 위험률'!C74)/('보험개발원 위험률'!C75-'보험개발원 위험률'!C74)</f>
        <v>2.1267999999999999E-3</v>
      </c>
      <c r="E445" s="54">
        <f>'보험개발원 위험률'!E74+('보험개발원 위험률'!E75-'보험개발원 위험률'!E74)*(C445-'보험개발원 위험률'!C74)/('보험개발원 위험률'!C75-'보험개발원 위험률'!C74)</f>
        <v>8.5040000000000007E-4</v>
      </c>
      <c r="F445" s="35" t="s">
        <v>699</v>
      </c>
      <c r="G445" s="35" t="s">
        <v>747</v>
      </c>
      <c r="H445" s="35" t="s">
        <v>689</v>
      </c>
      <c r="I445" s="35" t="s">
        <v>683</v>
      </c>
      <c r="J445" s="24" t="s">
        <v>685</v>
      </c>
    </row>
    <row r="446" spans="1:10">
      <c r="A446" s="15" t="s">
        <v>691</v>
      </c>
      <c r="B446" s="15" t="s">
        <v>691</v>
      </c>
      <c r="C446" s="12">
        <v>75</v>
      </c>
      <c r="D446" s="54">
        <f>'보험개발원 위험률'!D74+('보험개발원 위험률'!D75-'보험개발원 위험률'!D74)*(C446-'보험개발원 위험률'!C74)/('보험개발원 위험률'!C75-'보험개발원 위험률'!C74)</f>
        <v>2.1799999999999996E-3</v>
      </c>
      <c r="E446" s="54">
        <f>'보험개발원 위험률'!E74+('보험개발원 위험률'!E75-'보험개발원 위험률'!E74)*(C446-'보험개발원 위험률'!C74)/('보험개발원 위험률'!C75-'보험개발원 위험률'!C74)</f>
        <v>9.1299999999999997E-4</v>
      </c>
      <c r="F446" s="35" t="s">
        <v>699</v>
      </c>
      <c r="G446" s="35" t="s">
        <v>747</v>
      </c>
      <c r="H446" s="35" t="s">
        <v>689</v>
      </c>
      <c r="I446" s="35" t="s">
        <v>683</v>
      </c>
      <c r="J446" s="24" t="s">
        <v>685</v>
      </c>
    </row>
    <row r="447" spans="1:10">
      <c r="A447" s="15" t="s">
        <v>691</v>
      </c>
      <c r="B447" s="15" t="s">
        <v>691</v>
      </c>
      <c r="C447" s="12">
        <v>76</v>
      </c>
      <c r="D447" s="54">
        <f>'보험개발원 위험률'!D74+('보험개발원 위험률'!D75-'보험개발원 위험률'!D74)*(C447-'보험개발원 위험률'!C74)/('보험개발원 위험률'!C75-'보험개발원 위험률'!C74)</f>
        <v>2.2331999999999999E-3</v>
      </c>
      <c r="E447" s="54">
        <f>'보험개발원 위험률'!E74+('보험개발원 위험률'!E75-'보험개발원 위험률'!E74)*(C447-'보험개발원 위험률'!C74)/('보험개발원 위험률'!C75-'보험개발원 위험률'!C74)</f>
        <v>9.7560000000000008E-4</v>
      </c>
      <c r="F447" s="35" t="s">
        <v>699</v>
      </c>
      <c r="G447" s="35" t="s">
        <v>747</v>
      </c>
      <c r="H447" s="35" t="s">
        <v>689</v>
      </c>
      <c r="I447" s="35" t="s">
        <v>683</v>
      </c>
      <c r="J447" s="24" t="s">
        <v>685</v>
      </c>
    </row>
    <row r="448" spans="1:10">
      <c r="A448" s="15" t="s">
        <v>691</v>
      </c>
      <c r="B448" s="15" t="s">
        <v>691</v>
      </c>
      <c r="C448" s="12">
        <v>77</v>
      </c>
      <c r="D448" s="54">
        <f>'보험개발원 위험률'!D74+('보험개발원 위험률'!D75-'보험개발원 위험률'!D74)*(C448-'보험개발원 위험률'!C74)/('보험개발원 위험률'!C75-'보험개발원 위험률'!C74)</f>
        <v>2.2864000000000001E-3</v>
      </c>
      <c r="E448" s="54">
        <f>'보험개발원 위험률'!E74+('보험개발원 위험률'!E75-'보험개발원 위험률'!E74)*(C448-'보험개발원 위험률'!C74)/('보험개발원 위험률'!C75-'보험개발원 위험률'!C74)</f>
        <v>1.0382E-3</v>
      </c>
      <c r="F448" s="35" t="s">
        <v>699</v>
      </c>
      <c r="G448" s="35" t="s">
        <v>747</v>
      </c>
      <c r="H448" s="35" t="s">
        <v>689</v>
      </c>
      <c r="I448" s="35" t="s">
        <v>683</v>
      </c>
      <c r="J448" s="24" t="s">
        <v>685</v>
      </c>
    </row>
    <row r="449" spans="1:10">
      <c r="A449" s="15" t="s">
        <v>691</v>
      </c>
      <c r="B449" s="15" t="s">
        <v>691</v>
      </c>
      <c r="C449" s="12">
        <v>78</v>
      </c>
      <c r="D449" s="54">
        <f>'보험개발원 위험률'!D74+('보험개발원 위험률'!D75-'보험개발원 위험률'!D74)*(C449-'보험개발원 위험률'!C74)/('보험개발원 위험률'!C75-'보험개발원 위험률'!C74)</f>
        <v>2.3395999999999998E-3</v>
      </c>
      <c r="E449" s="54">
        <f>'보험개발원 위험률'!E74+('보험개발원 위험률'!E75-'보험개발원 위험률'!E74)*(C449-'보험개발원 위험률'!C74)/('보험개발원 위험률'!C75-'보험개발원 위험률'!C74)</f>
        <v>1.1008000000000001E-3</v>
      </c>
      <c r="F449" s="35" t="s">
        <v>699</v>
      </c>
      <c r="G449" s="35" t="s">
        <v>747</v>
      </c>
      <c r="H449" s="35" t="s">
        <v>689</v>
      </c>
      <c r="I449" s="35" t="s">
        <v>683</v>
      </c>
      <c r="J449" s="24" t="s">
        <v>685</v>
      </c>
    </row>
    <row r="450" spans="1:10">
      <c r="A450" s="15" t="s">
        <v>691</v>
      </c>
      <c r="B450" s="15" t="s">
        <v>691</v>
      </c>
      <c r="C450" s="12">
        <v>79</v>
      </c>
      <c r="D450" s="54">
        <f>'보험개발원 위험률'!D74+('보험개발원 위험률'!D75-'보험개발원 위험률'!D74)*(C450-'보험개발원 위험률'!C74)/('보험개발원 위험률'!C75-'보험개발원 위험률'!C74)</f>
        <v>2.3927999999999996E-3</v>
      </c>
      <c r="E450" s="54">
        <f>'보험개발원 위험률'!E74+('보험개발원 위험률'!E75-'보험개발원 위험률'!E74)*(C450-'보험개발원 위험률'!C74)/('보험개발원 위험률'!C75-'보험개발원 위험률'!C74)</f>
        <v>1.1634000000000002E-3</v>
      </c>
      <c r="F450" s="35" t="s">
        <v>699</v>
      </c>
      <c r="G450" s="35" t="s">
        <v>747</v>
      </c>
      <c r="H450" s="35" t="s">
        <v>689</v>
      </c>
      <c r="I450" s="35" t="s">
        <v>683</v>
      </c>
      <c r="J450" s="24" t="s">
        <v>685</v>
      </c>
    </row>
    <row r="451" spans="1:10">
      <c r="A451" s="16" t="s">
        <v>691</v>
      </c>
      <c r="B451" s="16" t="s">
        <v>691</v>
      </c>
      <c r="C451" s="13">
        <v>80</v>
      </c>
      <c r="D451" s="55">
        <f>'보험개발원 위험률'!D75</f>
        <v>2.4459999999999998E-3</v>
      </c>
      <c r="E451" s="55">
        <f>'보험개발원 위험률'!E75</f>
        <v>1.2260000000000001E-3</v>
      </c>
      <c r="F451" s="38" t="s">
        <v>697</v>
      </c>
      <c r="G451" s="38" t="s">
        <v>731</v>
      </c>
      <c r="H451" s="38" t="s">
        <v>689</v>
      </c>
      <c r="I451" s="38" t="s">
        <v>683</v>
      </c>
      <c r="J451" s="25" t="s">
        <v>685</v>
      </c>
    </row>
  </sheetData>
  <mergeCells count="3">
    <mergeCell ref="A1:J2"/>
    <mergeCell ref="A3:J3"/>
    <mergeCell ref="A4:J4"/>
  </mergeCells>
  <phoneticPr fontId="8" type="noConversion"/>
  <conditionalFormatting sqref="F7:F451">
    <cfRule type="containsText" dxfId="0" priority="1" operator="containsText" text="원자료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M87"/>
  <sheetViews>
    <sheetView showGridLines="0" workbookViewId="0">
      <selection sqref="A1:Q2"/>
    </sheetView>
  </sheetViews>
  <sheetFormatPr defaultRowHeight="13.8"/>
  <cols>
    <col min="1" max="1" width="7" customWidth="1"/>
    <col min="2" max="2" width="12" customWidth="1"/>
    <col min="3" max="4" width="14" customWidth="1"/>
    <col min="5" max="6" width="13" customWidth="1"/>
    <col min="7" max="8" width="14" customWidth="1"/>
    <col min="9" max="10" width="16" customWidth="1"/>
    <col min="11" max="11" width="3" customWidth="1"/>
    <col min="12" max="12" width="7" customWidth="1"/>
    <col min="13" max="13" width="12" customWidth="1"/>
    <col min="14" max="15" width="14" customWidth="1"/>
    <col min="16" max="17" width="13" customWidth="1"/>
    <col min="18" max="19" width="14" customWidth="1"/>
    <col min="20" max="21" width="16" customWidth="1"/>
    <col min="22" max="22" width="3" customWidth="1"/>
    <col min="23" max="23" width="7" customWidth="1"/>
    <col min="24" max="24" width="12" customWidth="1"/>
    <col min="25" max="26" width="14" customWidth="1"/>
    <col min="27" max="28" width="13" customWidth="1"/>
    <col min="29" max="30" width="14" customWidth="1"/>
    <col min="31" max="32" width="16" customWidth="1"/>
    <col min="33" max="33" width="3" customWidth="1"/>
    <col min="34" max="34" width="7" customWidth="1"/>
    <col min="35" max="35" width="12" customWidth="1"/>
    <col min="36" max="37" width="14" customWidth="1"/>
    <col min="38" max="39" width="13" customWidth="1"/>
    <col min="40" max="41" width="14" customWidth="1"/>
    <col min="42" max="43" width="16" customWidth="1"/>
    <col min="44" max="44" width="3" customWidth="1"/>
    <col min="45" max="45" width="7" customWidth="1"/>
    <col min="46" max="46" width="12" customWidth="1"/>
    <col min="47" max="48" width="14" customWidth="1"/>
    <col min="49" max="50" width="13" customWidth="1"/>
    <col min="51" max="52" width="14" customWidth="1"/>
    <col min="53" max="54" width="16" customWidth="1"/>
    <col min="55" max="55" width="3" customWidth="1"/>
    <col min="56" max="56" width="7" customWidth="1"/>
    <col min="57" max="57" width="12" customWidth="1"/>
    <col min="58" max="59" width="14" customWidth="1"/>
    <col min="60" max="61" width="13" customWidth="1"/>
    <col min="62" max="63" width="14" customWidth="1"/>
    <col min="64" max="65" width="16" customWidth="1"/>
  </cols>
  <sheetData>
    <row r="1" spans="1:65" ht="27" customHeight="1">
      <c r="A1" s="142" t="s">
        <v>748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</row>
    <row r="2" spans="1:65" ht="27" customHeight="1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</row>
    <row r="3" spans="1:65" ht="24" customHeight="1">
      <c r="A3" s="57" t="s">
        <v>749</v>
      </c>
      <c r="B3" s="60">
        <v>2.1000000000000001E-2</v>
      </c>
      <c r="C3" s="58"/>
      <c r="D3" s="58" t="s">
        <v>750</v>
      </c>
      <c r="E3" s="61">
        <f>1/(1+$B$3)</f>
        <v>0.97943192948090119</v>
      </c>
      <c r="F3" s="58"/>
      <c r="G3" s="58" t="s">
        <v>751</v>
      </c>
      <c r="H3" s="62">
        <v>100000</v>
      </c>
      <c r="I3" s="58"/>
      <c r="J3" s="58" t="s">
        <v>752</v>
      </c>
      <c r="K3" s="58" t="s">
        <v>753</v>
      </c>
      <c r="L3" s="58"/>
      <c r="M3" s="58" t="s">
        <v>754</v>
      </c>
      <c r="N3" s="58" t="s">
        <v>755</v>
      </c>
      <c r="O3" s="58"/>
      <c r="P3" s="58" t="s">
        <v>756</v>
      </c>
      <c r="Q3" s="59" t="s">
        <v>757</v>
      </c>
    </row>
    <row r="4" spans="1:65" ht="36" customHeight="1">
      <c r="A4" s="143" t="s">
        <v>758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</row>
    <row r="5" spans="1:65" ht="24" customHeight="1">
      <c r="A5" s="144" t="s">
        <v>759</v>
      </c>
      <c r="B5" s="144"/>
      <c r="C5" s="144"/>
      <c r="D5" s="144"/>
      <c r="E5" s="144"/>
      <c r="F5" s="144"/>
      <c r="G5" s="144"/>
      <c r="H5" s="144"/>
      <c r="I5" s="144"/>
      <c r="J5" s="144"/>
      <c r="L5" s="144" t="s">
        <v>760</v>
      </c>
      <c r="M5" s="144"/>
      <c r="N5" s="144"/>
      <c r="O5" s="144"/>
      <c r="P5" s="144"/>
      <c r="Q5" s="144"/>
      <c r="R5" s="144"/>
      <c r="S5" s="144"/>
      <c r="T5" s="144"/>
      <c r="U5" s="144"/>
      <c r="W5" s="140" t="s">
        <v>761</v>
      </c>
      <c r="X5" s="140"/>
      <c r="Y5" s="140"/>
      <c r="Z5" s="140"/>
      <c r="AA5" s="140"/>
      <c r="AB5" s="140"/>
      <c r="AC5" s="140"/>
      <c r="AD5" s="140"/>
      <c r="AE5" s="140"/>
      <c r="AF5" s="140"/>
      <c r="AH5" s="140" t="s">
        <v>762</v>
      </c>
      <c r="AI5" s="140"/>
      <c r="AJ5" s="140"/>
      <c r="AK5" s="140"/>
      <c r="AL5" s="140"/>
      <c r="AM5" s="140"/>
      <c r="AN5" s="140"/>
      <c r="AO5" s="140"/>
      <c r="AP5" s="140"/>
      <c r="AQ5" s="140"/>
      <c r="AS5" s="141" t="s">
        <v>763</v>
      </c>
      <c r="AT5" s="141"/>
      <c r="AU5" s="141"/>
      <c r="AV5" s="141"/>
      <c r="AW5" s="141"/>
      <c r="AX5" s="141"/>
      <c r="AY5" s="141"/>
      <c r="AZ5" s="141"/>
      <c r="BA5" s="141"/>
      <c r="BB5" s="141"/>
      <c r="BD5" s="141" t="s">
        <v>764</v>
      </c>
      <c r="BE5" s="141"/>
      <c r="BF5" s="141"/>
      <c r="BG5" s="141"/>
      <c r="BH5" s="141"/>
      <c r="BI5" s="141"/>
      <c r="BJ5" s="141"/>
      <c r="BK5" s="141"/>
      <c r="BL5" s="141"/>
      <c r="BM5" s="141"/>
    </row>
    <row r="6" spans="1:65" ht="34.049999999999997" customHeight="1">
      <c r="A6" s="64" t="s">
        <v>765</v>
      </c>
      <c r="B6" s="64" t="s">
        <v>766</v>
      </c>
      <c r="C6" s="64" t="s">
        <v>767</v>
      </c>
      <c r="D6" s="64" t="s">
        <v>768</v>
      </c>
      <c r="E6" s="64" t="s">
        <v>769</v>
      </c>
      <c r="F6" s="64" t="s">
        <v>770</v>
      </c>
      <c r="G6" s="64" t="s">
        <v>771</v>
      </c>
      <c r="H6" s="64" t="s">
        <v>772</v>
      </c>
      <c r="I6" s="64" t="s">
        <v>773</v>
      </c>
      <c r="J6" s="64" t="s">
        <v>774</v>
      </c>
      <c r="L6" s="64" t="s">
        <v>765</v>
      </c>
      <c r="M6" s="64" t="s">
        <v>766</v>
      </c>
      <c r="N6" s="64" t="s">
        <v>767</v>
      </c>
      <c r="O6" s="64" t="s">
        <v>768</v>
      </c>
      <c r="P6" s="64" t="s">
        <v>769</v>
      </c>
      <c r="Q6" s="64" t="s">
        <v>770</v>
      </c>
      <c r="R6" s="64" t="s">
        <v>771</v>
      </c>
      <c r="S6" s="64" t="s">
        <v>772</v>
      </c>
      <c r="T6" s="64" t="s">
        <v>773</v>
      </c>
      <c r="U6" s="64" t="s">
        <v>774</v>
      </c>
      <c r="W6" s="64" t="s">
        <v>765</v>
      </c>
      <c r="X6" s="64" t="s">
        <v>766</v>
      </c>
      <c r="Y6" s="64" t="s">
        <v>767</v>
      </c>
      <c r="Z6" s="64" t="s">
        <v>768</v>
      </c>
      <c r="AA6" s="64" t="s">
        <v>769</v>
      </c>
      <c r="AB6" s="64" t="s">
        <v>770</v>
      </c>
      <c r="AC6" s="64" t="s">
        <v>771</v>
      </c>
      <c r="AD6" s="64" t="s">
        <v>772</v>
      </c>
      <c r="AE6" s="64" t="s">
        <v>773</v>
      </c>
      <c r="AF6" s="64" t="s">
        <v>774</v>
      </c>
      <c r="AH6" s="64" t="s">
        <v>765</v>
      </c>
      <c r="AI6" s="64" t="s">
        <v>766</v>
      </c>
      <c r="AJ6" s="64" t="s">
        <v>767</v>
      </c>
      <c r="AK6" s="64" t="s">
        <v>768</v>
      </c>
      <c r="AL6" s="64" t="s">
        <v>769</v>
      </c>
      <c r="AM6" s="64" t="s">
        <v>770</v>
      </c>
      <c r="AN6" s="64" t="s">
        <v>771</v>
      </c>
      <c r="AO6" s="64" t="s">
        <v>772</v>
      </c>
      <c r="AP6" s="64" t="s">
        <v>773</v>
      </c>
      <c r="AQ6" s="64" t="s">
        <v>774</v>
      </c>
      <c r="AS6" s="64" t="s">
        <v>765</v>
      </c>
      <c r="AT6" s="64" t="s">
        <v>766</v>
      </c>
      <c r="AU6" s="64" t="s">
        <v>767</v>
      </c>
      <c r="AV6" s="64" t="s">
        <v>768</v>
      </c>
      <c r="AW6" s="64" t="s">
        <v>769</v>
      </c>
      <c r="AX6" s="64" t="s">
        <v>770</v>
      </c>
      <c r="AY6" s="64" t="s">
        <v>771</v>
      </c>
      <c r="AZ6" s="64" t="s">
        <v>772</v>
      </c>
      <c r="BA6" s="64" t="s">
        <v>773</v>
      </c>
      <c r="BB6" s="64" t="s">
        <v>774</v>
      </c>
      <c r="BD6" s="64" t="s">
        <v>765</v>
      </c>
      <c r="BE6" s="64" t="s">
        <v>766</v>
      </c>
      <c r="BF6" s="64" t="s">
        <v>767</v>
      </c>
      <c r="BG6" s="64" t="s">
        <v>768</v>
      </c>
      <c r="BH6" s="64" t="s">
        <v>769</v>
      </c>
      <c r="BI6" s="64" t="s">
        <v>770</v>
      </c>
      <c r="BJ6" s="64" t="s">
        <v>771</v>
      </c>
      <c r="BK6" s="64" t="s">
        <v>772</v>
      </c>
      <c r="BL6" s="64" t="s">
        <v>773</v>
      </c>
      <c r="BM6" s="64" t="s">
        <v>774</v>
      </c>
    </row>
    <row r="7" spans="1:65" ht="18" customHeight="1">
      <c r="A7" s="65">
        <v>0</v>
      </c>
      <c r="B7" s="68">
        <f>'보험개발원 위험률(1세)'!D7</f>
        <v>1.56E-3</v>
      </c>
      <c r="C7" s="68">
        <f>'보험개발원 위험률(1세)'!D209</f>
        <v>4.1899999999999999E-4</v>
      </c>
      <c r="D7" s="71">
        <f t="shared" ref="D7:D38" si="0">(1-B7)*C7</f>
        <v>4.1834635999999997E-4</v>
      </c>
      <c r="E7" s="74">
        <f>$H$3</f>
        <v>100000</v>
      </c>
      <c r="F7" s="74">
        <f t="shared" ref="F7:F38" si="1">E7*D7</f>
        <v>41.834635999999996</v>
      </c>
      <c r="G7" s="74">
        <f t="shared" ref="G7:G38" si="2">$E$3^A7*E7</f>
        <v>100000</v>
      </c>
      <c r="H7" s="74">
        <f t="shared" ref="H7:H38" si="3">$E$3^(A7+1)*F7</f>
        <v>40.974178256611168</v>
      </c>
      <c r="I7" s="74">
        <f t="shared" ref="I7:I38" si="4">G7+I8</f>
        <v>3729195.6896303981</v>
      </c>
      <c r="J7" s="74">
        <f t="shared" ref="J7:J38" si="5">H7+J8</f>
        <v>9354.5521502266547</v>
      </c>
      <c r="L7" s="65">
        <v>0</v>
      </c>
      <c r="M7" s="68">
        <f>'보험개발원 위험률(1세)'!E7</f>
        <v>1.4499999999999999E-3</v>
      </c>
      <c r="N7" s="68">
        <f>'보험개발원 위험률(1세)'!E209</f>
        <v>3.8999999999999999E-4</v>
      </c>
      <c r="O7" s="71">
        <f t="shared" ref="O7:O38" si="6">(1-M7)*N7</f>
        <v>3.8943450000000003E-4</v>
      </c>
      <c r="P7" s="74">
        <f>$H$3</f>
        <v>100000</v>
      </c>
      <c r="Q7" s="74">
        <f t="shared" ref="Q7:Q38" si="7">P7*O7</f>
        <v>38.943450000000006</v>
      </c>
      <c r="R7" s="74">
        <f t="shared" ref="R7:R38" si="8">$E$3^L7*P7</f>
        <v>100000</v>
      </c>
      <c r="S7" s="74">
        <f t="shared" ref="S7:S38" si="9">$E$3^(L7+1)*Q7</f>
        <v>38.142458374143004</v>
      </c>
      <c r="T7" s="74">
        <f t="shared" ref="T7:T38" si="10">R7+T8</f>
        <v>3720791.7668680483</v>
      </c>
      <c r="U7" s="74">
        <f t="shared" ref="U7:U38" si="11">S7+U8</f>
        <v>9045.9239170076416</v>
      </c>
      <c r="W7" s="77">
        <v>0</v>
      </c>
      <c r="X7" s="68">
        <f>'보험개발원 위험률(1세)'!D7</f>
        <v>1.56E-3</v>
      </c>
      <c r="Y7" s="68">
        <f>'보험개발원 위험률(1세)'!D290</f>
        <v>2.8899999999999998E-4</v>
      </c>
      <c r="Z7" s="71">
        <f t="shared" ref="Z7:Z38" si="12">(1-X7)*Y7</f>
        <v>2.8854915999999999E-4</v>
      </c>
      <c r="AA7" s="74">
        <f>$H$3</f>
        <v>100000</v>
      </c>
      <c r="AB7" s="74">
        <f t="shared" ref="AB7:AB38" si="13">AA7*Z7</f>
        <v>28.854915999999999</v>
      </c>
      <c r="AC7" s="74">
        <f t="shared" ref="AC7:AC38" si="14">$E$3^W7*AA7</f>
        <v>100000</v>
      </c>
      <c r="AD7" s="74">
        <f t="shared" ref="AD7:AD38" si="15">$E$3^(W7+1)*AB7</f>
        <v>28.261426052889327</v>
      </c>
      <c r="AE7" s="74">
        <f t="shared" ref="AE7:AE38" si="16">AC7+AE8</f>
        <v>3816634.5744362557</v>
      </c>
      <c r="AF7" s="74">
        <f t="shared" ref="AF7:AF38" si="17">AD7+AF8</f>
        <v>3636.2212869704704</v>
      </c>
      <c r="AH7" s="77">
        <v>0</v>
      </c>
      <c r="AI7" s="68">
        <f>'보험개발원 위험률(1세)'!E7</f>
        <v>1.4499999999999999E-3</v>
      </c>
      <c r="AJ7" s="68">
        <f>'보험개발원 위험률(1세)'!E290</f>
        <v>2.0000000000000001E-4</v>
      </c>
      <c r="AK7" s="71">
        <f t="shared" ref="AK7:AK38" si="18">(1-AI7)*AJ7</f>
        <v>1.9971000000000002E-4</v>
      </c>
      <c r="AL7" s="74">
        <f>$H$3</f>
        <v>100000</v>
      </c>
      <c r="AM7" s="74">
        <f t="shared" ref="AM7:AM38" si="19">AL7*AK7</f>
        <v>19.971000000000004</v>
      </c>
      <c r="AN7" s="74">
        <f t="shared" ref="AN7:AN38" si="20">$E$3^AH7*AL7</f>
        <v>100000</v>
      </c>
      <c r="AO7" s="74">
        <f t="shared" ref="AO7:AO38" si="21">$E$3^(AH7+1)*AM7</f>
        <v>19.560235063663082</v>
      </c>
      <c r="AP7" s="74">
        <f t="shared" ref="AP7:AP38" si="22">AN7+AP8</f>
        <v>3868727.0521850102</v>
      </c>
      <c r="AQ7" s="74">
        <f t="shared" ref="AQ7:AQ38" si="23">AO7+AQ8</f>
        <v>2567.2468587293629</v>
      </c>
      <c r="AS7" s="80">
        <v>0</v>
      </c>
      <c r="AT7" s="68">
        <f>'보험개발원 위험률(1세)'!D7</f>
        <v>1.56E-3</v>
      </c>
      <c r="AU7" s="68">
        <f>'보험개발원 위험률(1세)'!D371</f>
        <v>1.9999999999999999E-6</v>
      </c>
      <c r="AV7" s="71">
        <f t="shared" ref="AV7:AV38" si="24">(1-AT7)*AU7</f>
        <v>1.9968799999999998E-6</v>
      </c>
      <c r="AW7" s="74">
        <f>$H$3</f>
        <v>100000</v>
      </c>
      <c r="AX7" s="74">
        <f t="shared" ref="AX7:AX38" si="25">AW7*AV7</f>
        <v>0.19968799999999998</v>
      </c>
      <c r="AY7" s="74">
        <f t="shared" ref="AY7:AY38" si="26">$E$3^AS7*AW7</f>
        <v>100000</v>
      </c>
      <c r="AZ7" s="74">
        <f t="shared" ref="AZ7:AZ38" si="27">$E$3^(AS7+1)*AX7</f>
        <v>0.19558080313418216</v>
      </c>
      <c r="BA7" s="74">
        <f t="shared" ref="BA7:BA38" si="28">AY7+BA8</f>
        <v>3848881.5165807367</v>
      </c>
      <c r="BB7" s="74">
        <f t="shared" ref="BB7:BB38" si="29">AZ7+BB8</f>
        <v>1415.0969638173117</v>
      </c>
      <c r="BD7" s="80">
        <v>0</v>
      </c>
      <c r="BE7" s="68">
        <f>'보험개발원 위험률(1세)'!E7</f>
        <v>1.4499999999999999E-3</v>
      </c>
      <c r="BF7" s="68">
        <f>'보험개발원 위험률(1세)'!E371</f>
        <v>3.0000000000000001E-6</v>
      </c>
      <c r="BG7" s="71">
        <f t="shared" ref="BG7:BG38" si="30">(1-BE7)*BF7</f>
        <v>2.9956500000000003E-6</v>
      </c>
      <c r="BH7" s="74">
        <f>$H$3</f>
        <v>100000</v>
      </c>
      <c r="BI7" s="74">
        <f t="shared" ref="BI7:BI38" si="31">BH7*BG7</f>
        <v>0.29956500000000003</v>
      </c>
      <c r="BJ7" s="74">
        <f t="shared" ref="BJ7:BJ38" si="32">$E$3^BD7*BH7</f>
        <v>100000</v>
      </c>
      <c r="BK7" s="74">
        <f t="shared" ref="BK7:BK38" si="33">$E$3^(BD7+1)*BI7</f>
        <v>0.29340352595494618</v>
      </c>
      <c r="BL7" s="74">
        <f t="shared" ref="BL7:BL38" si="34">BJ7+BL8</f>
        <v>3901143.9800993344</v>
      </c>
      <c r="BM7" s="74">
        <f t="shared" ref="BM7:BM38" si="35">BK7+BM8</f>
        <v>371.94971092250108</v>
      </c>
    </row>
    <row r="8" spans="1:65" ht="18" customHeight="1">
      <c r="A8" s="66">
        <v>1</v>
      </c>
      <c r="B8" s="69">
        <f>'보험개발원 위험률(1세)'!D8</f>
        <v>1.256E-3</v>
      </c>
      <c r="C8" s="69">
        <f>'보험개발원 위험률(1세)'!D210</f>
        <v>3.9169999999999998E-4</v>
      </c>
      <c r="D8" s="72">
        <f t="shared" si="0"/>
        <v>3.9120802479999998E-4</v>
      </c>
      <c r="E8" s="75">
        <f t="shared" ref="E8:E39" si="36">E7*(1-B7)*(1-C7)</f>
        <v>99802.165364</v>
      </c>
      <c r="F8" s="75">
        <f t="shared" si="1"/>
        <v>39.043407982813413</v>
      </c>
      <c r="G8" s="75">
        <f t="shared" si="2"/>
        <v>97749.427388834491</v>
      </c>
      <c r="H8" s="75">
        <f t="shared" si="3"/>
        <v>37.453829984443651</v>
      </c>
      <c r="I8" s="75">
        <f t="shared" si="4"/>
        <v>3629195.6896303981</v>
      </c>
      <c r="J8" s="75">
        <f t="shared" si="5"/>
        <v>9313.577971970044</v>
      </c>
      <c r="L8" s="66">
        <v>1</v>
      </c>
      <c r="M8" s="69">
        <f>'보험개발원 위험률(1세)'!E8</f>
        <v>1.168E-3</v>
      </c>
      <c r="N8" s="69">
        <f>'보험개발원 위험률(1세)'!E210</f>
        <v>3.6640000000000002E-4</v>
      </c>
      <c r="O8" s="72">
        <f t="shared" si="6"/>
        <v>3.6597204480000003E-4</v>
      </c>
      <c r="P8" s="75">
        <f t="shared" ref="P8:P39" si="37">P7*(1-M7)*(1-N7)</f>
        <v>99816.056549999994</v>
      </c>
      <c r="Q8" s="75">
        <f t="shared" si="7"/>
        <v>36.529886319475935</v>
      </c>
      <c r="R8" s="75">
        <f t="shared" si="8"/>
        <v>97763.032859941246</v>
      </c>
      <c r="S8" s="75">
        <f t="shared" si="9"/>
        <v>35.042641568660422</v>
      </c>
      <c r="T8" s="75">
        <f t="shared" si="10"/>
        <v>3620791.7668680483</v>
      </c>
      <c r="U8" s="75">
        <f t="shared" si="11"/>
        <v>9007.7814586334989</v>
      </c>
      <c r="W8" s="78">
        <v>1</v>
      </c>
      <c r="X8" s="69">
        <f>'보험개발원 위험률(1세)'!D8</f>
        <v>1.256E-3</v>
      </c>
      <c r="Y8" s="69">
        <f>'보험개발원 위험률(1세)'!D291</f>
        <v>2.6289999999999999E-4</v>
      </c>
      <c r="Z8" s="72">
        <f t="shared" si="12"/>
        <v>2.6256979759999998E-4</v>
      </c>
      <c r="AA8" s="75">
        <f t="shared" ref="AA8:AA39" si="38">AA7*(1-X7)*(1-Y7)</f>
        <v>99815.145084000003</v>
      </c>
      <c r="AB8" s="75">
        <f t="shared" si="13"/>
        <v>26.208442442120514</v>
      </c>
      <c r="AC8" s="75">
        <f t="shared" si="14"/>
        <v>97762.14014103821</v>
      </c>
      <c r="AD8" s="75">
        <f t="shared" si="15"/>
        <v>25.141415621719137</v>
      </c>
      <c r="AE8" s="75">
        <f t="shared" si="16"/>
        <v>3716634.5744362557</v>
      </c>
      <c r="AF8" s="75">
        <f t="shared" si="17"/>
        <v>3607.959860917581</v>
      </c>
      <c r="AH8" s="78">
        <v>1</v>
      </c>
      <c r="AI8" s="69">
        <f>'보험개발원 위험률(1세)'!E8</f>
        <v>1.168E-3</v>
      </c>
      <c r="AJ8" s="69">
        <f>'보험개발원 위험률(1세)'!E291</f>
        <v>1.8240000000000002E-4</v>
      </c>
      <c r="AK8" s="72">
        <f t="shared" si="18"/>
        <v>1.8218695680000002E-4</v>
      </c>
      <c r="AL8" s="75">
        <f t="shared" ref="AL8:AL39" si="39">AL7*(1-AI7)*(1-AJ7)</f>
        <v>99835.028999999995</v>
      </c>
      <c r="AM8" s="75">
        <f t="shared" si="19"/>
        <v>18.188640115549749</v>
      </c>
      <c r="AN8" s="75">
        <f t="shared" si="20"/>
        <v>97781.615083251716</v>
      </c>
      <c r="AO8" s="75">
        <f t="shared" si="21"/>
        <v>17.448124273267986</v>
      </c>
      <c r="AP8" s="75">
        <f t="shared" si="22"/>
        <v>3768727.0521850102</v>
      </c>
      <c r="AQ8" s="75">
        <f t="shared" si="23"/>
        <v>2547.6866236656997</v>
      </c>
      <c r="AS8" s="81">
        <v>1</v>
      </c>
      <c r="AT8" s="69">
        <f>'보험개발원 위험률(1세)'!D8</f>
        <v>1.256E-3</v>
      </c>
      <c r="AU8" s="69">
        <f>'보험개발원 위험률(1세)'!D372</f>
        <v>2.0999999999999998E-6</v>
      </c>
      <c r="AV8" s="72">
        <f t="shared" si="24"/>
        <v>2.0973623999999996E-6</v>
      </c>
      <c r="AW8" s="75">
        <f t="shared" ref="AW8:AW39" si="40">AW7*(1-AT7)*(1-AU7)</f>
        <v>99843.800312000007</v>
      </c>
      <c r="AX8" s="75">
        <f t="shared" si="25"/>
        <v>0.20940863264749704</v>
      </c>
      <c r="AY8" s="75">
        <f t="shared" si="26"/>
        <v>97790.205986287969</v>
      </c>
      <c r="AZ8" s="75">
        <f t="shared" si="27"/>
        <v>0.20088295898520594</v>
      </c>
      <c r="BA8" s="75">
        <f t="shared" si="28"/>
        <v>3748881.5165807367</v>
      </c>
      <c r="BB8" s="75">
        <f t="shared" si="29"/>
        <v>1414.9013830141776</v>
      </c>
      <c r="BD8" s="81">
        <v>1</v>
      </c>
      <c r="BE8" s="69">
        <f>'보험개발원 위험률(1세)'!E8</f>
        <v>1.168E-3</v>
      </c>
      <c r="BF8" s="69">
        <f>'보험개발원 위험률(1세)'!E372</f>
        <v>2.7999999999999999E-6</v>
      </c>
      <c r="BG8" s="72">
        <f t="shared" si="30"/>
        <v>2.7967296000000001E-6</v>
      </c>
      <c r="BH8" s="75">
        <f t="shared" ref="BH8:BH39" si="41">BH7*(1-BE7)*(1-BF7)</f>
        <v>99854.700435000006</v>
      </c>
      <c r="BI8" s="75">
        <f t="shared" si="31"/>
        <v>0.2792665964056974</v>
      </c>
      <c r="BJ8" s="75">
        <f t="shared" si="32"/>
        <v>97800.881914789439</v>
      </c>
      <c r="BK8" s="75">
        <f t="shared" si="33"/>
        <v>0.26789678879255274</v>
      </c>
      <c r="BL8" s="75">
        <f t="shared" si="34"/>
        <v>3801143.9800993344</v>
      </c>
      <c r="BM8" s="75">
        <f t="shared" si="35"/>
        <v>371.65630739654614</v>
      </c>
    </row>
    <row r="9" spans="1:65" ht="18" customHeight="1">
      <c r="A9" s="66">
        <v>2</v>
      </c>
      <c r="B9" s="69">
        <f>'보험개발원 위험률(1세)'!D9</f>
        <v>9.5200000000000005E-4</v>
      </c>
      <c r="C9" s="69">
        <f>'보험개발원 위험률(1세)'!D211</f>
        <v>3.6439999999999997E-4</v>
      </c>
      <c r="D9" s="72">
        <f t="shared" si="0"/>
        <v>3.640530912E-4</v>
      </c>
      <c r="E9" s="75">
        <f t="shared" si="36"/>
        <v>99637.770436320003</v>
      </c>
      <c r="F9" s="75">
        <f t="shared" si="1"/>
        <v>36.273438327618273</v>
      </c>
      <c r="G9" s="75">
        <f t="shared" si="2"/>
        <v>95581.208371811954</v>
      </c>
      <c r="H9" s="75">
        <f t="shared" si="3"/>
        <v>34.080934738873133</v>
      </c>
      <c r="I9" s="75">
        <f t="shared" si="4"/>
        <v>3531446.2622415638</v>
      </c>
      <c r="J9" s="75">
        <f t="shared" si="5"/>
        <v>9276.1241419855996</v>
      </c>
      <c r="L9" s="66">
        <v>2</v>
      </c>
      <c r="M9" s="69">
        <f>'보험개발원 위험률(1세)'!E9</f>
        <v>8.8599999999999996E-4</v>
      </c>
      <c r="N9" s="69">
        <f>'보험개발원 위험률(1세)'!E211</f>
        <v>3.4279999999999998E-4</v>
      </c>
      <c r="O9" s="72">
        <f t="shared" si="6"/>
        <v>3.4249627919999995E-4</v>
      </c>
      <c r="P9" s="75">
        <f t="shared" si="37"/>
        <v>99662.941509630124</v>
      </c>
      <c r="Q9" s="75">
        <f t="shared" si="7"/>
        <v>34.134186641175546</v>
      </c>
      <c r="R9" s="75">
        <f t="shared" si="8"/>
        <v>95605.354652810231</v>
      </c>
      <c r="S9" s="75">
        <f t="shared" si="9"/>
        <v>32.070987502628704</v>
      </c>
      <c r="T9" s="75">
        <f t="shared" si="10"/>
        <v>3523028.7340081073</v>
      </c>
      <c r="U9" s="75">
        <f t="shared" si="11"/>
        <v>8972.7388170648392</v>
      </c>
      <c r="W9" s="78">
        <v>2</v>
      </c>
      <c r="X9" s="69">
        <f>'보험개발원 위험률(1세)'!D9</f>
        <v>9.5200000000000005E-4</v>
      </c>
      <c r="Y9" s="69">
        <f>'보험개발원 위험률(1세)'!D292</f>
        <v>2.3679999999999998E-4</v>
      </c>
      <c r="Z9" s="72">
        <f t="shared" si="12"/>
        <v>2.3657456639999998E-4</v>
      </c>
      <c r="AA9" s="75">
        <f t="shared" si="38"/>
        <v>99663.568819332373</v>
      </c>
      <c r="AB9" s="75">
        <f t="shared" si="13"/>
        <v>23.577865579310114</v>
      </c>
      <c r="AC9" s="75">
        <f t="shared" si="14"/>
        <v>95605.956422792646</v>
      </c>
      <c r="AD9" s="75">
        <f t="shared" si="15"/>
        <v>22.152730348657656</v>
      </c>
      <c r="AE9" s="75">
        <f t="shared" si="16"/>
        <v>3618872.4342952175</v>
      </c>
      <c r="AF9" s="75">
        <f t="shared" si="17"/>
        <v>3582.8184452958617</v>
      </c>
      <c r="AH9" s="78">
        <v>2</v>
      </c>
      <c r="AI9" s="69">
        <f>'보험개발원 위험률(1세)'!E9</f>
        <v>8.8599999999999996E-4</v>
      </c>
      <c r="AJ9" s="69">
        <f>'보험개발원 위험률(1세)'!E292</f>
        <v>1.6479999999999999E-4</v>
      </c>
      <c r="AK9" s="72">
        <f t="shared" si="18"/>
        <v>1.6465398719999998E-4</v>
      </c>
      <c r="AL9" s="75">
        <f t="shared" si="39"/>
        <v>99700.23304601245</v>
      </c>
      <c r="AM9" s="75">
        <f t="shared" si="19"/>
        <v>16.416040895795149</v>
      </c>
      <c r="AN9" s="75">
        <f t="shared" si="20"/>
        <v>95641.127935309982</v>
      </c>
      <c r="AO9" s="75">
        <f t="shared" si="21"/>
        <v>15.423793393588728</v>
      </c>
      <c r="AP9" s="75">
        <f t="shared" si="22"/>
        <v>3670945.4371017586</v>
      </c>
      <c r="AQ9" s="75">
        <f t="shared" si="23"/>
        <v>2530.2384993924315</v>
      </c>
      <c r="AS9" s="81">
        <v>2</v>
      </c>
      <c r="AT9" s="69">
        <f>'보험개발원 위험률(1세)'!D9</f>
        <v>9.5200000000000005E-4</v>
      </c>
      <c r="AU9" s="69">
        <f>'보험개발원 위험률(1세)'!D373</f>
        <v>2.2000000000000001E-6</v>
      </c>
      <c r="AV9" s="72">
        <f t="shared" si="24"/>
        <v>2.1979056000000002E-6</v>
      </c>
      <c r="AW9" s="75">
        <f t="shared" si="40"/>
        <v>99718.187090175474</v>
      </c>
      <c r="AX9" s="75">
        <f t="shared" si="25"/>
        <v>0.21917116182734439</v>
      </c>
      <c r="AY9" s="75">
        <f t="shared" si="26"/>
        <v>95658.35101475814</v>
      </c>
      <c r="AZ9" s="75">
        <f t="shared" si="27"/>
        <v>0.20592362916954224</v>
      </c>
      <c r="BA9" s="75">
        <f t="shared" si="28"/>
        <v>3651091.3105944488</v>
      </c>
      <c r="BB9" s="75">
        <f t="shared" si="29"/>
        <v>1414.7005000551924</v>
      </c>
      <c r="BD9" s="81">
        <v>2</v>
      </c>
      <c r="BE9" s="69">
        <f>'보험개발원 위험률(1세)'!E9</f>
        <v>8.8599999999999996E-4</v>
      </c>
      <c r="BF9" s="69">
        <f>'보험개발원 위험률(1세)'!E373</f>
        <v>2.6000000000000001E-6</v>
      </c>
      <c r="BG9" s="72">
        <f t="shared" si="30"/>
        <v>2.5976963999999998E-6</v>
      </c>
      <c r="BH9" s="75">
        <f t="shared" si="41"/>
        <v>99737.79087829552</v>
      </c>
      <c r="BI9" s="75">
        <f t="shared" si="31"/>
        <v>0.25908850030850111</v>
      </c>
      <c r="BJ9" s="75">
        <f t="shared" si="32"/>
        <v>95677.156671980032</v>
      </c>
      <c r="BK9" s="75">
        <f t="shared" si="33"/>
        <v>0.24342821297653139</v>
      </c>
      <c r="BL9" s="75">
        <f t="shared" si="34"/>
        <v>3703343.0981845451</v>
      </c>
      <c r="BM9" s="75">
        <f t="shared" si="35"/>
        <v>371.3884106077536</v>
      </c>
    </row>
    <row r="10" spans="1:65" ht="18" customHeight="1">
      <c r="A10" s="66">
        <v>3</v>
      </c>
      <c r="B10" s="69">
        <f>'보험개발원 위험률(1세)'!D10</f>
        <v>6.4800000000000003E-4</v>
      </c>
      <c r="C10" s="69">
        <f>'보험개발원 위험률(1세)'!D212</f>
        <v>3.3710000000000001E-4</v>
      </c>
      <c r="D10" s="72">
        <f t="shared" si="0"/>
        <v>3.3688155920000003E-4</v>
      </c>
      <c r="E10" s="75">
        <f t="shared" si="36"/>
        <v>99506.641840537006</v>
      </c>
      <c r="F10" s="75">
        <f t="shared" si="1"/>
        <v>33.521952653996067</v>
      </c>
      <c r="G10" s="75">
        <f t="shared" si="2"/>
        <v>93492.084649435463</v>
      </c>
      <c r="H10" s="75">
        <f t="shared" si="3"/>
        <v>30.84795225226269</v>
      </c>
      <c r="I10" s="75">
        <f t="shared" si="4"/>
        <v>3435865.0538697517</v>
      </c>
      <c r="J10" s="75">
        <f t="shared" si="5"/>
        <v>9242.0432072467265</v>
      </c>
      <c r="L10" s="66">
        <v>3</v>
      </c>
      <c r="M10" s="69">
        <f>'보험개발원 위험률(1세)'!E10</f>
        <v>6.0400000000000004E-4</v>
      </c>
      <c r="N10" s="69">
        <f>'보험개발원 위험률(1세)'!E212</f>
        <v>3.1920000000000001E-4</v>
      </c>
      <c r="O10" s="72">
        <f t="shared" si="6"/>
        <v>3.1900720320000002E-4</v>
      </c>
      <c r="P10" s="75">
        <f t="shared" si="37"/>
        <v>99540.505956811423</v>
      </c>
      <c r="Q10" s="75">
        <f t="shared" si="7"/>
        <v>31.754138410395353</v>
      </c>
      <c r="R10" s="75">
        <f t="shared" si="8"/>
        <v>93523.901890644134</v>
      </c>
      <c r="S10" s="75">
        <f t="shared" si="9"/>
        <v>29.221154137596063</v>
      </c>
      <c r="T10" s="75">
        <f t="shared" si="10"/>
        <v>3427423.379355297</v>
      </c>
      <c r="U10" s="75">
        <f t="shared" si="11"/>
        <v>8940.6678295622096</v>
      </c>
      <c r="W10" s="78">
        <v>3</v>
      </c>
      <c r="X10" s="69">
        <f>'보험개발원 위험률(1세)'!D10</f>
        <v>6.4800000000000003E-4</v>
      </c>
      <c r="Y10" s="69">
        <f>'보험개발원 위험률(1세)'!D293</f>
        <v>2.1069999999999997E-4</v>
      </c>
      <c r="Z10" s="72">
        <f t="shared" si="12"/>
        <v>2.1056346639999998E-4</v>
      </c>
      <c r="AA10" s="75">
        <f t="shared" si="38"/>
        <v>99545.111236237062</v>
      </c>
      <c r="AB10" s="75">
        <f t="shared" si="13"/>
        <v>20.960563685075662</v>
      </c>
      <c r="AC10" s="75">
        <f t="shared" si="14"/>
        <v>93528.228809590772</v>
      </c>
      <c r="AD10" s="75">
        <f t="shared" si="15"/>
        <v>19.2885681335943</v>
      </c>
      <c r="AE10" s="75">
        <f t="shared" si="16"/>
        <v>3523266.4778724248</v>
      </c>
      <c r="AF10" s="75">
        <f t="shared" si="17"/>
        <v>3560.6657149472039</v>
      </c>
      <c r="AH10" s="78">
        <v>3</v>
      </c>
      <c r="AI10" s="69">
        <f>'보험개발원 위험률(1세)'!E10</f>
        <v>6.0400000000000004E-4</v>
      </c>
      <c r="AJ10" s="69">
        <f>'보험개발원 위험률(1세)'!E293</f>
        <v>1.472E-4</v>
      </c>
      <c r="AK10" s="72">
        <f t="shared" si="18"/>
        <v>1.4711109119999998E-4</v>
      </c>
      <c r="AL10" s="75">
        <f t="shared" si="39"/>
        <v>99595.482598637886</v>
      </c>
      <c r="AM10" s="75">
        <f t="shared" si="19"/>
        <v>14.651600123676229</v>
      </c>
      <c r="AN10" s="75">
        <f t="shared" si="20"/>
        <v>93575.555536635104</v>
      </c>
      <c r="AO10" s="75">
        <f t="shared" si="21"/>
        <v>13.48286198299764</v>
      </c>
      <c r="AP10" s="75">
        <f t="shared" si="22"/>
        <v>3575304.3091664487</v>
      </c>
      <c r="AQ10" s="75">
        <f t="shared" si="23"/>
        <v>2514.8147059988428</v>
      </c>
      <c r="AS10" s="81">
        <v>3</v>
      </c>
      <c r="AT10" s="69">
        <f>'보험개발원 위험률(1세)'!D10</f>
        <v>6.4800000000000003E-4</v>
      </c>
      <c r="AU10" s="69">
        <f>'보험개발원 위험률(1세)'!D374</f>
        <v>2.3E-6</v>
      </c>
      <c r="AV10" s="72">
        <f t="shared" si="24"/>
        <v>2.2985096000000002E-6</v>
      </c>
      <c r="AW10" s="75">
        <f t="shared" si="40"/>
        <v>99623.036204903809</v>
      </c>
      <c r="AX10" s="75">
        <f t="shared" si="25"/>
        <v>0.22898450509811899</v>
      </c>
      <c r="AY10" s="75">
        <f t="shared" si="26"/>
        <v>93601.443698890042</v>
      </c>
      <c r="AZ10" s="75">
        <f t="shared" si="27"/>
        <v>0.21071872371768688</v>
      </c>
      <c r="BA10" s="75">
        <f t="shared" si="28"/>
        <v>3555432.9595796908</v>
      </c>
      <c r="BB10" s="75">
        <f t="shared" si="29"/>
        <v>1414.4945764260228</v>
      </c>
      <c r="BD10" s="81">
        <v>3</v>
      </c>
      <c r="BE10" s="69">
        <f>'보험개발원 위험률(1세)'!E10</f>
        <v>6.0400000000000004E-4</v>
      </c>
      <c r="BF10" s="69">
        <f>'보험개발원 위험률(1세)'!E374</f>
        <v>2.3999999999999999E-6</v>
      </c>
      <c r="BG10" s="72">
        <f t="shared" si="30"/>
        <v>2.3985503999999999E-6</v>
      </c>
      <c r="BH10" s="75">
        <f t="shared" si="41"/>
        <v>99649.164107077042</v>
      </c>
      <c r="BI10" s="75">
        <f t="shared" si="31"/>
        <v>0.23901354242869527</v>
      </c>
      <c r="BJ10" s="75">
        <f t="shared" si="32"/>
        <v>93625.992331991394</v>
      </c>
      <c r="BK10" s="75">
        <f t="shared" si="33"/>
        <v>0.2199477584312389</v>
      </c>
      <c r="BL10" s="75">
        <f t="shared" si="34"/>
        <v>3607665.9415125651</v>
      </c>
      <c r="BM10" s="75">
        <f t="shared" si="35"/>
        <v>371.14498239477706</v>
      </c>
    </row>
    <row r="11" spans="1:65" ht="18" customHeight="1">
      <c r="A11" s="66">
        <v>4</v>
      </c>
      <c r="B11" s="69">
        <f>'보험개발원 위험률(1세)'!D11</f>
        <v>3.4400000000000012E-4</v>
      </c>
      <c r="C11" s="69">
        <f>'보험개발원 위험률(1세)'!D213</f>
        <v>3.098E-4</v>
      </c>
      <c r="D11" s="72">
        <f t="shared" si="0"/>
        <v>3.096934288E-4</v>
      </c>
      <c r="E11" s="75">
        <f t="shared" si="36"/>
        <v>99408.639583970347</v>
      </c>
      <c r="F11" s="75">
        <f t="shared" si="1"/>
        <v>30.786202445103182</v>
      </c>
      <c r="G11" s="75">
        <f t="shared" si="2"/>
        <v>91478.948109043165</v>
      </c>
      <c r="H11" s="75">
        <f t="shared" si="3"/>
        <v>27.747726839281935</v>
      </c>
      <c r="I11" s="75">
        <f t="shared" si="4"/>
        <v>3342372.9692203165</v>
      </c>
      <c r="J11" s="75">
        <f t="shared" si="5"/>
        <v>9211.1952549944635</v>
      </c>
      <c r="L11" s="66">
        <v>4</v>
      </c>
      <c r="M11" s="69">
        <f>'보험개발원 위험률(1세)'!E11</f>
        <v>3.2200000000000002E-4</v>
      </c>
      <c r="N11" s="69">
        <f>'보험개발원 위험률(1세)'!E213</f>
        <v>2.9560000000000003E-4</v>
      </c>
      <c r="O11" s="72">
        <f t="shared" si="6"/>
        <v>2.9550481680000001E-4</v>
      </c>
      <c r="P11" s="75">
        <f t="shared" si="37"/>
        <v>99448.629352803109</v>
      </c>
      <c r="Q11" s="75">
        <f t="shared" si="7"/>
        <v>29.387548997911185</v>
      </c>
      <c r="R11" s="75">
        <f t="shared" si="8"/>
        <v>91515.747948606964</v>
      </c>
      <c r="S11" s="75">
        <f t="shared" si="9"/>
        <v>26.487114918577941</v>
      </c>
      <c r="T11" s="75">
        <f t="shared" si="10"/>
        <v>3333899.4774646526</v>
      </c>
      <c r="U11" s="75">
        <f t="shared" si="11"/>
        <v>8911.4466754246132</v>
      </c>
      <c r="W11" s="78">
        <v>4</v>
      </c>
      <c r="X11" s="69">
        <f>'보험개발원 위험률(1세)'!D11</f>
        <v>3.4400000000000012E-4</v>
      </c>
      <c r="Y11" s="69">
        <f>'보험개발원 위험률(1세)'!D294</f>
        <v>1.8459999999999999E-4</v>
      </c>
      <c r="Z11" s="72">
        <f t="shared" si="12"/>
        <v>1.8453649759999998E-4</v>
      </c>
      <c r="AA11" s="75">
        <f t="shared" si="38"/>
        <v>99459.645440470907</v>
      </c>
      <c r="AB11" s="75">
        <f t="shared" si="13"/>
        <v>18.35393462212231</v>
      </c>
      <c r="AC11" s="75">
        <f t="shared" si="14"/>
        <v>91525.885297999776</v>
      </c>
      <c r="AD11" s="75">
        <f t="shared" si="15"/>
        <v>16.542474351255837</v>
      </c>
      <c r="AE11" s="75">
        <f t="shared" si="16"/>
        <v>3429738.2490628338</v>
      </c>
      <c r="AF11" s="75">
        <f t="shared" si="17"/>
        <v>3541.3771468136097</v>
      </c>
      <c r="AH11" s="78">
        <v>4</v>
      </c>
      <c r="AI11" s="69">
        <f>'보험개발원 위험률(1세)'!E11</f>
        <v>3.2200000000000002E-4</v>
      </c>
      <c r="AJ11" s="69">
        <f>'보험개발원 위험률(1세)'!E294</f>
        <v>1.2960000000000001E-4</v>
      </c>
      <c r="AK11" s="72">
        <f t="shared" si="18"/>
        <v>1.2955826879999999E-4</v>
      </c>
      <c r="AL11" s="75">
        <f t="shared" si="39"/>
        <v>99520.675327024626</v>
      </c>
      <c r="AM11" s="75">
        <f t="shared" si="19"/>
        <v>12.893726405176183</v>
      </c>
      <c r="AN11" s="75">
        <f t="shared" si="20"/>
        <v>91582.046913816201</v>
      </c>
      <c r="AO11" s="75">
        <f t="shared" si="21"/>
        <v>11.621166945459755</v>
      </c>
      <c r="AP11" s="75">
        <f t="shared" si="22"/>
        <v>3481728.7536298134</v>
      </c>
      <c r="AQ11" s="75">
        <f t="shared" si="23"/>
        <v>2501.331844015845</v>
      </c>
      <c r="AS11" s="81">
        <v>4</v>
      </c>
      <c r="AT11" s="69">
        <f>'보험개발원 위험률(1세)'!D11</f>
        <v>3.4400000000000012E-4</v>
      </c>
      <c r="AU11" s="69">
        <f>'보험개발원 위험률(1세)'!D375</f>
        <v>2.3999999999999999E-6</v>
      </c>
      <c r="AV11" s="72">
        <f t="shared" si="24"/>
        <v>2.3991743999999997E-6</v>
      </c>
      <c r="AW11" s="75">
        <f t="shared" si="40"/>
        <v>99558.251492937939</v>
      </c>
      <c r="AX11" s="75">
        <f t="shared" si="25"/>
        <v>0.23885760829061845</v>
      </c>
      <c r="AY11" s="75">
        <f t="shared" si="26"/>
        <v>91616.625680270576</v>
      </c>
      <c r="AZ11" s="75">
        <f t="shared" si="27"/>
        <v>0.21528331336580581</v>
      </c>
      <c r="BA11" s="75">
        <f t="shared" si="28"/>
        <v>3461831.5158808008</v>
      </c>
      <c r="BB11" s="75">
        <f t="shared" si="29"/>
        <v>1414.2838577023051</v>
      </c>
      <c r="BD11" s="81">
        <v>4</v>
      </c>
      <c r="BE11" s="69">
        <f>'보험개발원 위험률(1세)'!E11</f>
        <v>3.2200000000000002E-4</v>
      </c>
      <c r="BF11" s="69">
        <f>'보험개발원 위험률(1세)'!E375</f>
        <v>2.2000000000000001E-6</v>
      </c>
      <c r="BG11" s="72">
        <f t="shared" si="30"/>
        <v>2.1992915999999999E-6</v>
      </c>
      <c r="BH11" s="75">
        <f t="shared" si="41"/>
        <v>99588.736998413937</v>
      </c>
      <c r="BI11" s="75">
        <f t="shared" si="31"/>
        <v>0.21902467273522097</v>
      </c>
      <c r="BJ11" s="75">
        <f t="shared" si="32"/>
        <v>91644.679398591106</v>
      </c>
      <c r="BK11" s="75">
        <f t="shared" si="33"/>
        <v>0.19740780958473506</v>
      </c>
      <c r="BL11" s="75">
        <f t="shared" si="34"/>
        <v>3514039.9491805737</v>
      </c>
      <c r="BM11" s="75">
        <f t="shared" si="35"/>
        <v>370.9250346363458</v>
      </c>
    </row>
    <row r="12" spans="1:65" ht="18" customHeight="1">
      <c r="A12" s="66">
        <v>5</v>
      </c>
      <c r="B12" s="69">
        <f>'보험개발원 위험률(1세)'!D12</f>
        <v>4.0000000000000003E-5</v>
      </c>
      <c r="C12" s="69">
        <f>'보험개발원 위험률(1세)'!D214</f>
        <v>2.8249999999999998E-4</v>
      </c>
      <c r="D12" s="72">
        <f t="shared" si="0"/>
        <v>2.8248869999999998E-4</v>
      </c>
      <c r="E12" s="75">
        <f t="shared" si="36"/>
        <v>99343.656809508364</v>
      </c>
      <c r="F12" s="75">
        <f t="shared" si="1"/>
        <v>28.063460465364162</v>
      </c>
      <c r="G12" s="75">
        <f t="shared" si="2"/>
        <v>89538.833419971357</v>
      </c>
      <c r="H12" s="75">
        <f t="shared" si="3"/>
        <v>24.773465869073718</v>
      </c>
      <c r="I12" s="75">
        <f t="shared" si="4"/>
        <v>3250894.0211112732</v>
      </c>
      <c r="J12" s="75">
        <f t="shared" si="5"/>
        <v>9183.4475281551822</v>
      </c>
      <c r="L12" s="66">
        <v>5</v>
      </c>
      <c r="M12" s="69">
        <f>'보험개발원 위험률(1세)'!E12</f>
        <v>4.0000000000000003E-5</v>
      </c>
      <c r="N12" s="69">
        <f>'보험개발원 위험률(1세)'!E214</f>
        <v>2.72E-4</v>
      </c>
      <c r="O12" s="72">
        <f t="shared" si="6"/>
        <v>2.7198912E-4</v>
      </c>
      <c r="P12" s="75">
        <f t="shared" si="37"/>
        <v>99387.219345153586</v>
      </c>
      <c r="Q12" s="75">
        <f t="shared" si="7"/>
        <v>27.0322423289353</v>
      </c>
      <c r="R12" s="75">
        <f t="shared" si="8"/>
        <v>89578.096506792979</v>
      </c>
      <c r="S12" s="75">
        <f t="shared" si="9"/>
        <v>23.863141665188738</v>
      </c>
      <c r="T12" s="75">
        <f t="shared" si="10"/>
        <v>3242383.7295160457</v>
      </c>
      <c r="U12" s="75">
        <f t="shared" si="11"/>
        <v>8884.9595605060349</v>
      </c>
      <c r="W12" s="78">
        <v>5</v>
      </c>
      <c r="X12" s="69">
        <f>'보험개발원 위험률(1세)'!D12</f>
        <v>4.0000000000000003E-5</v>
      </c>
      <c r="Y12" s="69">
        <f>'보험개발원 위험률(1세)'!D295</f>
        <v>1.5849999999999998E-4</v>
      </c>
      <c r="Z12" s="72">
        <f t="shared" si="12"/>
        <v>1.5849365999999997E-4</v>
      </c>
      <c r="AA12" s="75">
        <f t="shared" si="38"/>
        <v>99407.077387817262</v>
      </c>
      <c r="AB12" s="75">
        <f t="shared" si="13"/>
        <v>15.755391525098394</v>
      </c>
      <c r="AC12" s="75">
        <f t="shared" si="14"/>
        <v>89595.994639710712</v>
      </c>
      <c r="AD12" s="75">
        <f t="shared" si="15"/>
        <v>13.908322342593664</v>
      </c>
      <c r="AE12" s="75">
        <f t="shared" si="16"/>
        <v>3338212.3637648341</v>
      </c>
      <c r="AF12" s="75">
        <f t="shared" si="17"/>
        <v>3524.8346724623539</v>
      </c>
      <c r="AH12" s="78">
        <v>5</v>
      </c>
      <c r="AI12" s="69">
        <f>'보험개발원 위험률(1세)'!E12</f>
        <v>4.0000000000000003E-5</v>
      </c>
      <c r="AJ12" s="69">
        <f>'보험개발원 위험률(1세)'!E295</f>
        <v>1.1200000000000001E-4</v>
      </c>
      <c r="AK12" s="72">
        <f t="shared" si="18"/>
        <v>1.1199552000000001E-4</v>
      </c>
      <c r="AL12" s="75">
        <f t="shared" si="39"/>
        <v>99475.735943164138</v>
      </c>
      <c r="AM12" s="75">
        <f t="shared" si="19"/>
        <v>11.140836774337359</v>
      </c>
      <c r="AN12" s="75">
        <f t="shared" si="20"/>
        <v>89657.876869009429</v>
      </c>
      <c r="AO12" s="75">
        <f t="shared" si="21"/>
        <v>9.8347507757499368</v>
      </c>
      <c r="AP12" s="75">
        <f t="shared" si="22"/>
        <v>3390146.7067159973</v>
      </c>
      <c r="AQ12" s="75">
        <f t="shared" si="23"/>
        <v>2489.7106770703854</v>
      </c>
      <c r="AS12" s="81">
        <v>5</v>
      </c>
      <c r="AT12" s="69">
        <f>'보험개발원 위험률(1세)'!D12</f>
        <v>4.0000000000000003E-5</v>
      </c>
      <c r="AU12" s="69">
        <f>'보험개발원 위험률(1세)'!D376</f>
        <v>2.4999999999999998E-6</v>
      </c>
      <c r="AV12" s="72">
        <f t="shared" si="24"/>
        <v>2.4998999999999996E-6</v>
      </c>
      <c r="AW12" s="75">
        <f t="shared" si="40"/>
        <v>99523.76459681608</v>
      </c>
      <c r="AX12" s="75">
        <f t="shared" si="25"/>
        <v>0.24879945911558046</v>
      </c>
      <c r="AY12" s="75">
        <f t="shared" si="26"/>
        <v>89701.165285772397</v>
      </c>
      <c r="AZ12" s="75">
        <f t="shared" si="27"/>
        <v>0.21963167786278393</v>
      </c>
      <c r="BA12" s="75">
        <f t="shared" si="28"/>
        <v>3370214.8902005302</v>
      </c>
      <c r="BB12" s="75">
        <f t="shared" si="29"/>
        <v>1414.0685743889394</v>
      </c>
      <c r="BD12" s="81">
        <v>5</v>
      </c>
      <c r="BE12" s="69">
        <f>'보험개발원 위험률(1세)'!E12</f>
        <v>4.0000000000000003E-5</v>
      </c>
      <c r="BF12" s="69">
        <f>'보험개발원 위험률(1세)'!E376</f>
        <v>1.9999999999999999E-6</v>
      </c>
      <c r="BG12" s="72">
        <f t="shared" si="30"/>
        <v>1.9999199999999998E-6</v>
      </c>
      <c r="BH12" s="75">
        <f t="shared" si="41"/>
        <v>99556.450400427711</v>
      </c>
      <c r="BI12" s="75">
        <f t="shared" si="31"/>
        <v>0.19910493628482337</v>
      </c>
      <c r="BJ12" s="75">
        <f t="shared" si="32"/>
        <v>89730.62513070635</v>
      </c>
      <c r="BK12" s="75">
        <f t="shared" si="33"/>
        <v>0.17576304780744589</v>
      </c>
      <c r="BL12" s="75">
        <f t="shared" si="34"/>
        <v>3422395.2697819825</v>
      </c>
      <c r="BM12" s="75">
        <f t="shared" si="35"/>
        <v>370.72762682676108</v>
      </c>
    </row>
    <row r="13" spans="1:65" ht="18" customHeight="1">
      <c r="A13" s="66">
        <v>6</v>
      </c>
      <c r="B13" s="69">
        <f>'보험개발원 위험률(1세)'!D13</f>
        <v>3.8000000000000002E-5</v>
      </c>
      <c r="C13" s="69">
        <f>'보험개발원 위험률(1세)'!D215</f>
        <v>2.5519999999999997E-4</v>
      </c>
      <c r="D13" s="72">
        <f t="shared" si="0"/>
        <v>2.5519030239999998E-4</v>
      </c>
      <c r="E13" s="75">
        <f t="shared" si="36"/>
        <v>99311.619602770617</v>
      </c>
      <c r="F13" s="75">
        <f t="shared" si="1"/>
        <v>25.343362238264799</v>
      </c>
      <c r="G13" s="75">
        <f t="shared" si="2"/>
        <v>87668.911026427275</v>
      </c>
      <c r="H13" s="75">
        <f t="shared" si="3"/>
        <v>21.912101778562853</v>
      </c>
      <c r="I13" s="75">
        <f t="shared" si="4"/>
        <v>3161355.187691302</v>
      </c>
      <c r="J13" s="75">
        <f t="shared" si="5"/>
        <v>9158.6740622861089</v>
      </c>
      <c r="L13" s="66">
        <v>6</v>
      </c>
      <c r="M13" s="69">
        <f>'보험개발원 위험률(1세)'!E13</f>
        <v>3.8000000000000002E-5</v>
      </c>
      <c r="N13" s="69">
        <f>'보험개발원 위험률(1세)'!E215</f>
        <v>2.4839999999999997E-4</v>
      </c>
      <c r="O13" s="72">
        <f t="shared" si="6"/>
        <v>2.483905608E-4</v>
      </c>
      <c r="P13" s="75">
        <f t="shared" si="37"/>
        <v>99356.21161405083</v>
      </c>
      <c r="Q13" s="75">
        <f t="shared" si="7"/>
        <v>24.679145121777559</v>
      </c>
      <c r="R13" s="75">
        <f t="shared" si="8"/>
        <v>87708.275333293393</v>
      </c>
      <c r="S13" s="75">
        <f t="shared" si="9"/>
        <v>21.337813611006421</v>
      </c>
      <c r="T13" s="75">
        <f t="shared" si="10"/>
        <v>3152805.6330092526</v>
      </c>
      <c r="U13" s="75">
        <f t="shared" si="11"/>
        <v>8861.096418840847</v>
      </c>
      <c r="W13" s="78">
        <v>6</v>
      </c>
      <c r="X13" s="69">
        <f>'보험개발원 위험률(1세)'!D13</f>
        <v>3.8000000000000002E-5</v>
      </c>
      <c r="Y13" s="69">
        <f>'보험개발원 위험률(1세)'!D296</f>
        <v>1.3239999999999997E-4</v>
      </c>
      <c r="Z13" s="72">
        <f t="shared" si="12"/>
        <v>1.3239496879999997E-4</v>
      </c>
      <c r="AA13" s="75">
        <f t="shared" si="38"/>
        <v>99387.345713196657</v>
      </c>
      <c r="AB13" s="75">
        <f t="shared" si="13"/>
        <v>13.158384534813482</v>
      </c>
      <c r="AC13" s="75">
        <f t="shared" si="14"/>
        <v>87735.759454273604</v>
      </c>
      <c r="AD13" s="75">
        <f t="shared" si="15"/>
        <v>11.376859094606129</v>
      </c>
      <c r="AE13" s="75">
        <f t="shared" si="16"/>
        <v>3248616.3691251236</v>
      </c>
      <c r="AF13" s="75">
        <f t="shared" si="17"/>
        <v>3510.9263501197602</v>
      </c>
      <c r="AH13" s="78">
        <v>6</v>
      </c>
      <c r="AI13" s="69">
        <f>'보험개발원 위험률(1세)'!E13</f>
        <v>3.8000000000000002E-5</v>
      </c>
      <c r="AJ13" s="69">
        <f>'보험개발원 위험률(1세)'!E296</f>
        <v>9.4400000000000004E-5</v>
      </c>
      <c r="AK13" s="72">
        <f t="shared" si="18"/>
        <v>9.4396412800000002E-5</v>
      </c>
      <c r="AL13" s="75">
        <f t="shared" si="39"/>
        <v>99460.616076952065</v>
      </c>
      <c r="AM13" s="75">
        <f t="shared" si="19"/>
        <v>9.3887253725422841</v>
      </c>
      <c r="AN13" s="75">
        <f t="shared" si="20"/>
        <v>87800.44003270581</v>
      </c>
      <c r="AO13" s="75">
        <f t="shared" si="21"/>
        <v>8.1175774547981838</v>
      </c>
      <c r="AP13" s="75">
        <f t="shared" si="22"/>
        <v>3300488.829846988</v>
      </c>
      <c r="AQ13" s="75">
        <f t="shared" si="23"/>
        <v>2479.8759262946355</v>
      </c>
      <c r="AS13" s="81">
        <v>6</v>
      </c>
      <c r="AT13" s="69">
        <f>'보험개발원 위험률(1세)'!D13</f>
        <v>3.8000000000000002E-5</v>
      </c>
      <c r="AU13" s="69">
        <f>'보험개발원 위험률(1세)'!D377</f>
        <v>2.6000000000000001E-6</v>
      </c>
      <c r="AV13" s="72">
        <f t="shared" si="24"/>
        <v>2.5999012E-6</v>
      </c>
      <c r="AW13" s="75">
        <f t="shared" si="40"/>
        <v>99519.53484677308</v>
      </c>
      <c r="AX13" s="75">
        <f t="shared" si="25"/>
        <v>0.25874095807156716</v>
      </c>
      <c r="AY13" s="75">
        <f t="shared" si="26"/>
        <v>87852.451513435721</v>
      </c>
      <c r="AZ13" s="75">
        <f t="shared" si="27"/>
        <v>0.22370978855310811</v>
      </c>
      <c r="BA13" s="75">
        <f t="shared" si="28"/>
        <v>3280513.724914758</v>
      </c>
      <c r="BB13" s="75">
        <f t="shared" si="29"/>
        <v>1413.8489427110767</v>
      </c>
      <c r="BD13" s="81">
        <v>6</v>
      </c>
      <c r="BE13" s="69">
        <f>'보험개발원 위험률(1세)'!E13</f>
        <v>3.8000000000000002E-5</v>
      </c>
      <c r="BF13" s="69">
        <f>'보험개발원 위험률(1세)'!E377</f>
        <v>1.7999999999999999E-6</v>
      </c>
      <c r="BG13" s="72">
        <f t="shared" si="30"/>
        <v>1.7999316E-6</v>
      </c>
      <c r="BH13" s="75">
        <f t="shared" si="41"/>
        <v>99552.269037475402</v>
      </c>
      <c r="BI13" s="75">
        <f t="shared" si="31"/>
        <v>0.17918727489225356</v>
      </c>
      <c r="BJ13" s="75">
        <f t="shared" si="32"/>
        <v>87881.348140675138</v>
      </c>
      <c r="BK13" s="75">
        <f t="shared" si="33"/>
        <v>0.15492694962683884</v>
      </c>
      <c r="BL13" s="75">
        <f t="shared" si="34"/>
        <v>3332664.6446512761</v>
      </c>
      <c r="BM13" s="75">
        <f t="shared" si="35"/>
        <v>370.55186377895365</v>
      </c>
    </row>
    <row r="14" spans="1:65" ht="18" customHeight="1">
      <c r="A14" s="66">
        <v>7</v>
      </c>
      <c r="B14" s="69">
        <f>'보험개발원 위험률(1세)'!D14</f>
        <v>3.6000000000000001E-5</v>
      </c>
      <c r="C14" s="69">
        <f>'보험개발원 위험률(1세)'!D216</f>
        <v>2.2789999999999998E-4</v>
      </c>
      <c r="D14" s="72">
        <f t="shared" si="0"/>
        <v>2.2789179559999997E-4</v>
      </c>
      <c r="E14" s="75">
        <f t="shared" si="36"/>
        <v>99282.502398987446</v>
      </c>
      <c r="F14" s="75">
        <f t="shared" si="1"/>
        <v>22.625667743366556</v>
      </c>
      <c r="G14" s="75">
        <f t="shared" si="2"/>
        <v>85840.555682558639</v>
      </c>
      <c r="H14" s="75">
        <f t="shared" si="3"/>
        <v>19.159998403330139</v>
      </c>
      <c r="I14" s="75">
        <f t="shared" si="4"/>
        <v>3073686.276664875</v>
      </c>
      <c r="J14" s="75">
        <f t="shared" si="5"/>
        <v>9136.7619605075452</v>
      </c>
      <c r="L14" s="66">
        <v>7</v>
      </c>
      <c r="M14" s="69">
        <f>'보험개발원 위험률(1세)'!E14</f>
        <v>3.6000000000000001E-5</v>
      </c>
      <c r="N14" s="69">
        <f>'보험개발원 위험률(1세)'!E216</f>
        <v>2.2480000000000002E-4</v>
      </c>
      <c r="O14" s="72">
        <f t="shared" si="6"/>
        <v>2.247919072E-4</v>
      </c>
      <c r="P14" s="75">
        <f t="shared" si="37"/>
        <v>99327.756932887714</v>
      </c>
      <c r="Q14" s="75">
        <f t="shared" si="7"/>
        <v>22.328075918841851</v>
      </c>
      <c r="R14" s="75">
        <f t="shared" si="8"/>
        <v>85879.683164675705</v>
      </c>
      <c r="S14" s="75">
        <f t="shared" si="9"/>
        <v>18.907989978765116</v>
      </c>
      <c r="T14" s="75">
        <f t="shared" si="10"/>
        <v>3065097.3576759594</v>
      </c>
      <c r="U14" s="75">
        <f t="shared" si="11"/>
        <v>8839.7586052298411</v>
      </c>
      <c r="W14" s="78">
        <v>7</v>
      </c>
      <c r="X14" s="69">
        <f>'보험개발원 위험률(1세)'!D14</f>
        <v>3.6000000000000001E-5</v>
      </c>
      <c r="Y14" s="69">
        <f>'보험개발원 위험률(1세)'!D297</f>
        <v>1.0629999999999998E-4</v>
      </c>
      <c r="Z14" s="72">
        <f t="shared" si="12"/>
        <v>1.0629617319999998E-4</v>
      </c>
      <c r="AA14" s="75">
        <f t="shared" si="38"/>
        <v>99370.410609524741</v>
      </c>
      <c r="AB14" s="75">
        <f t="shared" si="13"/>
        <v>10.562694377105158</v>
      </c>
      <c r="AC14" s="75">
        <f t="shared" si="14"/>
        <v>85916.561921918474</v>
      </c>
      <c r="AD14" s="75">
        <f t="shared" si="15"/>
        <v>8.9447617500497252</v>
      </c>
      <c r="AE14" s="75">
        <f t="shared" si="16"/>
        <v>3160880.60967085</v>
      </c>
      <c r="AF14" s="75">
        <f t="shared" si="17"/>
        <v>3499.5494910251541</v>
      </c>
      <c r="AH14" s="78">
        <v>7</v>
      </c>
      <c r="AI14" s="69">
        <f>'보험개발원 위험률(1세)'!E14</f>
        <v>3.6000000000000001E-5</v>
      </c>
      <c r="AJ14" s="69">
        <f>'보험개발원 위험률(1세)'!E297</f>
        <v>7.6799999999999997E-5</v>
      </c>
      <c r="AK14" s="72">
        <f t="shared" si="18"/>
        <v>7.6797235199999996E-5</v>
      </c>
      <c r="AL14" s="75">
        <f t="shared" si="39"/>
        <v>99447.447848168595</v>
      </c>
      <c r="AM14" s="75">
        <f t="shared" si="19"/>
        <v>7.6372890424355369</v>
      </c>
      <c r="AN14" s="75">
        <f t="shared" si="20"/>
        <v>85983.169019983572</v>
      </c>
      <c r="AO14" s="75">
        <f t="shared" si="21"/>
        <v>6.4674531385592866</v>
      </c>
      <c r="AP14" s="75">
        <f t="shared" si="22"/>
        <v>3212688.3898142823</v>
      </c>
      <c r="AQ14" s="75">
        <f t="shared" si="23"/>
        <v>2471.7583488398373</v>
      </c>
      <c r="AS14" s="81">
        <v>7</v>
      </c>
      <c r="AT14" s="69">
        <f>'보험개발원 위험률(1세)'!D14</f>
        <v>3.6000000000000001E-5</v>
      </c>
      <c r="AU14" s="69">
        <f>'보험개발원 위험률(1세)'!D378</f>
        <v>2.7E-6</v>
      </c>
      <c r="AV14" s="72">
        <f t="shared" si="24"/>
        <v>2.6999027999999998E-6</v>
      </c>
      <c r="AW14" s="75">
        <f t="shared" si="40"/>
        <v>99515.494363490827</v>
      </c>
      <c r="AX14" s="75">
        <f t="shared" si="25"/>
        <v>0.26868216187537308</v>
      </c>
      <c r="AY14" s="75">
        <f t="shared" si="26"/>
        <v>86042.00265679149</v>
      </c>
      <c r="AZ14" s="75">
        <f t="shared" si="27"/>
        <v>0.22752697736599289</v>
      </c>
      <c r="BA14" s="75">
        <f t="shared" si="28"/>
        <v>3192661.2734013223</v>
      </c>
      <c r="BB14" s="75">
        <f t="shared" si="29"/>
        <v>1413.6252329225235</v>
      </c>
      <c r="BD14" s="81">
        <v>7</v>
      </c>
      <c r="BE14" s="69">
        <f>'보험개발원 위험률(1세)'!E14</f>
        <v>3.6000000000000001E-5</v>
      </c>
      <c r="BF14" s="69">
        <f>'보험개발원 위험률(1세)'!E378</f>
        <v>1.5999999999999999E-6</v>
      </c>
      <c r="BG14" s="72">
        <f t="shared" si="30"/>
        <v>1.5999423999999998E-6</v>
      </c>
      <c r="BH14" s="75">
        <f t="shared" si="41"/>
        <v>99548.306863977079</v>
      </c>
      <c r="BI14" s="75">
        <f t="shared" si="31"/>
        <v>0.15927155699988793</v>
      </c>
      <c r="BJ14" s="75">
        <f t="shared" si="32"/>
        <v>86070.372643516384</v>
      </c>
      <c r="BK14" s="75">
        <f t="shared" si="33"/>
        <v>0.13487525815490883</v>
      </c>
      <c r="BL14" s="75">
        <f t="shared" si="34"/>
        <v>3244783.296510601</v>
      </c>
      <c r="BM14" s="75">
        <f t="shared" si="35"/>
        <v>370.39693682932682</v>
      </c>
    </row>
    <row r="15" spans="1:65" ht="18" customHeight="1">
      <c r="A15" s="66">
        <v>8</v>
      </c>
      <c r="B15" s="69">
        <f>'보험개발원 위험률(1세)'!D15</f>
        <v>3.4E-5</v>
      </c>
      <c r="C15" s="69">
        <f>'보험개발원 위험률(1세)'!D217</f>
        <v>2.0059999999999997E-4</v>
      </c>
      <c r="D15" s="72">
        <f t="shared" si="0"/>
        <v>2.0059317959999999E-4</v>
      </c>
      <c r="E15" s="75">
        <f t="shared" si="36"/>
        <v>99256.302561157718</v>
      </c>
      <c r="F15" s="75">
        <f t="shared" si="1"/>
        <v>19.91013732608225</v>
      </c>
      <c r="G15" s="75">
        <f t="shared" si="2"/>
        <v>84052.794382158929</v>
      </c>
      <c r="H15" s="75">
        <f t="shared" si="3"/>
        <v>16.51363102779851</v>
      </c>
      <c r="I15" s="75">
        <f t="shared" si="4"/>
        <v>2987845.7209823164</v>
      </c>
      <c r="J15" s="75">
        <f t="shared" si="5"/>
        <v>9117.6019621042142</v>
      </c>
      <c r="L15" s="66">
        <v>8</v>
      </c>
      <c r="M15" s="69">
        <f>'보험개발원 위험률(1세)'!E15</f>
        <v>3.4E-5</v>
      </c>
      <c r="N15" s="69">
        <f>'보험개발원 위험률(1세)'!E217</f>
        <v>2.0120000000000001E-4</v>
      </c>
      <c r="O15" s="72">
        <f t="shared" si="6"/>
        <v>2.0119315920000001E-4</v>
      </c>
      <c r="P15" s="75">
        <f t="shared" si="37"/>
        <v>99301.853057719272</v>
      </c>
      <c r="Q15" s="75">
        <f t="shared" si="7"/>
        <v>19.978853531096721</v>
      </c>
      <c r="R15" s="75">
        <f t="shared" si="8"/>
        <v>84091.367716271736</v>
      </c>
      <c r="S15" s="75">
        <f t="shared" si="9"/>
        <v>16.570624811249367</v>
      </c>
      <c r="T15" s="75">
        <f t="shared" si="10"/>
        <v>2979217.6745112836</v>
      </c>
      <c r="U15" s="75">
        <f t="shared" si="11"/>
        <v>8820.8506152510763</v>
      </c>
      <c r="W15" s="78">
        <v>8</v>
      </c>
      <c r="X15" s="69">
        <f>'보험개발원 위험률(1세)'!D15</f>
        <v>3.4E-5</v>
      </c>
      <c r="Y15" s="69">
        <f>'보험개발원 위험률(1세)'!D298</f>
        <v>8.0199999999999971E-5</v>
      </c>
      <c r="Z15" s="72">
        <f t="shared" si="12"/>
        <v>8.0197273199999968E-5</v>
      </c>
      <c r="AA15" s="75">
        <f t="shared" si="38"/>
        <v>99356.270580365686</v>
      </c>
      <c r="AB15" s="75">
        <f t="shared" si="13"/>
        <v>7.9681019758667064</v>
      </c>
      <c r="AC15" s="75">
        <f t="shared" si="14"/>
        <v>84137.449876535233</v>
      </c>
      <c r="AD15" s="75">
        <f t="shared" si="15"/>
        <v>6.6088090637608232</v>
      </c>
      <c r="AE15" s="75">
        <f t="shared" si="16"/>
        <v>3074964.0477489317</v>
      </c>
      <c r="AF15" s="75">
        <f t="shared" si="17"/>
        <v>3490.6047292751045</v>
      </c>
      <c r="AH15" s="78">
        <v>8</v>
      </c>
      <c r="AI15" s="69">
        <f>'보험개발원 위험률(1세)'!E15</f>
        <v>3.4E-5</v>
      </c>
      <c r="AJ15" s="69">
        <f>'보험개발원 위험률(1세)'!E298</f>
        <v>5.9200000000000002E-5</v>
      </c>
      <c r="AK15" s="72">
        <f t="shared" si="18"/>
        <v>5.9197987200000006E-5</v>
      </c>
      <c r="AL15" s="75">
        <f t="shared" si="39"/>
        <v>99436.230451003619</v>
      </c>
      <c r="AM15" s="75">
        <f t="shared" si="19"/>
        <v>5.8864246974547632</v>
      </c>
      <c r="AN15" s="75">
        <f t="shared" si="20"/>
        <v>84205.161955185482</v>
      </c>
      <c r="AO15" s="75">
        <f t="shared" si="21"/>
        <v>4.8822488732585692</v>
      </c>
      <c r="AP15" s="75">
        <f t="shared" si="22"/>
        <v>3126705.2207942987</v>
      </c>
      <c r="AQ15" s="75">
        <f t="shared" si="23"/>
        <v>2465.2908957012778</v>
      </c>
      <c r="AS15" s="81">
        <v>8</v>
      </c>
      <c r="AT15" s="69">
        <f>'보험개발원 위험률(1세)'!D15</f>
        <v>3.4E-5</v>
      </c>
      <c r="AU15" s="69">
        <f>'보험개발원 위험률(1세)'!D379</f>
        <v>2.8000000000000003E-6</v>
      </c>
      <c r="AV15" s="72">
        <f t="shared" si="24"/>
        <v>2.7999048000000005E-6</v>
      </c>
      <c r="AW15" s="75">
        <f t="shared" si="40"/>
        <v>99511.64312353186</v>
      </c>
      <c r="AX15" s="75">
        <f t="shared" si="25"/>
        <v>0.27862312723746391</v>
      </c>
      <c r="AY15" s="75">
        <f t="shared" si="26"/>
        <v>84269.023349316296</v>
      </c>
      <c r="AZ15" s="75">
        <f t="shared" si="27"/>
        <v>0.23109230457107038</v>
      </c>
      <c r="BA15" s="75">
        <f t="shared" si="28"/>
        <v>3106619.2707445309</v>
      </c>
      <c r="BB15" s="75">
        <f t="shared" si="29"/>
        <v>1413.3977059451574</v>
      </c>
      <c r="BD15" s="81">
        <v>8</v>
      </c>
      <c r="BE15" s="69">
        <f>'보험개발원 위험률(1세)'!E15</f>
        <v>3.4E-5</v>
      </c>
      <c r="BF15" s="69">
        <f>'보험개발원 위험률(1세)'!E379</f>
        <v>1.3999999999999997E-6</v>
      </c>
      <c r="BG15" s="72">
        <f t="shared" si="30"/>
        <v>1.3999523999999999E-6</v>
      </c>
      <c r="BH15" s="75">
        <f t="shared" si="41"/>
        <v>99544.563853372965</v>
      </c>
      <c r="BI15" s="75">
        <f t="shared" si="31"/>
        <v>0.13935765107348272</v>
      </c>
      <c r="BJ15" s="75">
        <f t="shared" si="32"/>
        <v>84296.901471559875</v>
      </c>
      <c r="BK15" s="75">
        <f t="shared" si="33"/>
        <v>0.11558437759811339</v>
      </c>
      <c r="BL15" s="75">
        <f t="shared" si="34"/>
        <v>3158712.9238670846</v>
      </c>
      <c r="BM15" s="75">
        <f t="shared" si="35"/>
        <v>370.2620615711719</v>
      </c>
    </row>
    <row r="16" spans="1:65" ht="18" customHeight="1">
      <c r="A16" s="66">
        <v>9</v>
      </c>
      <c r="B16" s="69">
        <f>'보험개발원 위험률(1세)'!D16</f>
        <v>3.2000000000000005E-5</v>
      </c>
      <c r="C16" s="69">
        <f>'보험개발원 위험률(1세)'!D218</f>
        <v>1.7329999999999998E-4</v>
      </c>
      <c r="D16" s="72">
        <f t="shared" si="0"/>
        <v>1.7329445439999997E-4</v>
      </c>
      <c r="E16" s="75">
        <f t="shared" si="36"/>
        <v>99233.017709544569</v>
      </c>
      <c r="F16" s="75">
        <f t="shared" si="1"/>
        <v>17.19653166244106</v>
      </c>
      <c r="G16" s="75">
        <f t="shared" si="2"/>
        <v>82304.677933271872</v>
      </c>
      <c r="H16" s="75">
        <f t="shared" si="3"/>
        <v>13.969583013725822</v>
      </c>
      <c r="I16" s="75">
        <f t="shared" si="4"/>
        <v>2903792.9266001573</v>
      </c>
      <c r="J16" s="75">
        <f t="shared" si="5"/>
        <v>9101.0883310764166</v>
      </c>
      <c r="L16" s="66">
        <v>9</v>
      </c>
      <c r="M16" s="69">
        <f>'보험개발원 위험률(1세)'!E16</f>
        <v>3.2000000000000005E-5</v>
      </c>
      <c r="N16" s="69">
        <f>'보험개발원 위험률(1세)'!E218</f>
        <v>1.7759999999999998E-4</v>
      </c>
      <c r="O16" s="72">
        <f t="shared" si="6"/>
        <v>1.7759431679999996E-4</v>
      </c>
      <c r="P16" s="75">
        <f t="shared" si="37"/>
        <v>99278.497941184221</v>
      </c>
      <c r="Q16" s="75">
        <f t="shared" si="7"/>
        <v>17.631297014794814</v>
      </c>
      <c r="R16" s="75">
        <f t="shared" si="8"/>
        <v>82342.399610026565</v>
      </c>
      <c r="S16" s="75">
        <f t="shared" si="9"/>
        <v>14.322764155156955</v>
      </c>
      <c r="T16" s="75">
        <f t="shared" si="10"/>
        <v>2895126.3067950117</v>
      </c>
      <c r="U16" s="75">
        <f t="shared" si="11"/>
        <v>8804.2799904398271</v>
      </c>
      <c r="W16" s="78">
        <v>9</v>
      </c>
      <c r="X16" s="69">
        <f>'보험개발원 위험률(1세)'!D16</f>
        <v>3.2000000000000005E-5</v>
      </c>
      <c r="Y16" s="69">
        <f>'보험개발원 위험률(1세)'!D299</f>
        <v>5.4099999999999987E-5</v>
      </c>
      <c r="Z16" s="72">
        <f t="shared" si="12"/>
        <v>5.4098268799999982E-5</v>
      </c>
      <c r="AA16" s="75">
        <f t="shared" si="38"/>
        <v>99344.924365190105</v>
      </c>
      <c r="AB16" s="75">
        <f t="shared" si="13"/>
        <v>5.3743884222237215</v>
      </c>
      <c r="AC16" s="75">
        <f t="shared" si="14"/>
        <v>82397.494230348049</v>
      </c>
      <c r="AD16" s="75">
        <f t="shared" si="15"/>
        <v>4.3658783460527095</v>
      </c>
      <c r="AE16" s="75">
        <f t="shared" si="16"/>
        <v>2990826.5978723965</v>
      </c>
      <c r="AF16" s="75">
        <f t="shared" si="17"/>
        <v>3483.9959202113437</v>
      </c>
      <c r="AH16" s="78">
        <v>9</v>
      </c>
      <c r="AI16" s="69">
        <f>'보험개발원 위험률(1세)'!E16</f>
        <v>3.2000000000000005E-5</v>
      </c>
      <c r="AJ16" s="69">
        <f>'보험개발원 위험률(1세)'!E299</f>
        <v>4.1600000000000008E-5</v>
      </c>
      <c r="AK16" s="72">
        <f t="shared" si="18"/>
        <v>4.1598668800000004E-5</v>
      </c>
      <c r="AL16" s="75">
        <f t="shared" si="39"/>
        <v>99426.963194470838</v>
      </c>
      <c r="AM16" s="75">
        <f t="shared" si="19"/>
        <v>4.1360293117165829</v>
      </c>
      <c r="AN16" s="75">
        <f t="shared" si="20"/>
        <v>82465.537907521488</v>
      </c>
      <c r="AO16" s="75">
        <f t="shared" si="21"/>
        <v>3.3598987255914121</v>
      </c>
      <c r="AP16" s="75">
        <f t="shared" si="22"/>
        <v>3042500.058839113</v>
      </c>
      <c r="AQ16" s="75">
        <f t="shared" si="23"/>
        <v>2460.4086468280193</v>
      </c>
      <c r="AS16" s="81">
        <v>9</v>
      </c>
      <c r="AT16" s="69">
        <f>'보험개발원 위험률(1세)'!D16</f>
        <v>3.2000000000000005E-5</v>
      </c>
      <c r="AU16" s="69">
        <f>'보험개발원 위험률(1세)'!D380</f>
        <v>2.9000000000000002E-6</v>
      </c>
      <c r="AV16" s="72">
        <f t="shared" si="24"/>
        <v>2.8999072000000003E-6</v>
      </c>
      <c r="AW16" s="75">
        <f t="shared" si="40"/>
        <v>99507.981104538427</v>
      </c>
      <c r="AX16" s="75">
        <f t="shared" si="25"/>
        <v>0.28856391086251498</v>
      </c>
      <c r="AY16" s="75">
        <f t="shared" si="26"/>
        <v>82532.734825934836</v>
      </c>
      <c r="AZ16" s="75">
        <f t="shared" si="27"/>
        <v>0.23441456606995029</v>
      </c>
      <c r="BA16" s="75">
        <f t="shared" si="28"/>
        <v>3022350.2473952146</v>
      </c>
      <c r="BB16" s="75">
        <f t="shared" si="29"/>
        <v>1413.1666136405863</v>
      </c>
      <c r="BD16" s="81">
        <v>9</v>
      </c>
      <c r="BE16" s="69">
        <f>'보험개발원 위험률(1세)'!E16</f>
        <v>3.2000000000000005E-5</v>
      </c>
      <c r="BF16" s="69">
        <f>'보험개발원 위험률(1세)'!E380</f>
        <v>1.1999999999999997E-6</v>
      </c>
      <c r="BG16" s="72">
        <f t="shared" si="30"/>
        <v>1.1999615999999998E-6</v>
      </c>
      <c r="BH16" s="75">
        <f t="shared" si="41"/>
        <v>99541.039980550879</v>
      </c>
      <c r="BI16" s="75">
        <f t="shared" si="31"/>
        <v>0.11944542560072578</v>
      </c>
      <c r="BJ16" s="75">
        <f t="shared" si="32"/>
        <v>82560.154128560549</v>
      </c>
      <c r="BK16" s="75">
        <f t="shared" si="33"/>
        <v>9.7031356164891391E-2</v>
      </c>
      <c r="BL16" s="75">
        <f t="shared" si="34"/>
        <v>3074416.0223955247</v>
      </c>
      <c r="BM16" s="75">
        <f t="shared" si="35"/>
        <v>370.14647719357379</v>
      </c>
    </row>
    <row r="17" spans="1:65" ht="18" customHeight="1">
      <c r="A17" s="66">
        <v>10</v>
      </c>
      <c r="B17" s="69">
        <f>'보험개발원 위험률(1세)'!D17</f>
        <v>3.0000000000000001E-5</v>
      </c>
      <c r="C17" s="69">
        <f>'보험개발원 위험률(1세)'!D219</f>
        <v>1.46E-4</v>
      </c>
      <c r="D17" s="72">
        <f t="shared" si="0"/>
        <v>1.4599561999999999E-4</v>
      </c>
      <c r="E17" s="75">
        <f t="shared" si="36"/>
        <v>99212.645721315421</v>
      </c>
      <c r="F17" s="75">
        <f t="shared" si="1"/>
        <v>14.484611723923791</v>
      </c>
      <c r="G17" s="75">
        <f t="shared" si="2"/>
        <v>80595.280351930443</v>
      </c>
      <c r="H17" s="75">
        <f t="shared" si="3"/>
        <v>11.524542530904901</v>
      </c>
      <c r="I17" s="75">
        <f t="shared" si="4"/>
        <v>2821488.2486668853</v>
      </c>
      <c r="J17" s="75">
        <f t="shared" si="5"/>
        <v>9087.1187480626904</v>
      </c>
      <c r="L17" s="66">
        <v>10</v>
      </c>
      <c r="M17" s="69">
        <f>'보험개발원 위험률(1세)'!E17</f>
        <v>3.0000000000000001E-5</v>
      </c>
      <c r="N17" s="69">
        <f>'보험개발원 위험률(1세)'!E219</f>
        <v>1.54E-4</v>
      </c>
      <c r="O17" s="72">
        <f t="shared" si="6"/>
        <v>1.5399538E-4</v>
      </c>
      <c r="P17" s="75">
        <f t="shared" si="37"/>
        <v>99257.689732235303</v>
      </c>
      <c r="Q17" s="75">
        <f t="shared" si="7"/>
        <v>15.285225648237674</v>
      </c>
      <c r="R17" s="75">
        <f t="shared" si="8"/>
        <v>80631.871803170056</v>
      </c>
      <c r="S17" s="75">
        <f t="shared" si="9"/>
        <v>12.161543328541095</v>
      </c>
      <c r="T17" s="75">
        <f t="shared" si="10"/>
        <v>2812783.907184985</v>
      </c>
      <c r="U17" s="75">
        <f t="shared" si="11"/>
        <v>8789.9572262846705</v>
      </c>
      <c r="W17" s="78">
        <v>10</v>
      </c>
      <c r="X17" s="69">
        <f>'보험개발원 위험률(1세)'!D17</f>
        <v>3.0000000000000001E-5</v>
      </c>
      <c r="Y17" s="69">
        <f>'보험개발원 위험률(1세)'!D300</f>
        <v>2.8E-5</v>
      </c>
      <c r="Z17" s="72">
        <f t="shared" si="12"/>
        <v>2.7999160000000002E-5</v>
      </c>
      <c r="AA17" s="75">
        <f t="shared" si="38"/>
        <v>99336.3709391882</v>
      </c>
      <c r="AB17" s="75">
        <f t="shared" si="13"/>
        <v>2.7813349437456809</v>
      </c>
      <c r="AC17" s="75">
        <f t="shared" si="14"/>
        <v>80695.788392498886</v>
      </c>
      <c r="AD17" s="75">
        <f t="shared" si="15"/>
        <v>2.2129424980682857</v>
      </c>
      <c r="AE17" s="75">
        <f t="shared" si="16"/>
        <v>2908429.1036420483</v>
      </c>
      <c r="AF17" s="75">
        <f t="shared" si="17"/>
        <v>3479.6300418652909</v>
      </c>
      <c r="AH17" s="78">
        <v>10</v>
      </c>
      <c r="AI17" s="69">
        <f>'보험개발원 위험률(1세)'!E17</f>
        <v>3.0000000000000001E-5</v>
      </c>
      <c r="AJ17" s="69">
        <f>'보험개발원 위험률(1세)'!E300</f>
        <v>2.4000000000000001E-5</v>
      </c>
      <c r="AK17" s="72">
        <f t="shared" si="18"/>
        <v>2.3999280000000001E-5</v>
      </c>
      <c r="AL17" s="75">
        <f t="shared" si="39"/>
        <v>99419.645502336891</v>
      </c>
      <c r="AM17" s="75">
        <f t="shared" si="19"/>
        <v>2.3859999099113236</v>
      </c>
      <c r="AN17" s="75">
        <f t="shared" si="20"/>
        <v>80763.436389529481</v>
      </c>
      <c r="AO17" s="75">
        <f t="shared" si="21"/>
        <v>1.8983979663805164</v>
      </c>
      <c r="AP17" s="75">
        <f t="shared" si="22"/>
        <v>2960034.5209315913</v>
      </c>
      <c r="AQ17" s="75">
        <f t="shared" si="23"/>
        <v>2457.0487481024279</v>
      </c>
      <c r="AS17" s="81">
        <v>10</v>
      </c>
      <c r="AT17" s="69">
        <f>'보험개발원 위험률(1세)'!D17</f>
        <v>3.0000000000000001E-5</v>
      </c>
      <c r="AU17" s="69">
        <f>'보험개발원 위험률(1세)'!D381</f>
        <v>3.0000000000000001E-6</v>
      </c>
      <c r="AV17" s="72">
        <f t="shared" si="24"/>
        <v>2.9999100000000001E-6</v>
      </c>
      <c r="AW17" s="75">
        <f t="shared" si="40"/>
        <v>99504.508285232208</v>
      </c>
      <c r="AX17" s="75">
        <f t="shared" si="25"/>
        <v>0.29850456944995096</v>
      </c>
      <c r="AY17" s="75">
        <f t="shared" si="26"/>
        <v>80832.374575071939</v>
      </c>
      <c r="AZ17" s="75">
        <f t="shared" si="27"/>
        <v>0.23750230050098342</v>
      </c>
      <c r="BA17" s="75">
        <f t="shared" si="28"/>
        <v>2939817.5125692799</v>
      </c>
      <c r="BB17" s="75">
        <f t="shared" si="29"/>
        <v>1412.9321990745163</v>
      </c>
      <c r="BD17" s="81">
        <v>10</v>
      </c>
      <c r="BE17" s="69">
        <f>'보험개발원 위험률(1세)'!E17</f>
        <v>3.0000000000000001E-5</v>
      </c>
      <c r="BF17" s="69">
        <f>'보험개발원 위험률(1세)'!E381</f>
        <v>9.9999999999999995E-7</v>
      </c>
      <c r="BG17" s="72">
        <f t="shared" si="30"/>
        <v>9.9996999999999997E-7</v>
      </c>
      <c r="BH17" s="75">
        <f t="shared" si="41"/>
        <v>99537.735221845898</v>
      </c>
      <c r="BI17" s="75">
        <f t="shared" si="31"/>
        <v>9.9534749089789237E-2</v>
      </c>
      <c r="BJ17" s="75">
        <f t="shared" si="32"/>
        <v>80859.366439386678</v>
      </c>
      <c r="BK17" s="75">
        <f t="shared" si="33"/>
        <v>7.919386940097306E-2</v>
      </c>
      <c r="BL17" s="75">
        <f t="shared" si="34"/>
        <v>2991855.8682669643</v>
      </c>
      <c r="BM17" s="75">
        <f t="shared" si="35"/>
        <v>370.04944583740888</v>
      </c>
    </row>
    <row r="18" spans="1:65" ht="18" customHeight="1">
      <c r="A18" s="66">
        <v>11</v>
      </c>
      <c r="B18" s="69">
        <f>'보험개발원 위험률(1세)'!D18</f>
        <v>5.2000000000000004E-5</v>
      </c>
      <c r="C18" s="69">
        <f>'보험개발원 위험률(1세)'!D220</f>
        <v>1.607E-4</v>
      </c>
      <c r="D18" s="72">
        <f t="shared" si="0"/>
        <v>1.6069164360000001E-4</v>
      </c>
      <c r="E18" s="75">
        <f t="shared" si="36"/>
        <v>99195.184730219858</v>
      </c>
      <c r="F18" s="75">
        <f t="shared" si="1"/>
        <v>15.939837271504652</v>
      </c>
      <c r="G18" s="75">
        <f t="shared" si="2"/>
        <v>78923.698271886227</v>
      </c>
      <c r="H18" s="75">
        <f t="shared" si="3"/>
        <v>12.421526732908797</v>
      </c>
      <c r="I18" s="75">
        <f t="shared" si="4"/>
        <v>2740892.968314955</v>
      </c>
      <c r="J18" s="75">
        <f t="shared" si="5"/>
        <v>9075.5942055317864</v>
      </c>
      <c r="L18" s="66">
        <v>11</v>
      </c>
      <c r="M18" s="69">
        <f>'보험개발원 위험률(1세)'!E18</f>
        <v>4.3999999999999999E-5</v>
      </c>
      <c r="N18" s="69">
        <f>'보험개발원 위험률(1세)'!E220</f>
        <v>1.8780000000000001E-4</v>
      </c>
      <c r="O18" s="72">
        <f t="shared" si="6"/>
        <v>1.877917368E-4</v>
      </c>
      <c r="P18" s="75">
        <f t="shared" si="37"/>
        <v>99239.426775895103</v>
      </c>
      <c r="Q18" s="75">
        <f t="shared" si="7"/>
        <v>18.636344313281768</v>
      </c>
      <c r="R18" s="75">
        <f t="shared" si="8"/>
        <v>78958.899031613633</v>
      </c>
      <c r="S18" s="75">
        <f t="shared" si="9"/>
        <v>14.522848956868332</v>
      </c>
      <c r="T18" s="75">
        <f t="shared" si="10"/>
        <v>2732152.0353818149</v>
      </c>
      <c r="U18" s="75">
        <f t="shared" si="11"/>
        <v>8777.7956829561299</v>
      </c>
      <c r="W18" s="78">
        <v>11</v>
      </c>
      <c r="X18" s="69">
        <f>'보험개발원 위험률(1세)'!D18</f>
        <v>5.2000000000000004E-5</v>
      </c>
      <c r="Y18" s="69">
        <f>'보험개발원 위험률(1세)'!D301</f>
        <v>3.26E-5</v>
      </c>
      <c r="Z18" s="72">
        <f t="shared" si="12"/>
        <v>3.25983048E-5</v>
      </c>
      <c r="AA18" s="75">
        <f t="shared" si="38"/>
        <v>99330.609513116273</v>
      </c>
      <c r="AB18" s="75">
        <f t="shared" si="13"/>
        <v>3.2380094848783436</v>
      </c>
      <c r="AC18" s="75">
        <f t="shared" si="14"/>
        <v>79031.447702797828</v>
      </c>
      <c r="AD18" s="75">
        <f t="shared" si="15"/>
        <v>2.5233018814897785</v>
      </c>
      <c r="AE18" s="75">
        <f t="shared" si="16"/>
        <v>2827733.3152495492</v>
      </c>
      <c r="AF18" s="75">
        <f t="shared" si="17"/>
        <v>3477.4170993672228</v>
      </c>
      <c r="AH18" s="78">
        <v>11</v>
      </c>
      <c r="AI18" s="69">
        <f>'보험개발원 위험률(1세)'!E18</f>
        <v>4.3999999999999999E-5</v>
      </c>
      <c r="AJ18" s="69">
        <f>'보험개발원 위험률(1세)'!E301</f>
        <v>2.87E-5</v>
      </c>
      <c r="AK18" s="72">
        <f t="shared" si="18"/>
        <v>2.8698737199999998E-5</v>
      </c>
      <c r="AL18" s="75">
        <f t="shared" si="39"/>
        <v>99414.276913061913</v>
      </c>
      <c r="AM18" s="75">
        <f t="shared" si="19"/>
        <v>2.8530642070559908</v>
      </c>
      <c r="AN18" s="75">
        <f t="shared" si="20"/>
        <v>79098.01686788848</v>
      </c>
      <c r="AO18" s="75">
        <f t="shared" si="21"/>
        <v>2.2233234075736519</v>
      </c>
      <c r="AP18" s="75">
        <f t="shared" si="22"/>
        <v>2879271.0845420617</v>
      </c>
      <c r="AQ18" s="75">
        <f t="shared" si="23"/>
        <v>2455.1503501360476</v>
      </c>
      <c r="AS18" s="81">
        <v>11</v>
      </c>
      <c r="AT18" s="69">
        <f>'보험개발원 위험률(1세)'!D18</f>
        <v>5.2000000000000004E-5</v>
      </c>
      <c r="AU18" s="69">
        <f>'보험개발원 위험률(1세)'!D382</f>
        <v>4.9999999999999996E-6</v>
      </c>
      <c r="AV18" s="72">
        <f t="shared" si="24"/>
        <v>4.9997399999999992E-6</v>
      </c>
      <c r="AW18" s="75">
        <f t="shared" si="40"/>
        <v>99501.2246454142</v>
      </c>
      <c r="AX18" s="75">
        <f t="shared" si="25"/>
        <v>0.4974802529086631</v>
      </c>
      <c r="AY18" s="75">
        <f t="shared" si="26"/>
        <v>79167.195998027295</v>
      </c>
      <c r="AZ18" s="75">
        <f t="shared" si="27"/>
        <v>0.38767423753102548</v>
      </c>
      <c r="BA18" s="75">
        <f t="shared" si="28"/>
        <v>2858985.1379942079</v>
      </c>
      <c r="BB18" s="75">
        <f t="shared" si="29"/>
        <v>1412.6946967740153</v>
      </c>
      <c r="BD18" s="81">
        <v>11</v>
      </c>
      <c r="BE18" s="69">
        <f>'보험개발원 위험률(1세)'!E18</f>
        <v>4.3999999999999999E-5</v>
      </c>
      <c r="BF18" s="69">
        <f>'보험개발원 위험률(1세)'!E382</f>
        <v>1.5999999999999999E-6</v>
      </c>
      <c r="BG18" s="72">
        <f t="shared" si="30"/>
        <v>1.5999295999999999E-6</v>
      </c>
      <c r="BH18" s="75">
        <f t="shared" si="41"/>
        <v>99534.649555040145</v>
      </c>
      <c r="BI18" s="75">
        <f t="shared" si="31"/>
        <v>0.15924843204873554</v>
      </c>
      <c r="BJ18" s="75">
        <f t="shared" si="32"/>
        <v>79193.790207103651</v>
      </c>
      <c r="BK18" s="75">
        <f t="shared" si="33"/>
        <v>0.12409842222187588</v>
      </c>
      <c r="BL18" s="75">
        <f t="shared" si="34"/>
        <v>2910996.5018275776</v>
      </c>
      <c r="BM18" s="75">
        <f t="shared" si="35"/>
        <v>369.97025196800791</v>
      </c>
    </row>
    <row r="19" spans="1:65" ht="18" customHeight="1">
      <c r="A19" s="66">
        <v>12</v>
      </c>
      <c r="B19" s="69">
        <f>'보험개발원 위험률(1세)'!D19</f>
        <v>7.3999999999999996E-5</v>
      </c>
      <c r="C19" s="69">
        <f>'보험개발원 위험률(1세)'!D221</f>
        <v>1.7540000000000001E-4</v>
      </c>
      <c r="D19" s="72">
        <f t="shared" si="0"/>
        <v>1.7538702040000001E-4</v>
      </c>
      <c r="E19" s="75">
        <f t="shared" si="36"/>
        <v>99174.08674334237</v>
      </c>
      <c r="F19" s="75">
        <f t="shared" si="1"/>
        <v>17.39384757480596</v>
      </c>
      <c r="G19" s="75">
        <f t="shared" si="2"/>
        <v>77283.948933184918</v>
      </c>
      <c r="H19" s="75">
        <f t="shared" si="3"/>
        <v>13.275809528048054</v>
      </c>
      <c r="I19" s="75">
        <f t="shared" si="4"/>
        <v>2661969.2700430686</v>
      </c>
      <c r="J19" s="75">
        <f t="shared" si="5"/>
        <v>9063.1726787988773</v>
      </c>
      <c r="L19" s="66">
        <v>12</v>
      </c>
      <c r="M19" s="69">
        <f>'보험개발원 위험률(1세)'!E19</f>
        <v>5.8E-5</v>
      </c>
      <c r="N19" s="69">
        <f>'보험개발원 위험률(1세)'!E221</f>
        <v>2.2160000000000002E-4</v>
      </c>
      <c r="O19" s="72">
        <f t="shared" si="6"/>
        <v>2.2158714720000002E-4</v>
      </c>
      <c r="P19" s="75">
        <f t="shared" si="37"/>
        <v>99216.423896803681</v>
      </c>
      <c r="Q19" s="75">
        <f t="shared" si="7"/>
        <v>21.985084326678638</v>
      </c>
      <c r="R19" s="75">
        <f t="shared" si="8"/>
        <v>77316.9412451237</v>
      </c>
      <c r="S19" s="75">
        <f t="shared" si="9"/>
        <v>16.780059197587637</v>
      </c>
      <c r="T19" s="75">
        <f t="shared" si="10"/>
        <v>2653193.1363502014</v>
      </c>
      <c r="U19" s="75">
        <f t="shared" si="11"/>
        <v>8763.2728339992609</v>
      </c>
      <c r="W19" s="78">
        <v>12</v>
      </c>
      <c r="X19" s="69">
        <f>'보험개발원 위험률(1세)'!D19</f>
        <v>7.3999999999999996E-5</v>
      </c>
      <c r="Y19" s="69">
        <f>'보험개발원 위험률(1세)'!D302</f>
        <v>3.7199999999999996E-5</v>
      </c>
      <c r="Z19" s="72">
        <f t="shared" si="12"/>
        <v>3.7197247199999995E-5</v>
      </c>
      <c r="AA19" s="75">
        <f t="shared" si="38"/>
        <v>99322.206311936709</v>
      </c>
      <c r="AB19" s="75">
        <f t="shared" si="13"/>
        <v>3.6945126606345098</v>
      </c>
      <c r="AC19" s="75">
        <f t="shared" si="14"/>
        <v>77399.374903326447</v>
      </c>
      <c r="AD19" s="75">
        <f t="shared" si="15"/>
        <v>2.8198273079378153</v>
      </c>
      <c r="AE19" s="75">
        <f t="shared" si="16"/>
        <v>2748701.8675467512</v>
      </c>
      <c r="AF19" s="75">
        <f t="shared" si="17"/>
        <v>3474.8937974857331</v>
      </c>
      <c r="AH19" s="78">
        <v>12</v>
      </c>
      <c r="AI19" s="69">
        <f>'보험개발원 위험률(1세)'!E19</f>
        <v>5.8E-5</v>
      </c>
      <c r="AJ19" s="69">
        <f>'보험개발원 위험률(1세)'!E302</f>
        <v>3.3399999999999999E-5</v>
      </c>
      <c r="AK19" s="72">
        <f t="shared" si="18"/>
        <v>3.3398062799999997E-5</v>
      </c>
      <c r="AL19" s="75">
        <f t="shared" si="39"/>
        <v>99407.049620670674</v>
      </c>
      <c r="AM19" s="75">
        <f t="shared" si="19"/>
        <v>3.3200028859938748</v>
      </c>
      <c r="AN19" s="75">
        <f t="shared" si="20"/>
        <v>77465.491226197031</v>
      </c>
      <c r="AO19" s="75">
        <f t="shared" si="21"/>
        <v>2.5339836834528664</v>
      </c>
      <c r="AP19" s="75">
        <f t="shared" si="22"/>
        <v>2800173.067674173</v>
      </c>
      <c r="AQ19" s="75">
        <f t="shared" si="23"/>
        <v>2452.9270267284737</v>
      </c>
      <c r="AS19" s="81">
        <v>12</v>
      </c>
      <c r="AT19" s="69">
        <f>'보험개발원 위험률(1세)'!D19</f>
        <v>7.3999999999999996E-5</v>
      </c>
      <c r="AU19" s="69">
        <f>'보험개발원 위험률(1세)'!D383</f>
        <v>6.9999999999999999E-6</v>
      </c>
      <c r="AV19" s="72">
        <f t="shared" si="24"/>
        <v>6.9994819999999996E-6</v>
      </c>
      <c r="AW19" s="75">
        <f t="shared" si="40"/>
        <v>99495.553101479716</v>
      </c>
      <c r="AX19" s="75">
        <f t="shared" si="25"/>
        <v>0.69641733301385145</v>
      </c>
      <c r="AY19" s="75">
        <f t="shared" si="26"/>
        <v>77534.459831967572</v>
      </c>
      <c r="AZ19" s="75">
        <f t="shared" si="27"/>
        <v>0.53153874238352594</v>
      </c>
      <c r="BA19" s="75">
        <f t="shared" si="28"/>
        <v>2779817.9419961805</v>
      </c>
      <c r="BB19" s="75">
        <f t="shared" si="29"/>
        <v>1412.3070225364843</v>
      </c>
      <c r="BD19" s="81">
        <v>12</v>
      </c>
      <c r="BE19" s="69">
        <f>'보험개발원 위험률(1세)'!E19</f>
        <v>5.8E-5</v>
      </c>
      <c r="BF19" s="69">
        <f>'보험개발원 위험률(1세)'!E383</f>
        <v>2.2000000000000001E-6</v>
      </c>
      <c r="BG19" s="72">
        <f t="shared" si="30"/>
        <v>2.1998724000000001E-6</v>
      </c>
      <c r="BH19" s="75">
        <f t="shared" si="41"/>
        <v>99530.110782027667</v>
      </c>
      <c r="BI19" s="75">
        <f t="shared" si="31"/>
        <v>0.21895354367832509</v>
      </c>
      <c r="BJ19" s="75">
        <f t="shared" si="32"/>
        <v>77561.389790250207</v>
      </c>
      <c r="BK19" s="75">
        <f t="shared" si="33"/>
        <v>0.1671157303674958</v>
      </c>
      <c r="BL19" s="75">
        <f t="shared" si="34"/>
        <v>2831802.7116204738</v>
      </c>
      <c r="BM19" s="75">
        <f t="shared" si="35"/>
        <v>369.84615354578602</v>
      </c>
    </row>
    <row r="20" spans="1:65" ht="18" customHeight="1">
      <c r="A20" s="66">
        <v>13</v>
      </c>
      <c r="B20" s="69">
        <f>'보험개발원 위험률(1세)'!D20</f>
        <v>9.6000000000000002E-5</v>
      </c>
      <c r="C20" s="69">
        <f>'보험개발원 위험률(1세)'!D222</f>
        <v>1.9010000000000001E-4</v>
      </c>
      <c r="D20" s="72">
        <f t="shared" si="0"/>
        <v>1.9008175040000002E-4</v>
      </c>
      <c r="E20" s="75">
        <f t="shared" si="36"/>
        <v>99149.354013348551</v>
      </c>
      <c r="F20" s="75">
        <f t="shared" si="1"/>
        <v>18.846482761886559</v>
      </c>
      <c r="G20" s="75">
        <f t="shared" si="2"/>
        <v>75675.490028830274</v>
      </c>
      <c r="H20" s="75">
        <f t="shared" si="3"/>
        <v>14.088667587715777</v>
      </c>
      <c r="I20" s="75">
        <f t="shared" si="4"/>
        <v>2584685.3211098835</v>
      </c>
      <c r="J20" s="75">
        <f t="shared" si="5"/>
        <v>9049.8968692708295</v>
      </c>
      <c r="L20" s="66">
        <v>13</v>
      </c>
      <c r="M20" s="69">
        <f>'보험개발원 위험률(1세)'!E20</f>
        <v>7.2000000000000002E-5</v>
      </c>
      <c r="N20" s="69">
        <f>'보험개발원 위험률(1세)'!E222</f>
        <v>2.5540000000000003E-4</v>
      </c>
      <c r="O20" s="72">
        <f t="shared" si="6"/>
        <v>2.5538161120000006E-4</v>
      </c>
      <c r="P20" s="75">
        <f t="shared" si="37"/>
        <v>99188.684259890986</v>
      </c>
      <c r="Q20" s="75">
        <f t="shared" si="7"/>
        <v>25.330965999099046</v>
      </c>
      <c r="R20" s="75">
        <f t="shared" si="8"/>
        <v>75705.508738580553</v>
      </c>
      <c r="S20" s="75">
        <f t="shared" si="9"/>
        <v>18.936135943559638</v>
      </c>
      <c r="T20" s="75">
        <f t="shared" si="10"/>
        <v>2575876.1951050777</v>
      </c>
      <c r="U20" s="75">
        <f t="shared" si="11"/>
        <v>8746.4927748016726</v>
      </c>
      <c r="W20" s="78">
        <v>13</v>
      </c>
      <c r="X20" s="69">
        <f>'보험개발원 위험률(1세)'!D20</f>
        <v>9.6000000000000002E-5</v>
      </c>
      <c r="Y20" s="69">
        <f>'보험개발원 위험률(1세)'!D303</f>
        <v>4.18E-5</v>
      </c>
      <c r="Z20" s="72">
        <f t="shared" si="12"/>
        <v>4.1795987199999999E-5</v>
      </c>
      <c r="AA20" s="75">
        <f t="shared" si="38"/>
        <v>99311.161956008989</v>
      </c>
      <c r="AB20" s="75">
        <f t="shared" si="13"/>
        <v>4.1508080539304784</v>
      </c>
      <c r="AC20" s="75">
        <f t="shared" si="14"/>
        <v>75798.989525859142</v>
      </c>
      <c r="AD20" s="75">
        <f t="shared" si="15"/>
        <v>3.1029320235021971</v>
      </c>
      <c r="AE20" s="75">
        <f t="shared" si="16"/>
        <v>2671302.4926434248</v>
      </c>
      <c r="AF20" s="75">
        <f t="shared" si="17"/>
        <v>3472.0739701777952</v>
      </c>
      <c r="AH20" s="78">
        <v>13</v>
      </c>
      <c r="AI20" s="69">
        <f>'보험개발원 위험률(1세)'!E20</f>
        <v>7.2000000000000002E-5</v>
      </c>
      <c r="AJ20" s="69">
        <f>'보험개발원 위험률(1세)'!E303</f>
        <v>3.8100000000000005E-5</v>
      </c>
      <c r="AK20" s="72">
        <f t="shared" si="18"/>
        <v>3.8097256800000005E-5</v>
      </c>
      <c r="AL20" s="75">
        <f t="shared" si="39"/>
        <v>99397.964008906682</v>
      </c>
      <c r="AM20" s="75">
        <f t="shared" si="19"/>
        <v>3.786789760244476</v>
      </c>
      <c r="AN20" s="75">
        <f t="shared" si="20"/>
        <v>75865.240969995197</v>
      </c>
      <c r="AO20" s="75">
        <f t="shared" si="21"/>
        <v>2.8308105459625752</v>
      </c>
      <c r="AP20" s="75">
        <f t="shared" si="22"/>
        <v>2722707.5764479758</v>
      </c>
      <c r="AQ20" s="75">
        <f t="shared" si="23"/>
        <v>2450.3930430450209</v>
      </c>
      <c r="AS20" s="81">
        <v>13</v>
      </c>
      <c r="AT20" s="69">
        <f>'보험개발원 위험률(1세)'!D20</f>
        <v>9.6000000000000002E-5</v>
      </c>
      <c r="AU20" s="69">
        <f>'보험개발원 위험률(1세)'!D384</f>
        <v>8.9999999999999985E-6</v>
      </c>
      <c r="AV20" s="72">
        <f t="shared" si="24"/>
        <v>8.9991359999999984E-6</v>
      </c>
      <c r="AW20" s="75">
        <f t="shared" si="40"/>
        <v>99487.494013217205</v>
      </c>
      <c r="AX20" s="75">
        <f t="shared" si="25"/>
        <v>0.89530148892412731</v>
      </c>
      <c r="AY20" s="75">
        <f t="shared" si="26"/>
        <v>75933.574516047054</v>
      </c>
      <c r="AZ20" s="75">
        <f t="shared" si="27"/>
        <v>0.66928164939866952</v>
      </c>
      <c r="BA20" s="75">
        <f t="shared" si="28"/>
        <v>2702283.482164213</v>
      </c>
      <c r="BB20" s="75">
        <f t="shared" si="29"/>
        <v>1411.7754837941009</v>
      </c>
      <c r="BD20" s="81">
        <v>13</v>
      </c>
      <c r="BE20" s="69">
        <f>'보험개발원 위험률(1세)'!E20</f>
        <v>7.2000000000000002E-5</v>
      </c>
      <c r="BF20" s="69">
        <f>'보험개발원 위험률(1세)'!E384</f>
        <v>2.8000000000000003E-6</v>
      </c>
      <c r="BG20" s="72">
        <f t="shared" si="30"/>
        <v>2.7997984000000004E-6</v>
      </c>
      <c r="BH20" s="75">
        <f t="shared" si="41"/>
        <v>99524.119082058634</v>
      </c>
      <c r="BI20" s="75">
        <f t="shared" si="31"/>
        <v>0.27864746936735729</v>
      </c>
      <c r="BJ20" s="75">
        <f t="shared" si="32"/>
        <v>75961.528505858631</v>
      </c>
      <c r="BK20" s="75">
        <f t="shared" si="33"/>
        <v>0.20830261113835211</v>
      </c>
      <c r="BL20" s="75">
        <f t="shared" si="34"/>
        <v>2754241.3218302238</v>
      </c>
      <c r="BM20" s="75">
        <f t="shared" si="35"/>
        <v>369.67903781541855</v>
      </c>
    </row>
    <row r="21" spans="1:65" ht="18" customHeight="1">
      <c r="A21" s="66">
        <v>14</v>
      </c>
      <c r="B21" s="69">
        <f>'보험개발원 위험률(1세)'!D21</f>
        <v>1.18E-4</v>
      </c>
      <c r="C21" s="69">
        <f>'보험개발원 위험률(1세)'!D223</f>
        <v>2.0479999999999999E-4</v>
      </c>
      <c r="D21" s="72">
        <f t="shared" si="0"/>
        <v>2.0477583360000001E-4</v>
      </c>
      <c r="E21" s="75">
        <f t="shared" si="36"/>
        <v>99120.989192601381</v>
      </c>
      <c r="F21" s="75">
        <f t="shared" si="1"/>
        <v>20.29758318917154</v>
      </c>
      <c r="G21" s="75">
        <f t="shared" si="2"/>
        <v>74097.787122605747</v>
      </c>
      <c r="H21" s="75">
        <f t="shared" si="3"/>
        <v>14.861347821691421</v>
      </c>
      <c r="I21" s="75">
        <f t="shared" si="4"/>
        <v>2509009.8310810532</v>
      </c>
      <c r="J21" s="75">
        <f t="shared" si="5"/>
        <v>9035.808201683114</v>
      </c>
      <c r="L21" s="66">
        <v>14</v>
      </c>
      <c r="M21" s="69">
        <f>'보험개발원 위험률(1세)'!E21</f>
        <v>8.6000000000000003E-5</v>
      </c>
      <c r="N21" s="69">
        <f>'보험개발원 위험률(1세)'!E223</f>
        <v>2.8919999999999998E-4</v>
      </c>
      <c r="O21" s="72">
        <f t="shared" si="6"/>
        <v>2.8917512879999998E-4</v>
      </c>
      <c r="P21" s="75">
        <f t="shared" si="37"/>
        <v>99156.211708625167</v>
      </c>
      <c r="Q21" s="75">
        <f t="shared" si="7"/>
        <v>28.673510292161751</v>
      </c>
      <c r="R21" s="75">
        <f t="shared" si="8"/>
        <v>74124.117675957896</v>
      </c>
      <c r="S21" s="75">
        <f t="shared" si="9"/>
        <v>20.993977743517615</v>
      </c>
      <c r="T21" s="75">
        <f t="shared" si="10"/>
        <v>2500170.6863664971</v>
      </c>
      <c r="U21" s="75">
        <f t="shared" si="11"/>
        <v>8727.5566388581137</v>
      </c>
      <c r="W21" s="78">
        <v>14</v>
      </c>
      <c r="X21" s="69">
        <f>'보험개발원 위험률(1세)'!D21</f>
        <v>1.18E-4</v>
      </c>
      <c r="Y21" s="69">
        <f>'보험개발원 위험률(1세)'!D304</f>
        <v>4.6399999999999996E-5</v>
      </c>
      <c r="Z21" s="72">
        <f t="shared" si="12"/>
        <v>4.6394524799999996E-5</v>
      </c>
      <c r="AA21" s="75">
        <f t="shared" si="38"/>
        <v>99297.477276407284</v>
      </c>
      <c r="AB21" s="75">
        <f t="shared" si="13"/>
        <v>4.6068592720777142</v>
      </c>
      <c r="AC21" s="75">
        <f t="shared" si="14"/>
        <v>74229.720596737199</v>
      </c>
      <c r="AD21" s="75">
        <f t="shared" si="15"/>
        <v>3.3730192097183109</v>
      </c>
      <c r="AE21" s="75">
        <f t="shared" si="16"/>
        <v>2595503.5031175655</v>
      </c>
      <c r="AF21" s="75">
        <f t="shared" si="17"/>
        <v>3468.9710381542932</v>
      </c>
      <c r="AH21" s="78">
        <v>14</v>
      </c>
      <c r="AI21" s="69">
        <f>'보험개발원 위험률(1세)'!E21</f>
        <v>8.6000000000000003E-5</v>
      </c>
      <c r="AJ21" s="69">
        <f>'보험개발원 위험률(1세)'!E304</f>
        <v>4.2800000000000004E-5</v>
      </c>
      <c r="AK21" s="72">
        <f t="shared" si="18"/>
        <v>4.2796319200000004E-5</v>
      </c>
      <c r="AL21" s="75">
        <f t="shared" si="39"/>
        <v>99387.020565737796</v>
      </c>
      <c r="AM21" s="75">
        <f t="shared" si="19"/>
        <v>4.2533986564682795</v>
      </c>
      <c r="AN21" s="75">
        <f t="shared" si="20"/>
        <v>74296.658584797202</v>
      </c>
      <c r="AO21" s="75">
        <f t="shared" si="21"/>
        <v>3.114224795581197</v>
      </c>
      <c r="AP21" s="75">
        <f t="shared" si="22"/>
        <v>2646842.3354779808</v>
      </c>
      <c r="AQ21" s="75">
        <f t="shared" si="23"/>
        <v>2447.5622324990582</v>
      </c>
      <c r="AS21" s="81">
        <v>14</v>
      </c>
      <c r="AT21" s="69">
        <f>'보험개발원 위험률(1세)'!D21</f>
        <v>1.18E-4</v>
      </c>
      <c r="AU21" s="69">
        <f>'보험개발원 위험률(1세)'!D385</f>
        <v>1.1E-5</v>
      </c>
      <c r="AV21" s="72">
        <f t="shared" si="24"/>
        <v>1.0998702000000001E-5</v>
      </c>
      <c r="AW21" s="75">
        <f t="shared" si="40"/>
        <v>99477.047912303009</v>
      </c>
      <c r="AX21" s="75">
        <f t="shared" si="25"/>
        <v>1.0941184058271429</v>
      </c>
      <c r="AY21" s="75">
        <f t="shared" si="26"/>
        <v>74363.958429313891</v>
      </c>
      <c r="AZ21" s="75">
        <f t="shared" si="27"/>
        <v>0.80108424907386067</v>
      </c>
      <c r="BA21" s="75">
        <f t="shared" si="28"/>
        <v>2626349.9076481657</v>
      </c>
      <c r="BB21" s="75">
        <f t="shared" si="29"/>
        <v>1411.1062021447021</v>
      </c>
      <c r="BD21" s="81">
        <v>14</v>
      </c>
      <c r="BE21" s="69">
        <f>'보험개발원 위험률(1세)'!E21</f>
        <v>8.6000000000000003E-5</v>
      </c>
      <c r="BF21" s="69">
        <f>'보험개발원 위험률(1세)'!E385</f>
        <v>3.3999999999999996E-6</v>
      </c>
      <c r="BG21" s="72">
        <f t="shared" si="30"/>
        <v>3.3997075999999994E-6</v>
      </c>
      <c r="BH21" s="75">
        <f t="shared" si="41"/>
        <v>99516.674698015355</v>
      </c>
      <c r="BI21" s="75">
        <f t="shared" si="31"/>
        <v>0.33832759529757045</v>
      </c>
      <c r="BJ21" s="75">
        <f t="shared" si="32"/>
        <v>74393.581389657455</v>
      </c>
      <c r="BK21" s="75">
        <f t="shared" si="33"/>
        <v>0.24771442119651027</v>
      </c>
      <c r="BL21" s="75">
        <f t="shared" si="34"/>
        <v>2678279.7933243653</v>
      </c>
      <c r="BM21" s="75">
        <f t="shared" si="35"/>
        <v>369.47073520428017</v>
      </c>
    </row>
    <row r="22" spans="1:65" ht="18" customHeight="1">
      <c r="A22" s="66">
        <v>15</v>
      </c>
      <c r="B22" s="69">
        <f>'보험개발원 위험률(1세)'!D22</f>
        <v>1.3999999999999999E-4</v>
      </c>
      <c r="C22" s="69">
        <f>'보험개발원 위험률(1세)'!D224</f>
        <v>2.1950000000000002E-4</v>
      </c>
      <c r="D22" s="72">
        <f t="shared" si="0"/>
        <v>2.1946927000000003E-4</v>
      </c>
      <c r="E22" s="75">
        <f t="shared" si="36"/>
        <v>99088.995332687497</v>
      </c>
      <c r="F22" s="75">
        <f t="shared" si="1"/>
        <v>21.746989470698335</v>
      </c>
      <c r="G22" s="75">
        <f t="shared" si="2"/>
        <v>72550.313562780953</v>
      </c>
      <c r="H22" s="75">
        <f t="shared" si="3"/>
        <v>15.595067929377704</v>
      </c>
      <c r="I22" s="75">
        <f t="shared" si="4"/>
        <v>2434912.0439584474</v>
      </c>
      <c r="J22" s="75">
        <f t="shared" si="5"/>
        <v>9020.9468538614219</v>
      </c>
      <c r="L22" s="66">
        <v>15</v>
      </c>
      <c r="M22" s="69">
        <f>'보험개발원 위험률(1세)'!E22</f>
        <v>1E-4</v>
      </c>
      <c r="N22" s="69">
        <f>'보험개발원 위험률(1세)'!E224</f>
        <v>3.2300000000000004E-4</v>
      </c>
      <c r="O22" s="72">
        <f t="shared" si="6"/>
        <v>3.2296770000000004E-4</v>
      </c>
      <c r="P22" s="75">
        <f t="shared" si="37"/>
        <v>99119.010764126055</v>
      </c>
      <c r="Q22" s="75">
        <f t="shared" si="7"/>
        <v>32.012238932765037</v>
      </c>
      <c r="R22" s="75">
        <f t="shared" si="8"/>
        <v>72572.290059316001</v>
      </c>
      <c r="S22" s="75">
        <f t="shared" si="9"/>
        <v>22.956420768060873</v>
      </c>
      <c r="T22" s="75">
        <f t="shared" si="10"/>
        <v>2426046.5686905393</v>
      </c>
      <c r="U22" s="75">
        <f t="shared" si="11"/>
        <v>8706.5626611145963</v>
      </c>
      <c r="W22" s="78">
        <v>15</v>
      </c>
      <c r="X22" s="69">
        <f>'보험개발원 위험률(1세)'!D22</f>
        <v>1.3999999999999999E-4</v>
      </c>
      <c r="Y22" s="69">
        <f>'보험개발원 위험률(1세)'!D305</f>
        <v>5.0999999999999993E-5</v>
      </c>
      <c r="Z22" s="72">
        <f t="shared" si="12"/>
        <v>5.0992859999999988E-5</v>
      </c>
      <c r="AA22" s="75">
        <f t="shared" si="38"/>
        <v>99281.153314816591</v>
      </c>
      <c r="AB22" s="75">
        <f t="shared" si="13"/>
        <v>5.062629951620977</v>
      </c>
      <c r="AC22" s="75">
        <f t="shared" si="14"/>
        <v>72691.006500581469</v>
      </c>
      <c r="AD22" s="75">
        <f t="shared" si="15"/>
        <v>3.6304821917171783</v>
      </c>
      <c r="AE22" s="75">
        <f t="shared" si="16"/>
        <v>2521273.7825208283</v>
      </c>
      <c r="AF22" s="75">
        <f t="shared" si="17"/>
        <v>3465.598018944575</v>
      </c>
      <c r="AH22" s="78">
        <v>15</v>
      </c>
      <c r="AI22" s="69">
        <f>'보험개발원 위험률(1세)'!E22</f>
        <v>1E-4</v>
      </c>
      <c r="AJ22" s="69">
        <f>'보험개발원 위험률(1세)'!E305</f>
        <v>4.7500000000000003E-5</v>
      </c>
      <c r="AK22" s="72">
        <f t="shared" si="18"/>
        <v>4.7495250000000002E-5</v>
      </c>
      <c r="AL22" s="75">
        <f t="shared" si="39"/>
        <v>99374.219883312675</v>
      </c>
      <c r="AM22" s="75">
        <f t="shared" si="19"/>
        <v>4.7198034169129066</v>
      </c>
      <c r="AN22" s="75">
        <f t="shared" si="20"/>
        <v>72759.147354204353</v>
      </c>
      <c r="AO22" s="75">
        <f t="shared" si="21"/>
        <v>3.3846365263220117</v>
      </c>
      <c r="AP22" s="75">
        <f t="shared" si="22"/>
        <v>2572545.6768931835</v>
      </c>
      <c r="AQ22" s="75">
        <f t="shared" si="23"/>
        <v>2444.4480077034768</v>
      </c>
      <c r="AS22" s="81">
        <v>15</v>
      </c>
      <c r="AT22" s="69">
        <f>'보험개발원 위험률(1세)'!D22</f>
        <v>1.3999999999999999E-4</v>
      </c>
      <c r="AU22" s="69">
        <f>'보험개발원 위험률(1세)'!D386</f>
        <v>1.2999999999999999E-5</v>
      </c>
      <c r="AV22" s="72">
        <f t="shared" si="24"/>
        <v>1.2998179999999999E-5</v>
      </c>
      <c r="AW22" s="75">
        <f t="shared" si="40"/>
        <v>99464.215502243533</v>
      </c>
      <c r="AX22" s="75">
        <f t="shared" si="25"/>
        <v>1.2928537766569517</v>
      </c>
      <c r="AY22" s="75">
        <f t="shared" si="26"/>
        <v>72825.039740647349</v>
      </c>
      <c r="AZ22" s="75">
        <f t="shared" si="27"/>
        <v>0.92712338399225014</v>
      </c>
      <c r="BA22" s="75">
        <f t="shared" si="28"/>
        <v>2551985.949218852</v>
      </c>
      <c r="BB22" s="75">
        <f t="shared" si="29"/>
        <v>1410.3051178956282</v>
      </c>
      <c r="BD22" s="81">
        <v>15</v>
      </c>
      <c r="BE22" s="69">
        <f>'보험개발원 위험률(1세)'!E22</f>
        <v>1E-4</v>
      </c>
      <c r="BF22" s="69">
        <f>'보험개발원 위험률(1세)'!E386</f>
        <v>3.9999999999999998E-6</v>
      </c>
      <c r="BG22" s="72">
        <f t="shared" si="30"/>
        <v>3.9995999999999998E-6</v>
      </c>
      <c r="BH22" s="75">
        <f t="shared" si="41"/>
        <v>99507.777936396029</v>
      </c>
      <c r="BI22" s="75">
        <f t="shared" si="31"/>
        <v>0.39799130863440951</v>
      </c>
      <c r="BJ22" s="75">
        <f t="shared" si="32"/>
        <v>72856.934990434776</v>
      </c>
      <c r="BK22" s="75">
        <f t="shared" si="33"/>
        <v>0.28540509029161887</v>
      </c>
      <c r="BL22" s="75">
        <f t="shared" si="34"/>
        <v>2603886.2119347076</v>
      </c>
      <c r="BM22" s="75">
        <f t="shared" si="35"/>
        <v>369.22302078308365</v>
      </c>
    </row>
    <row r="23" spans="1:65" ht="18" customHeight="1">
      <c r="A23" s="66">
        <v>16</v>
      </c>
      <c r="B23" s="69">
        <f>'보험개발원 위험률(1세)'!D23</f>
        <v>1.6799999999999999E-4</v>
      </c>
      <c r="C23" s="69">
        <f>'보험개발원 위험률(1세)'!D225</f>
        <v>2.342E-4</v>
      </c>
      <c r="D23" s="72">
        <f t="shared" si="0"/>
        <v>2.341606544E-4</v>
      </c>
      <c r="E23" s="75">
        <f t="shared" si="36"/>
        <v>99053.37588387022</v>
      </c>
      <c r="F23" s="75">
        <f t="shared" si="1"/>
        <v>23.194403317496228</v>
      </c>
      <c r="G23" s="75">
        <f t="shared" si="2"/>
        <v>71032.55039620593</v>
      </c>
      <c r="H23" s="75">
        <f t="shared" si="3"/>
        <v>16.290919181661668</v>
      </c>
      <c r="I23" s="75">
        <f t="shared" si="4"/>
        <v>2362361.7303956663</v>
      </c>
      <c r="J23" s="75">
        <f t="shared" si="5"/>
        <v>9005.3517859320436</v>
      </c>
      <c r="L23" s="66">
        <v>16</v>
      </c>
      <c r="M23" s="69">
        <f>'보험개발원 위험률(1세)'!E23</f>
        <v>1.2E-4</v>
      </c>
      <c r="N23" s="69">
        <f>'보험개발원 위험률(1세)'!E225</f>
        <v>3.568E-4</v>
      </c>
      <c r="O23" s="72">
        <f t="shared" si="6"/>
        <v>3.56757184E-4</v>
      </c>
      <c r="P23" s="75">
        <f t="shared" si="37"/>
        <v>99077.086624116884</v>
      </c>
      <c r="Q23" s="75">
        <f t="shared" si="7"/>
        <v>35.346462422944008</v>
      </c>
      <c r="R23" s="75">
        <f t="shared" si="8"/>
        <v>71049.553697067458</v>
      </c>
      <c r="S23" s="75">
        <f t="shared" si="9"/>
        <v>24.826090794733183</v>
      </c>
      <c r="T23" s="75">
        <f t="shared" si="10"/>
        <v>2353474.2786312234</v>
      </c>
      <c r="U23" s="75">
        <f t="shared" si="11"/>
        <v>8683.6062403465348</v>
      </c>
      <c r="W23" s="78">
        <v>16</v>
      </c>
      <c r="X23" s="69">
        <f>'보험개발원 위험률(1세)'!D23</f>
        <v>1.6799999999999999E-4</v>
      </c>
      <c r="Y23" s="69">
        <f>'보험개발원 위험률(1세)'!D306</f>
        <v>5.5599999999999996E-5</v>
      </c>
      <c r="Z23" s="72">
        <f t="shared" si="12"/>
        <v>5.5590659200000001E-5</v>
      </c>
      <c r="AA23" s="75">
        <f t="shared" si="38"/>
        <v>99262.191323400883</v>
      </c>
      <c r="AB23" s="75">
        <f t="shared" si="13"/>
        <v>5.5180506493043753</v>
      </c>
      <c r="AC23" s="75">
        <f t="shared" si="14"/>
        <v>71182.294845596101</v>
      </c>
      <c r="AD23" s="75">
        <f t="shared" si="15"/>
        <v>3.8756813847555831</v>
      </c>
      <c r="AE23" s="75">
        <f t="shared" si="16"/>
        <v>2448582.776020247</v>
      </c>
      <c r="AF23" s="75">
        <f t="shared" si="17"/>
        <v>3461.967536752858</v>
      </c>
      <c r="AH23" s="78">
        <v>16</v>
      </c>
      <c r="AI23" s="69">
        <f>'보험개발원 위험률(1세)'!E23</f>
        <v>1.2E-4</v>
      </c>
      <c r="AJ23" s="69">
        <f>'보험개발원 위험률(1세)'!E306</f>
        <v>5.2200000000000002E-5</v>
      </c>
      <c r="AK23" s="72">
        <f t="shared" si="18"/>
        <v>5.2193736E-5</v>
      </c>
      <c r="AL23" s="75">
        <f t="shared" si="39"/>
        <v>99359.562657907431</v>
      </c>
      <c r="AM23" s="75">
        <f t="shared" si="19"/>
        <v>5.1859467824422785</v>
      </c>
      <c r="AN23" s="75">
        <f t="shared" si="20"/>
        <v>71252.121180779184</v>
      </c>
      <c r="AO23" s="75">
        <f t="shared" si="21"/>
        <v>3.6424235086675778</v>
      </c>
      <c r="AP23" s="75">
        <f t="shared" si="22"/>
        <v>2499786.5295389793</v>
      </c>
      <c r="AQ23" s="75">
        <f t="shared" si="23"/>
        <v>2441.0633711771547</v>
      </c>
      <c r="AS23" s="81">
        <v>16</v>
      </c>
      <c r="AT23" s="69">
        <f>'보험개발원 위험률(1세)'!D23</f>
        <v>1.6799999999999999E-4</v>
      </c>
      <c r="AU23" s="69">
        <f>'보험개발원 위험률(1세)'!D387</f>
        <v>1.4999999999999999E-5</v>
      </c>
      <c r="AV23" s="72">
        <f t="shared" si="24"/>
        <v>1.499748E-5</v>
      </c>
      <c r="AW23" s="75">
        <f t="shared" si="40"/>
        <v>99448.997658296561</v>
      </c>
      <c r="AX23" s="75">
        <f t="shared" si="25"/>
        <v>1.4914843534003495</v>
      </c>
      <c r="AY23" s="75">
        <f t="shared" si="26"/>
        <v>71316.256260635259</v>
      </c>
      <c r="AZ23" s="75">
        <f t="shared" si="27"/>
        <v>1.0475652565560745</v>
      </c>
      <c r="BA23" s="75">
        <f t="shared" si="28"/>
        <v>2479160.9094782048</v>
      </c>
      <c r="BB23" s="75">
        <f t="shared" si="29"/>
        <v>1409.377994511636</v>
      </c>
      <c r="BD23" s="81">
        <v>16</v>
      </c>
      <c r="BE23" s="69">
        <f>'보험개발원 위험률(1세)'!E23</f>
        <v>1.2E-4</v>
      </c>
      <c r="BF23" s="69">
        <f>'보험개발원 위험률(1세)'!E387</f>
        <v>4.6E-6</v>
      </c>
      <c r="BG23" s="72">
        <f t="shared" si="30"/>
        <v>4.599448E-6</v>
      </c>
      <c r="BH23" s="75">
        <f t="shared" si="41"/>
        <v>99497.429167293754</v>
      </c>
      <c r="BI23" s="75">
        <f t="shared" si="31"/>
        <v>0.45763325158865092</v>
      </c>
      <c r="BJ23" s="75">
        <f t="shared" si="32"/>
        <v>71350.987167814441</v>
      </c>
      <c r="BK23" s="75">
        <f t="shared" si="33"/>
        <v>0.32142522549170405</v>
      </c>
      <c r="BL23" s="75">
        <f t="shared" si="34"/>
        <v>2531029.2769442727</v>
      </c>
      <c r="BM23" s="75">
        <f t="shared" si="35"/>
        <v>368.93761569279201</v>
      </c>
    </row>
    <row r="24" spans="1:65" ht="18" customHeight="1">
      <c r="A24" s="66">
        <v>17</v>
      </c>
      <c r="B24" s="69">
        <f>'보험개발원 위험률(1세)'!D24</f>
        <v>1.9599999999999999E-4</v>
      </c>
      <c r="C24" s="69">
        <f>'보험개발원 위험률(1세)'!D226</f>
        <v>2.4890000000000003E-4</v>
      </c>
      <c r="D24" s="72">
        <f t="shared" si="0"/>
        <v>2.4885121560000006E-4</v>
      </c>
      <c r="E24" s="75">
        <f t="shared" si="36"/>
        <v>99013.540513404238</v>
      </c>
      <c r="F24" s="75">
        <f t="shared" si="1"/>
        <v>24.639639917620499</v>
      </c>
      <c r="G24" s="75">
        <f t="shared" si="2"/>
        <v>69543.568951278066</v>
      </c>
      <c r="H24" s="75">
        <f t="shared" si="3"/>
        <v>16.950050607921614</v>
      </c>
      <c r="I24" s="75">
        <f t="shared" si="4"/>
        <v>2291329.1799994605</v>
      </c>
      <c r="J24" s="75">
        <f t="shared" si="5"/>
        <v>8989.060866750382</v>
      </c>
      <c r="L24" s="66">
        <v>17</v>
      </c>
      <c r="M24" s="69">
        <f>'보험개발원 위험률(1세)'!E24</f>
        <v>1.4000000000000001E-4</v>
      </c>
      <c r="N24" s="69">
        <f>'보험개발원 위험률(1세)'!E226</f>
        <v>3.9060000000000001E-4</v>
      </c>
      <c r="O24" s="72">
        <f t="shared" si="6"/>
        <v>3.9054531599999999E-4</v>
      </c>
      <c r="P24" s="75">
        <f t="shared" si="37"/>
        <v>99029.850911299043</v>
      </c>
      <c r="Q24" s="75">
        <f t="shared" si="7"/>
        <v>38.67564441758617</v>
      </c>
      <c r="R24" s="75">
        <f t="shared" si="8"/>
        <v>69555.024791304983</v>
      </c>
      <c r="S24" s="75">
        <f t="shared" si="9"/>
        <v>26.605670065140096</v>
      </c>
      <c r="T24" s="75">
        <f t="shared" si="10"/>
        <v>2282424.7249341561</v>
      </c>
      <c r="U24" s="75">
        <f t="shared" si="11"/>
        <v>8658.7801495518015</v>
      </c>
      <c r="W24" s="78">
        <v>17</v>
      </c>
      <c r="X24" s="69">
        <f>'보험개발원 위험률(1세)'!D24</f>
        <v>1.9599999999999999E-4</v>
      </c>
      <c r="Y24" s="69">
        <f>'보험개발원 위험률(1세)'!D307</f>
        <v>6.02E-5</v>
      </c>
      <c r="Z24" s="72">
        <f t="shared" si="12"/>
        <v>6.01882008E-5</v>
      </c>
      <c r="AA24" s="75">
        <f t="shared" si="38"/>
        <v>99239.997224609251</v>
      </c>
      <c r="AB24" s="75">
        <f t="shared" si="13"/>
        <v>5.9730768803462242</v>
      </c>
      <c r="AC24" s="75">
        <f t="shared" si="14"/>
        <v>69702.624044435084</v>
      </c>
      <c r="AD24" s="75">
        <f t="shared" si="15"/>
        <v>4.1089868092785178</v>
      </c>
      <c r="AE24" s="75">
        <f t="shared" si="16"/>
        <v>2377400.4811746511</v>
      </c>
      <c r="AF24" s="75">
        <f t="shared" si="17"/>
        <v>3458.0918553681022</v>
      </c>
      <c r="AH24" s="78">
        <v>17</v>
      </c>
      <c r="AI24" s="69">
        <f>'보험개발원 위험률(1세)'!E24</f>
        <v>1.4000000000000001E-4</v>
      </c>
      <c r="AJ24" s="69">
        <f>'보험개발원 위험률(1세)'!E307</f>
        <v>5.6900000000000001E-5</v>
      </c>
      <c r="AK24" s="72">
        <f t="shared" si="18"/>
        <v>5.6892033999999996E-5</v>
      </c>
      <c r="AL24" s="75">
        <f t="shared" si="39"/>
        <v>99342.453563606046</v>
      </c>
      <c r="AM24" s="75">
        <f t="shared" si="19"/>
        <v>5.6517942457840959</v>
      </c>
      <c r="AN24" s="75">
        <f t="shared" si="20"/>
        <v>69774.585711885549</v>
      </c>
      <c r="AO24" s="75">
        <f t="shared" si="21"/>
        <v>3.8879707175871765</v>
      </c>
      <c r="AP24" s="75">
        <f t="shared" si="22"/>
        <v>2428534.4083582</v>
      </c>
      <c r="AQ24" s="75">
        <f t="shared" si="23"/>
        <v>2437.4209476684873</v>
      </c>
      <c r="AS24" s="81">
        <v>17</v>
      </c>
      <c r="AT24" s="69">
        <f>'보험개발원 위험률(1세)'!D24</f>
        <v>1.9599999999999999E-4</v>
      </c>
      <c r="AU24" s="69">
        <f>'보험개발원 위험률(1세)'!D388</f>
        <v>1.7E-5</v>
      </c>
      <c r="AV24" s="72">
        <f t="shared" si="24"/>
        <v>1.6996668000000002E-5</v>
      </c>
      <c r="AW24" s="75">
        <f t="shared" si="40"/>
        <v>99430.79874233657</v>
      </c>
      <c r="AX24" s="75">
        <f t="shared" si="25"/>
        <v>1.6899922751983125</v>
      </c>
      <c r="AY24" s="75">
        <f t="shared" si="26"/>
        <v>69836.636205148418</v>
      </c>
      <c r="AZ24" s="75">
        <f t="shared" si="27"/>
        <v>1.1625760233258451</v>
      </c>
      <c r="BA24" s="75">
        <f t="shared" si="28"/>
        <v>2407844.6532175695</v>
      </c>
      <c r="BB24" s="75">
        <f t="shared" si="29"/>
        <v>1408.3304292550799</v>
      </c>
      <c r="BD24" s="81">
        <v>17</v>
      </c>
      <c r="BE24" s="69">
        <f>'보험개발원 위험률(1세)'!E24</f>
        <v>1.4000000000000001E-4</v>
      </c>
      <c r="BF24" s="69">
        <f>'보험개발원 위험률(1세)'!E388</f>
        <v>5.2000000000000002E-6</v>
      </c>
      <c r="BG24" s="72">
        <f t="shared" si="30"/>
        <v>5.1992720000000004E-6</v>
      </c>
      <c r="BH24" s="75">
        <f t="shared" si="41"/>
        <v>99485.031842542099</v>
      </c>
      <c r="BI24" s="75">
        <f t="shared" si="31"/>
        <v>0.51724974047803762</v>
      </c>
      <c r="BJ24" s="75">
        <f t="shared" si="32"/>
        <v>69874.727594710173</v>
      </c>
      <c r="BK24" s="75">
        <f t="shared" si="33"/>
        <v>0.35582538167561606</v>
      </c>
      <c r="BL24" s="75">
        <f t="shared" si="34"/>
        <v>2459678.2897764584</v>
      </c>
      <c r="BM24" s="75">
        <f t="shared" si="35"/>
        <v>368.61619046730033</v>
      </c>
    </row>
    <row r="25" spans="1:65" ht="18" customHeight="1">
      <c r="A25" s="66">
        <v>18</v>
      </c>
      <c r="B25" s="69">
        <f>'보험개발원 위험률(1세)'!D25</f>
        <v>2.2399999999999997E-4</v>
      </c>
      <c r="C25" s="69">
        <f>'보험개발원 위험률(1세)'!D227</f>
        <v>2.6360000000000001E-4</v>
      </c>
      <c r="D25" s="72">
        <f t="shared" si="0"/>
        <v>2.635409536E-4</v>
      </c>
      <c r="E25" s="75">
        <f t="shared" si="36"/>
        <v>98969.494219546003</v>
      </c>
      <c r="F25" s="75">
        <f t="shared" si="1"/>
        <v>26.082514883928841</v>
      </c>
      <c r="G25" s="75">
        <f t="shared" si="2"/>
        <v>68082.891684713948</v>
      </c>
      <c r="H25" s="75">
        <f t="shared" si="3"/>
        <v>17.573584915215502</v>
      </c>
      <c r="I25" s="75">
        <f t="shared" si="4"/>
        <v>2221785.6110481825</v>
      </c>
      <c r="J25" s="75">
        <f t="shared" si="5"/>
        <v>8972.11081614246</v>
      </c>
      <c r="L25" s="66">
        <v>18</v>
      </c>
      <c r="M25" s="69">
        <f>'보험개발원 위험률(1세)'!E25</f>
        <v>1.6000000000000001E-4</v>
      </c>
      <c r="N25" s="69">
        <f>'보험개발원 위험률(1세)'!E227</f>
        <v>4.2440000000000002E-4</v>
      </c>
      <c r="O25" s="72">
        <f t="shared" si="6"/>
        <v>4.2433209599999997E-4</v>
      </c>
      <c r="P25" s="75">
        <f t="shared" si="37"/>
        <v>98977.311087753871</v>
      </c>
      <c r="Q25" s="75">
        <f t="shared" si="7"/>
        <v>41.999249870310635</v>
      </c>
      <c r="R25" s="75">
        <f t="shared" si="8"/>
        <v>68088.269048675502</v>
      </c>
      <c r="S25" s="75">
        <f t="shared" si="9"/>
        <v>28.297784445089523</v>
      </c>
      <c r="T25" s="75">
        <f t="shared" si="10"/>
        <v>2212869.7001428511</v>
      </c>
      <c r="U25" s="75">
        <f t="shared" si="11"/>
        <v>8632.1744794866609</v>
      </c>
      <c r="W25" s="78">
        <v>18</v>
      </c>
      <c r="X25" s="69">
        <f>'보험개발원 위험률(1세)'!D25</f>
        <v>2.2399999999999997E-4</v>
      </c>
      <c r="Y25" s="69">
        <f>'보험개발원 위험률(1세)'!D308</f>
        <v>6.4799999999999989E-5</v>
      </c>
      <c r="Z25" s="72">
        <f t="shared" si="12"/>
        <v>6.4785484799999987E-5</v>
      </c>
      <c r="AA25" s="75">
        <f t="shared" si="38"/>
        <v>99214.573108272889</v>
      </c>
      <c r="AB25" s="75">
        <f t="shared" si="13"/>
        <v>6.4276642180445007</v>
      </c>
      <c r="AC25" s="75">
        <f t="shared" si="14"/>
        <v>68251.485851704318</v>
      </c>
      <c r="AD25" s="75">
        <f t="shared" si="15"/>
        <v>4.3307596466434912</v>
      </c>
      <c r="AE25" s="75">
        <f t="shared" si="16"/>
        <v>2307697.857130216</v>
      </c>
      <c r="AF25" s="75">
        <f t="shared" si="17"/>
        <v>3453.9828685588236</v>
      </c>
      <c r="AH25" s="78">
        <v>18</v>
      </c>
      <c r="AI25" s="69">
        <f>'보험개발원 위험률(1세)'!E25</f>
        <v>1.6000000000000001E-4</v>
      </c>
      <c r="AJ25" s="69">
        <f>'보험개발원 위험률(1세)'!E308</f>
        <v>6.1600000000000007E-5</v>
      </c>
      <c r="AK25" s="72">
        <f t="shared" si="18"/>
        <v>6.1590144000000006E-5</v>
      </c>
      <c r="AL25" s="75">
        <f t="shared" si="39"/>
        <v>99322.893825861349</v>
      </c>
      <c r="AM25" s="75">
        <f t="shared" si="19"/>
        <v>6.1173113332315117</v>
      </c>
      <c r="AN25" s="75">
        <f t="shared" si="20"/>
        <v>68326.001617809234</v>
      </c>
      <c r="AO25" s="75">
        <f t="shared" si="21"/>
        <v>4.1216535539521102</v>
      </c>
      <c r="AP25" s="75">
        <f t="shared" si="22"/>
        <v>2358759.8226463143</v>
      </c>
      <c r="AQ25" s="75">
        <f t="shared" si="23"/>
        <v>2433.5329769509003</v>
      </c>
      <c r="AS25" s="81">
        <v>18</v>
      </c>
      <c r="AT25" s="69">
        <f>'보험개발원 위험률(1세)'!D25</f>
        <v>2.2399999999999997E-4</v>
      </c>
      <c r="AU25" s="69">
        <f>'보험개발원 위험률(1세)'!D389</f>
        <v>1.9000000000000001E-5</v>
      </c>
      <c r="AV25" s="72">
        <f t="shared" si="24"/>
        <v>1.8995744000000002E-5</v>
      </c>
      <c r="AW25" s="75">
        <f t="shared" si="40"/>
        <v>99409.620313507869</v>
      </c>
      <c r="AX25" s="75">
        <f t="shared" si="25"/>
        <v>1.8883596986125954</v>
      </c>
      <c r="AY25" s="75">
        <f t="shared" si="26"/>
        <v>68385.66232549696</v>
      </c>
      <c r="AZ25" s="75">
        <f t="shared" si="27"/>
        <v>1.272317859750818</v>
      </c>
      <c r="BA25" s="75">
        <f t="shared" si="28"/>
        <v>2338008.017012421</v>
      </c>
      <c r="BB25" s="75">
        <f t="shared" si="29"/>
        <v>1407.1678532317542</v>
      </c>
      <c r="BD25" s="81">
        <v>18</v>
      </c>
      <c r="BE25" s="69">
        <f>'보험개발원 위험률(1세)'!E25</f>
        <v>1.6000000000000001E-4</v>
      </c>
      <c r="BF25" s="69">
        <f>'보험개발원 위험률(1세)'!E389</f>
        <v>5.7999999999999995E-6</v>
      </c>
      <c r="BG25" s="72">
        <f t="shared" si="30"/>
        <v>5.7990719999999993E-6</v>
      </c>
      <c r="BH25" s="75">
        <f t="shared" si="41"/>
        <v>99470.586688343654</v>
      </c>
      <c r="BI25" s="75">
        <f t="shared" si="31"/>
        <v>0.57683709408794637</v>
      </c>
      <c r="BJ25" s="75">
        <f t="shared" si="32"/>
        <v>68427.602189159865</v>
      </c>
      <c r="BK25" s="75">
        <f t="shared" si="33"/>
        <v>0.38865484023731212</v>
      </c>
      <c r="BL25" s="75">
        <f t="shared" si="34"/>
        <v>2389803.5621817484</v>
      </c>
      <c r="BM25" s="75">
        <f t="shared" si="35"/>
        <v>368.2603650856247</v>
      </c>
    </row>
    <row r="26" spans="1:65" ht="18" customHeight="1">
      <c r="A26" s="66">
        <v>19</v>
      </c>
      <c r="B26" s="69">
        <f>'보험개발원 위험률(1세)'!D26</f>
        <v>2.5199999999999995E-4</v>
      </c>
      <c r="C26" s="69">
        <f>'보험개발원 위험률(1세)'!D228</f>
        <v>2.7829999999999999E-4</v>
      </c>
      <c r="D26" s="72">
        <f t="shared" si="0"/>
        <v>2.7822986839999998E-4</v>
      </c>
      <c r="E26" s="75">
        <f t="shared" si="36"/>
        <v>98921.242537956889</v>
      </c>
      <c r="F26" s="75">
        <f t="shared" si="1"/>
        <v>27.522844293300224</v>
      </c>
      <c r="G26" s="75">
        <f t="shared" si="2"/>
        <v>66650.047489498669</v>
      </c>
      <c r="H26" s="75">
        <f t="shared" si="3"/>
        <v>18.162618944032289</v>
      </c>
      <c r="I26" s="75">
        <f t="shared" si="4"/>
        <v>2153702.7193634687</v>
      </c>
      <c r="J26" s="75">
        <f t="shared" si="5"/>
        <v>8954.5372312272448</v>
      </c>
      <c r="L26" s="66">
        <v>19</v>
      </c>
      <c r="M26" s="69">
        <f>'보험개발원 위험률(1세)'!E26</f>
        <v>1.8000000000000001E-4</v>
      </c>
      <c r="N26" s="69">
        <f>'보험개발원 위험률(1세)'!E228</f>
        <v>4.5820000000000002E-4</v>
      </c>
      <c r="O26" s="72">
        <f t="shared" si="6"/>
        <v>4.5811752400000004E-4</v>
      </c>
      <c r="P26" s="75">
        <f t="shared" si="37"/>
        <v>98919.475468109522</v>
      </c>
      <c r="Q26" s="75">
        <f t="shared" si="7"/>
        <v>45.31674517682908</v>
      </c>
      <c r="R26" s="75">
        <f t="shared" si="8"/>
        <v>66648.856892957192</v>
      </c>
      <c r="S26" s="75">
        <f t="shared" si="9"/>
        <v>29.905004208846123</v>
      </c>
      <c r="T26" s="75">
        <f t="shared" si="10"/>
        <v>2144781.4310941757</v>
      </c>
      <c r="U26" s="75">
        <f t="shared" si="11"/>
        <v>8603.876695041572</v>
      </c>
      <c r="W26" s="78">
        <v>19</v>
      </c>
      <c r="X26" s="69">
        <f>'보험개발원 위험률(1세)'!D26</f>
        <v>2.5199999999999995E-4</v>
      </c>
      <c r="Y26" s="69">
        <f>'보험개발원 위험률(1세)'!D309</f>
        <v>6.9399999999999993E-5</v>
      </c>
      <c r="Z26" s="72">
        <f t="shared" si="12"/>
        <v>6.9382511199999995E-5</v>
      </c>
      <c r="AA26" s="75">
        <f t="shared" si="38"/>
        <v>99185.921379678592</v>
      </c>
      <c r="AB26" s="75">
        <f t="shared" si="13"/>
        <v>6.8817683010078685</v>
      </c>
      <c r="AC26" s="75">
        <f t="shared" si="14"/>
        <v>66828.379836703549</v>
      </c>
      <c r="AD26" s="75">
        <f t="shared" si="15"/>
        <v>4.5413524118491075</v>
      </c>
      <c r="AE26" s="75">
        <f t="shared" si="16"/>
        <v>2239446.3712785118</v>
      </c>
      <c r="AF26" s="75">
        <f t="shared" si="17"/>
        <v>3449.6521089121802</v>
      </c>
      <c r="AH26" s="78">
        <v>19</v>
      </c>
      <c r="AI26" s="69">
        <f>'보험개발원 위험률(1세)'!E26</f>
        <v>1.8000000000000001E-4</v>
      </c>
      <c r="AJ26" s="69">
        <f>'보험개발원 위험률(1세)'!E309</f>
        <v>6.6300000000000012E-5</v>
      </c>
      <c r="AK26" s="72">
        <f t="shared" si="18"/>
        <v>6.628806600000002E-5</v>
      </c>
      <c r="AL26" s="75">
        <f t="shared" si="39"/>
        <v>99300.884851515977</v>
      </c>
      <c r="AM26" s="75">
        <f t="shared" si="19"/>
        <v>6.5824636088956936</v>
      </c>
      <c r="AN26" s="75">
        <f t="shared" si="20"/>
        <v>66905.838637876397</v>
      </c>
      <c r="AO26" s="75">
        <f t="shared" si="21"/>
        <v>4.3438380483965755</v>
      </c>
      <c r="AP26" s="75">
        <f t="shared" si="22"/>
        <v>2290433.821028505</v>
      </c>
      <c r="AQ26" s="75">
        <f t="shared" si="23"/>
        <v>2429.4113233969483</v>
      </c>
      <c r="AS26" s="81">
        <v>19</v>
      </c>
      <c r="AT26" s="69">
        <f>'보험개발원 위험률(1세)'!D26</f>
        <v>2.5199999999999995E-4</v>
      </c>
      <c r="AU26" s="69">
        <f>'보험개발원 위험률(1세)'!D390</f>
        <v>2.0999999999999995E-5</v>
      </c>
      <c r="AV26" s="72">
        <f t="shared" si="24"/>
        <v>2.0994707999999996E-5</v>
      </c>
      <c r="AW26" s="75">
        <f t="shared" si="40"/>
        <v>99385.46419885903</v>
      </c>
      <c r="AX26" s="75">
        <f t="shared" si="25"/>
        <v>2.0865688002994989</v>
      </c>
      <c r="AY26" s="75">
        <f t="shared" si="26"/>
        <v>66962.825563762235</v>
      </c>
      <c r="AZ26" s="75">
        <f t="shared" si="27"/>
        <v>1.3769490397317568</v>
      </c>
      <c r="BA26" s="75">
        <f t="shared" si="28"/>
        <v>2269622.3546869243</v>
      </c>
      <c r="BB26" s="75">
        <f t="shared" si="29"/>
        <v>1405.8955353720035</v>
      </c>
      <c r="BD26" s="81">
        <v>19</v>
      </c>
      <c r="BE26" s="69">
        <f>'보험개발원 위험률(1세)'!E26</f>
        <v>1.8000000000000001E-4</v>
      </c>
      <c r="BF26" s="69">
        <f>'보험개발원 위험률(1세)'!E390</f>
        <v>6.3999999999999997E-6</v>
      </c>
      <c r="BG26" s="72">
        <f t="shared" si="30"/>
        <v>6.3988480000000001E-6</v>
      </c>
      <c r="BH26" s="75">
        <f t="shared" si="41"/>
        <v>99454.094557379431</v>
      </c>
      <c r="BI26" s="75">
        <f t="shared" si="31"/>
        <v>0.6363916340502983</v>
      </c>
      <c r="BJ26" s="75">
        <f t="shared" si="32"/>
        <v>67009.066558489445</v>
      </c>
      <c r="BK26" s="75">
        <f t="shared" si="33"/>
        <v>0.41996163714951729</v>
      </c>
      <c r="BL26" s="75">
        <f t="shared" si="34"/>
        <v>2321375.9599925885</v>
      </c>
      <c r="BM26" s="75">
        <f t="shared" si="35"/>
        <v>367.87171024538736</v>
      </c>
    </row>
    <row r="27" spans="1:65" ht="18" customHeight="1">
      <c r="A27" s="66">
        <v>20</v>
      </c>
      <c r="B27" s="69">
        <f>'보험개발원 위험률(1세)'!D27</f>
        <v>2.7999999999999998E-4</v>
      </c>
      <c r="C27" s="69">
        <f>'보험개발원 위험률(1세)'!D229</f>
        <v>2.9300000000000002E-4</v>
      </c>
      <c r="D27" s="72">
        <f t="shared" si="0"/>
        <v>2.9291796000000003E-4</v>
      </c>
      <c r="E27" s="75">
        <f t="shared" si="36"/>
        <v>98868.791540544014</v>
      </c>
      <c r="F27" s="75">
        <f t="shared" si="1"/>
        <v>28.960444725721413</v>
      </c>
      <c r="G27" s="75">
        <f t="shared" si="2"/>
        <v>65244.571639166956</v>
      </c>
      <c r="H27" s="75">
        <f t="shared" si="3"/>
        <v>18.718224119117181</v>
      </c>
      <c r="I27" s="75">
        <f t="shared" si="4"/>
        <v>2087052.6718739702</v>
      </c>
      <c r="J27" s="75">
        <f t="shared" si="5"/>
        <v>8936.3746122832126</v>
      </c>
      <c r="L27" s="66">
        <v>20</v>
      </c>
      <c r="M27" s="69">
        <f>'보험개발원 위험률(1세)'!E27</f>
        <v>2.0000000000000001E-4</v>
      </c>
      <c r="N27" s="69">
        <f>'보험개발원 위험률(1세)'!E229</f>
        <v>4.9200000000000003E-4</v>
      </c>
      <c r="O27" s="72">
        <f t="shared" si="6"/>
        <v>4.9190160000000009E-4</v>
      </c>
      <c r="P27" s="75">
        <f t="shared" si="37"/>
        <v>98856.353217348442</v>
      </c>
      <c r="Q27" s="75">
        <f t="shared" si="7"/>
        <v>48.627598317778855</v>
      </c>
      <c r="R27" s="75">
        <f t="shared" si="8"/>
        <v>65236.3634568259</v>
      </c>
      <c r="S27" s="75">
        <f t="shared" si="9"/>
        <v>31.429844821345934</v>
      </c>
      <c r="T27" s="75">
        <f t="shared" si="10"/>
        <v>2078132.5742012186</v>
      </c>
      <c r="U27" s="75">
        <f t="shared" si="11"/>
        <v>8573.9716908327264</v>
      </c>
      <c r="W27" s="78">
        <v>20</v>
      </c>
      <c r="X27" s="69">
        <f>'보험개발원 위험률(1세)'!D27</f>
        <v>2.7999999999999998E-4</v>
      </c>
      <c r="Y27" s="69">
        <f>'보험개발원 위험률(1세)'!D310</f>
        <v>7.3999999999999996E-5</v>
      </c>
      <c r="Z27" s="72">
        <f t="shared" si="12"/>
        <v>7.3979279999999997E-5</v>
      </c>
      <c r="AA27" s="75">
        <f t="shared" si="38"/>
        <v>99154.044759189899</v>
      </c>
      <c r="AB27" s="75">
        <f t="shared" si="13"/>
        <v>7.3353448403726418</v>
      </c>
      <c r="AC27" s="75">
        <f t="shared" si="14"/>
        <v>65432.813285183358</v>
      </c>
      <c r="AD27" s="75">
        <f t="shared" si="15"/>
        <v>4.7411091236163561</v>
      </c>
      <c r="AE27" s="75">
        <f t="shared" si="16"/>
        <v>2172617.9914418082</v>
      </c>
      <c r="AF27" s="75">
        <f t="shared" si="17"/>
        <v>3445.1107565003313</v>
      </c>
      <c r="AH27" s="78">
        <v>20</v>
      </c>
      <c r="AI27" s="69">
        <f>'보험개발원 위험률(1세)'!E27</f>
        <v>2.0000000000000001E-4</v>
      </c>
      <c r="AJ27" s="69">
        <f>'보험개발원 위험률(1세)'!E310</f>
        <v>7.1000000000000005E-5</v>
      </c>
      <c r="AK27" s="72">
        <f t="shared" si="18"/>
        <v>7.0985800000000001E-5</v>
      </c>
      <c r="AL27" s="75">
        <f t="shared" si="39"/>
        <v>99276.428228633813</v>
      </c>
      <c r="AM27" s="75">
        <f t="shared" si="19"/>
        <v>7.0472166789521538</v>
      </c>
      <c r="AN27" s="75">
        <f t="shared" si="20"/>
        <v>65513.575443951209</v>
      </c>
      <c r="AO27" s="75">
        <f t="shared" si="21"/>
        <v>4.5548810614586008</v>
      </c>
      <c r="AP27" s="75">
        <f t="shared" si="22"/>
        <v>2223527.9823906287</v>
      </c>
      <c r="AQ27" s="75">
        <f t="shared" si="23"/>
        <v>2425.0674853485516</v>
      </c>
      <c r="AS27" s="81">
        <v>20</v>
      </c>
      <c r="AT27" s="69">
        <f>'보험개발원 위험률(1세)'!D27</f>
        <v>2.7999999999999998E-4</v>
      </c>
      <c r="AU27" s="69">
        <f>'보험개발원 위험률(1세)'!D391</f>
        <v>2.3E-5</v>
      </c>
      <c r="AV27" s="72">
        <f t="shared" si="24"/>
        <v>2.299356E-5</v>
      </c>
      <c r="AW27" s="75">
        <f t="shared" si="40"/>
        <v>99358.332493080597</v>
      </c>
      <c r="AX27" s="75">
        <f t="shared" si="25"/>
        <v>2.2846017796795981</v>
      </c>
      <c r="AY27" s="75">
        <f t="shared" si="26"/>
        <v>65567.624942948678</v>
      </c>
      <c r="AZ27" s="75">
        <f t="shared" si="27"/>
        <v>1.4766240138914661</v>
      </c>
      <c r="BA27" s="75">
        <f t="shared" si="28"/>
        <v>2202659.5291231619</v>
      </c>
      <c r="BB27" s="75">
        <f t="shared" si="29"/>
        <v>1404.5185863322718</v>
      </c>
      <c r="BD27" s="81">
        <v>20</v>
      </c>
      <c r="BE27" s="69">
        <f>'보험개발원 위험률(1세)'!E27</f>
        <v>2.0000000000000001E-4</v>
      </c>
      <c r="BF27" s="69">
        <f>'보험개발원 위험률(1세)'!E391</f>
        <v>6.9999999999999999E-6</v>
      </c>
      <c r="BG27" s="72">
        <f t="shared" si="30"/>
        <v>6.9986000000000002E-6</v>
      </c>
      <c r="BH27" s="75">
        <f t="shared" si="41"/>
        <v>99435.55642872506</v>
      </c>
      <c r="BI27" s="75">
        <f t="shared" si="31"/>
        <v>0.69590968522207519</v>
      </c>
      <c r="BJ27" s="75">
        <f t="shared" si="32"/>
        <v>65618.585842974921</v>
      </c>
      <c r="BK27" s="75">
        <f t="shared" si="33"/>
        <v>0.4497925904805527</v>
      </c>
      <c r="BL27" s="75">
        <f t="shared" si="34"/>
        <v>2254366.8934340989</v>
      </c>
      <c r="BM27" s="75">
        <f t="shared" si="35"/>
        <v>367.45174860823784</v>
      </c>
    </row>
    <row r="28" spans="1:65" ht="18" customHeight="1">
      <c r="A28" s="66">
        <v>21</v>
      </c>
      <c r="B28" s="69">
        <f>'보험개발원 위험률(1세)'!D28</f>
        <v>3.0199999999999997E-4</v>
      </c>
      <c r="C28" s="69">
        <f>'보험개발원 위험률(1세)'!D230</f>
        <v>3.6000000000000002E-4</v>
      </c>
      <c r="D28" s="72">
        <f t="shared" si="0"/>
        <v>3.5989128000000001E-4</v>
      </c>
      <c r="E28" s="75">
        <f t="shared" si="36"/>
        <v>98812.147834186952</v>
      </c>
      <c r="F28" s="75">
        <f t="shared" si="1"/>
        <v>35.561630363594773</v>
      </c>
      <c r="G28" s="75">
        <f t="shared" si="2"/>
        <v>63866.005731912228</v>
      </c>
      <c r="H28" s="75">
        <f t="shared" si="3"/>
        <v>22.512065182512469</v>
      </c>
      <c r="I28" s="75">
        <f t="shared" si="4"/>
        <v>2021808.1002348033</v>
      </c>
      <c r="J28" s="75">
        <f t="shared" si="5"/>
        <v>8917.6563881640959</v>
      </c>
      <c r="L28" s="66">
        <v>21</v>
      </c>
      <c r="M28" s="69">
        <f>'보험개발원 위험률(1세)'!E28</f>
        <v>2.0800000000000001E-4</v>
      </c>
      <c r="N28" s="69">
        <f>'보험개발원 위험률(1세)'!E230</f>
        <v>6.5700000000000003E-4</v>
      </c>
      <c r="O28" s="72">
        <f t="shared" si="6"/>
        <v>6.5686334400000008E-4</v>
      </c>
      <c r="P28" s="75">
        <f t="shared" si="37"/>
        <v>98787.954348387197</v>
      </c>
      <c r="Q28" s="75">
        <f t="shared" si="7"/>
        <v>64.890186040200959</v>
      </c>
      <c r="R28" s="75">
        <f t="shared" si="8"/>
        <v>63850.368572548432</v>
      </c>
      <c r="S28" s="75">
        <f t="shared" si="9"/>
        <v>41.078321857195569</v>
      </c>
      <c r="T28" s="75">
        <f t="shared" si="10"/>
        <v>2012896.2107443926</v>
      </c>
      <c r="U28" s="75">
        <f t="shared" si="11"/>
        <v>8542.5418460113797</v>
      </c>
      <c r="W28" s="78">
        <v>21</v>
      </c>
      <c r="X28" s="69">
        <f>'보험개발원 위험률(1세)'!D28</f>
        <v>3.0199999999999997E-4</v>
      </c>
      <c r="Y28" s="69">
        <f>'보험개발원 위험률(1세)'!D311</f>
        <v>8.8499999999999996E-5</v>
      </c>
      <c r="Z28" s="72">
        <f t="shared" si="12"/>
        <v>8.8473272999999998E-5</v>
      </c>
      <c r="AA28" s="75">
        <f t="shared" si="38"/>
        <v>99118.946281816956</v>
      </c>
      <c r="AB28" s="75">
        <f t="shared" si="13"/>
        <v>8.7693775938635259</v>
      </c>
      <c r="AC28" s="75">
        <f t="shared" si="14"/>
        <v>64064.301101908226</v>
      </c>
      <c r="AD28" s="75">
        <f t="shared" si="15"/>
        <v>5.5513990214919957</v>
      </c>
      <c r="AE28" s="75">
        <f t="shared" si="16"/>
        <v>2107185.178156625</v>
      </c>
      <c r="AF28" s="75">
        <f t="shared" si="17"/>
        <v>3440.369647376715</v>
      </c>
      <c r="AH28" s="78">
        <v>21</v>
      </c>
      <c r="AI28" s="69">
        <f>'보험개발원 위험률(1세)'!E28</f>
        <v>2.0800000000000001E-4</v>
      </c>
      <c r="AJ28" s="69">
        <f>'보험개발원 위험률(1세)'!E311</f>
        <v>8.2600000000000002E-5</v>
      </c>
      <c r="AK28" s="72">
        <f t="shared" si="18"/>
        <v>8.2582819200000007E-5</v>
      </c>
      <c r="AL28" s="75">
        <f t="shared" si="39"/>
        <v>99249.525726309133</v>
      </c>
      <c r="AM28" s="75">
        <f t="shared" si="19"/>
        <v>8.1963056387415367</v>
      </c>
      <c r="AN28" s="75">
        <f t="shared" si="20"/>
        <v>64148.699505679404</v>
      </c>
      <c r="AO28" s="75">
        <f t="shared" si="21"/>
        <v>5.1886194448507865</v>
      </c>
      <c r="AP28" s="75">
        <f t="shared" si="22"/>
        <v>2158014.4069466772</v>
      </c>
      <c r="AQ28" s="75">
        <f t="shared" si="23"/>
        <v>2420.5126042870929</v>
      </c>
      <c r="AS28" s="81">
        <v>21</v>
      </c>
      <c r="AT28" s="69">
        <f>'보험개발원 위험률(1세)'!D28</f>
        <v>3.0199999999999997E-4</v>
      </c>
      <c r="AU28" s="69">
        <f>'보험개발원 위험률(1세)'!D392</f>
        <v>2.8800000000000002E-5</v>
      </c>
      <c r="AV28" s="72">
        <f t="shared" si="24"/>
        <v>2.8791302400000002E-5</v>
      </c>
      <c r="AW28" s="75">
        <f t="shared" si="40"/>
        <v>99328.227558202852</v>
      </c>
      <c r="AX28" s="75">
        <f t="shared" si="25"/>
        <v>2.8597890364842322</v>
      </c>
      <c r="AY28" s="75">
        <f t="shared" si="26"/>
        <v>64199.56745822377</v>
      </c>
      <c r="AZ28" s="75">
        <f t="shared" si="27"/>
        <v>1.810371362036161</v>
      </c>
      <c r="BA28" s="75">
        <f t="shared" si="28"/>
        <v>2137091.9041802133</v>
      </c>
      <c r="BB28" s="75">
        <f t="shared" si="29"/>
        <v>1403.0419623183802</v>
      </c>
      <c r="BD28" s="81">
        <v>21</v>
      </c>
      <c r="BE28" s="69">
        <f>'보험개발원 위험률(1세)'!E28</f>
        <v>2.0800000000000001E-4</v>
      </c>
      <c r="BF28" s="69">
        <f>'보험개발원 위험률(1세)'!E392</f>
        <v>8.1000000000000004E-6</v>
      </c>
      <c r="BG28" s="72">
        <f t="shared" si="30"/>
        <v>8.098315200000001E-6</v>
      </c>
      <c r="BH28" s="75">
        <f t="shared" si="41"/>
        <v>99414.973407754092</v>
      </c>
      <c r="BI28" s="75">
        <f t="shared" si="31"/>
        <v>0.8050937902556109</v>
      </c>
      <c r="BJ28" s="75">
        <f t="shared" si="32"/>
        <v>64255.634561774197</v>
      </c>
      <c r="BK28" s="75">
        <f t="shared" si="33"/>
        <v>0.50965953188762136</v>
      </c>
      <c r="BL28" s="75">
        <f t="shared" si="34"/>
        <v>2188748.307591124</v>
      </c>
      <c r="BM28" s="75">
        <f t="shared" si="35"/>
        <v>367.00195601775727</v>
      </c>
    </row>
    <row r="29" spans="1:65" ht="18" customHeight="1">
      <c r="A29" s="66">
        <v>22</v>
      </c>
      <c r="B29" s="69">
        <f>'보험개발원 위험률(1세)'!D29</f>
        <v>3.2399999999999996E-4</v>
      </c>
      <c r="C29" s="69">
        <f>'보험개발원 위험률(1세)'!D231</f>
        <v>4.2700000000000002E-4</v>
      </c>
      <c r="D29" s="72">
        <f t="shared" si="0"/>
        <v>4.2686165200000006E-4</v>
      </c>
      <c r="E29" s="75">
        <f t="shared" si="36"/>
        <v>98746.744935177441</v>
      </c>
      <c r="F29" s="75">
        <f t="shared" si="1"/>
        <v>42.151198672652484</v>
      </c>
      <c r="G29" s="75">
        <f t="shared" si="2"/>
        <v>62511.002330685456</v>
      </c>
      <c r="H29" s="75">
        <f t="shared" si="3"/>
        <v>26.13472059064863</v>
      </c>
      <c r="I29" s="75">
        <f t="shared" si="4"/>
        <v>1957942.0945028909</v>
      </c>
      <c r="J29" s="75">
        <f t="shared" si="5"/>
        <v>8895.1443229815832</v>
      </c>
      <c r="L29" s="66">
        <v>22</v>
      </c>
      <c r="M29" s="69">
        <f>'보험개발원 위험률(1세)'!E29</f>
        <v>2.1600000000000002E-4</v>
      </c>
      <c r="N29" s="69">
        <f>'보험개발원 위험률(1세)'!E231</f>
        <v>8.2200000000000003E-4</v>
      </c>
      <c r="O29" s="72">
        <f t="shared" si="6"/>
        <v>8.2182244799999999E-4</v>
      </c>
      <c r="P29" s="75">
        <f t="shared" si="37"/>
        <v>98702.51626784254</v>
      </c>
      <c r="Q29" s="75">
        <f t="shared" si="7"/>
        <v>81.115943542998181</v>
      </c>
      <c r="R29" s="75">
        <f t="shared" si="8"/>
        <v>62483.003652565283</v>
      </c>
      <c r="S29" s="75">
        <f t="shared" si="9"/>
        <v>50.293765935498676</v>
      </c>
      <c r="T29" s="75">
        <f t="shared" si="10"/>
        <v>1949045.8421718441</v>
      </c>
      <c r="U29" s="75">
        <f t="shared" si="11"/>
        <v>8501.4635241541837</v>
      </c>
      <c r="W29" s="78">
        <v>22</v>
      </c>
      <c r="X29" s="69">
        <f>'보험개발원 위험률(1세)'!D29</f>
        <v>3.2399999999999996E-4</v>
      </c>
      <c r="Y29" s="69">
        <f>'보험개발원 위험률(1세)'!D312</f>
        <v>1.03E-4</v>
      </c>
      <c r="Z29" s="72">
        <f t="shared" si="12"/>
        <v>1.02966628E-4</v>
      </c>
      <c r="AA29" s="75">
        <f t="shared" si="38"/>
        <v>99080.242982445983</v>
      </c>
      <c r="AB29" s="75">
        <f t="shared" si="13"/>
        <v>10.201958521323126</v>
      </c>
      <c r="AC29" s="75">
        <f t="shared" si="14"/>
        <v>62722.121160210103</v>
      </c>
      <c r="AD29" s="75">
        <f t="shared" si="15"/>
        <v>6.3254508490443513</v>
      </c>
      <c r="AE29" s="75">
        <f t="shared" si="16"/>
        <v>2043120.8770547167</v>
      </c>
      <c r="AF29" s="75">
        <f t="shared" si="17"/>
        <v>3434.8182483552227</v>
      </c>
      <c r="AH29" s="78">
        <v>22</v>
      </c>
      <c r="AI29" s="69">
        <f>'보험개발원 위험률(1세)'!E29</f>
        <v>2.1600000000000002E-4</v>
      </c>
      <c r="AJ29" s="69">
        <f>'보험개발원 위험률(1세)'!E312</f>
        <v>9.4199999999999999E-5</v>
      </c>
      <c r="AK29" s="72">
        <f t="shared" si="18"/>
        <v>9.4179652800000004E-5</v>
      </c>
      <c r="AL29" s="75">
        <f t="shared" si="39"/>
        <v>99220.685519319319</v>
      </c>
      <c r="AM29" s="75">
        <f t="shared" si="19"/>
        <v>9.3445697127874823</v>
      </c>
      <c r="AN29" s="75">
        <f t="shared" si="20"/>
        <v>62811.027419910912</v>
      </c>
      <c r="AO29" s="75">
        <f t="shared" si="21"/>
        <v>5.793849906384418</v>
      </c>
      <c r="AP29" s="75">
        <f t="shared" si="22"/>
        <v>2093865.7074409977</v>
      </c>
      <c r="AQ29" s="75">
        <f t="shared" si="23"/>
        <v>2415.3239848422422</v>
      </c>
      <c r="AS29" s="81">
        <v>22</v>
      </c>
      <c r="AT29" s="69">
        <f>'보험개발원 위험률(1세)'!D29</f>
        <v>3.2399999999999996E-4</v>
      </c>
      <c r="AU29" s="69">
        <f>'보험개발원 위험률(1세)'!D393</f>
        <v>3.4600000000000001E-5</v>
      </c>
      <c r="AV29" s="72">
        <f t="shared" si="24"/>
        <v>3.4588789600000003E-5</v>
      </c>
      <c r="AW29" s="75">
        <f t="shared" si="40"/>
        <v>99295.370644443785</v>
      </c>
      <c r="AX29" s="75">
        <f t="shared" si="25"/>
        <v>3.4345066834746829</v>
      </c>
      <c r="AY29" s="75">
        <f t="shared" si="26"/>
        <v>62858.306366004654</v>
      </c>
      <c r="AZ29" s="75">
        <f t="shared" si="27"/>
        <v>2.1294737840412106</v>
      </c>
      <c r="BA29" s="75">
        <f t="shared" si="28"/>
        <v>2072892.3367219898</v>
      </c>
      <c r="BB29" s="75">
        <f t="shared" si="29"/>
        <v>1401.231590956344</v>
      </c>
      <c r="BD29" s="81">
        <v>22</v>
      </c>
      <c r="BE29" s="69">
        <f>'보험개발원 위험률(1세)'!E29</f>
        <v>2.1600000000000002E-4</v>
      </c>
      <c r="BF29" s="69">
        <f>'보험개발원 위험률(1세)'!E393</f>
        <v>9.2E-6</v>
      </c>
      <c r="BG29" s="72">
        <f t="shared" si="30"/>
        <v>9.1980127999999997E-6</v>
      </c>
      <c r="BH29" s="75">
        <f t="shared" si="41"/>
        <v>99393.489999495039</v>
      </c>
      <c r="BI29" s="75">
        <f t="shared" si="31"/>
        <v>0.91422259325202737</v>
      </c>
      <c r="BJ29" s="75">
        <f t="shared" si="32"/>
        <v>62920.420203137423</v>
      </c>
      <c r="BK29" s="75">
        <f t="shared" si="33"/>
        <v>0.56683920706154423</v>
      </c>
      <c r="BL29" s="75">
        <f t="shared" si="34"/>
        <v>2124492.6730293497</v>
      </c>
      <c r="BM29" s="75">
        <f t="shared" si="35"/>
        <v>366.49229648586964</v>
      </c>
    </row>
    <row r="30" spans="1:65" ht="18" customHeight="1">
      <c r="A30" s="66">
        <v>23</v>
      </c>
      <c r="B30" s="69">
        <f>'보험개발원 위험률(1세)'!D30</f>
        <v>3.4599999999999995E-4</v>
      </c>
      <c r="C30" s="69">
        <f>'보험개발원 위험률(1세)'!D232</f>
        <v>4.9400000000000008E-4</v>
      </c>
      <c r="D30" s="72">
        <f t="shared" si="0"/>
        <v>4.9382907600000012E-4</v>
      </c>
      <c r="E30" s="75">
        <f t="shared" si="36"/>
        <v>98672.599791145796</v>
      </c>
      <c r="F30" s="75">
        <f t="shared" si="1"/>
        <v>48.727398781379335</v>
      </c>
      <c r="G30" s="75">
        <f t="shared" si="2"/>
        <v>61179.29991793073</v>
      </c>
      <c r="H30" s="75">
        <f t="shared" si="3"/>
        <v>29.590712192750846</v>
      </c>
      <c r="I30" s="75">
        <f t="shared" si="4"/>
        <v>1895431.0921722054</v>
      </c>
      <c r="J30" s="75">
        <f t="shared" si="5"/>
        <v>8869.0096023909337</v>
      </c>
      <c r="L30" s="66">
        <v>23</v>
      </c>
      <c r="M30" s="69">
        <f>'보험개발원 위험률(1세)'!E30</f>
        <v>2.24E-4</v>
      </c>
      <c r="N30" s="69">
        <f>'보험개발원 위험률(1세)'!E232</f>
        <v>9.8700000000000003E-4</v>
      </c>
      <c r="O30" s="72">
        <f t="shared" si="6"/>
        <v>9.8677891200000005E-4</v>
      </c>
      <c r="P30" s="75">
        <f t="shared" si="37"/>
        <v>98600.080580785681</v>
      </c>
      <c r="Q30" s="75">
        <f t="shared" si="7"/>
        <v>97.29648023862002</v>
      </c>
      <c r="R30" s="75">
        <f t="shared" si="8"/>
        <v>61134.336325912031</v>
      </c>
      <c r="S30" s="75">
        <f t="shared" si="9"/>
        <v>59.085282943707689</v>
      </c>
      <c r="T30" s="75">
        <f t="shared" si="10"/>
        <v>1886562.8385192789</v>
      </c>
      <c r="U30" s="75">
        <f t="shared" si="11"/>
        <v>8451.1697582186844</v>
      </c>
      <c r="W30" s="78">
        <v>23</v>
      </c>
      <c r="X30" s="69">
        <f>'보험개발원 위험률(1세)'!D30</f>
        <v>3.4599999999999995E-4</v>
      </c>
      <c r="Y30" s="69">
        <f>'보험개발원 위험률(1세)'!D313</f>
        <v>1.175E-4</v>
      </c>
      <c r="Z30" s="72">
        <f t="shared" si="12"/>
        <v>1.1745934500000001E-4</v>
      </c>
      <c r="AA30" s="75">
        <f t="shared" si="38"/>
        <v>99037.939025198357</v>
      </c>
      <c r="AB30" s="75">
        <f t="shared" si="13"/>
        <v>11.632931448049739</v>
      </c>
      <c r="AC30" s="75">
        <f t="shared" si="14"/>
        <v>61405.818714630099</v>
      </c>
      <c r="AD30" s="75">
        <f t="shared" si="15"/>
        <v>7.0643361855134117</v>
      </c>
      <c r="AE30" s="75">
        <f t="shared" si="16"/>
        <v>1980398.7558945066</v>
      </c>
      <c r="AF30" s="75">
        <f t="shared" si="17"/>
        <v>3428.4927975061782</v>
      </c>
      <c r="AH30" s="78">
        <v>23</v>
      </c>
      <c r="AI30" s="69">
        <f>'보험개발원 위험률(1세)'!E30</f>
        <v>2.24E-4</v>
      </c>
      <c r="AJ30" s="69">
        <f>'보험개발원 위험률(1세)'!E313</f>
        <v>1.058E-4</v>
      </c>
      <c r="AK30" s="72">
        <f t="shared" si="18"/>
        <v>1.0577630079999999E-4</v>
      </c>
      <c r="AL30" s="75">
        <f t="shared" si="39"/>
        <v>99189.909281534361</v>
      </c>
      <c r="AM30" s="75">
        <f t="shared" si="19"/>
        <v>10.49194168048829</v>
      </c>
      <c r="AN30" s="75">
        <f t="shared" si="20"/>
        <v>61500.043797486578</v>
      </c>
      <c r="AO30" s="75">
        <f t="shared" si="21"/>
        <v>6.3714467501822858</v>
      </c>
      <c r="AP30" s="75">
        <f t="shared" si="22"/>
        <v>2031054.6800210867</v>
      </c>
      <c r="AQ30" s="75">
        <f t="shared" si="23"/>
        <v>2409.5301349358579</v>
      </c>
      <c r="AS30" s="81">
        <v>23</v>
      </c>
      <c r="AT30" s="69">
        <f>'보험개발원 위험률(1세)'!D30</f>
        <v>3.4599999999999995E-4</v>
      </c>
      <c r="AU30" s="69">
        <f>'보험개발원 위험률(1세)'!D394</f>
        <v>4.0399999999999999E-5</v>
      </c>
      <c r="AV30" s="72">
        <f t="shared" si="24"/>
        <v>4.0386021600000003E-5</v>
      </c>
      <c r="AW30" s="75">
        <f t="shared" si="40"/>
        <v>99259.764437671503</v>
      </c>
      <c r="AX30" s="75">
        <f t="shared" si="25"/>
        <v>4.0087069905907136</v>
      </c>
      <c r="AY30" s="75">
        <f t="shared" si="26"/>
        <v>61543.35561411221</v>
      </c>
      <c r="AZ30" s="75">
        <f t="shared" si="27"/>
        <v>2.4343695290578031</v>
      </c>
      <c r="BA30" s="75">
        <f t="shared" si="28"/>
        <v>2010034.030355985</v>
      </c>
      <c r="BB30" s="75">
        <f t="shared" si="29"/>
        <v>1399.1021171723028</v>
      </c>
      <c r="BD30" s="81">
        <v>23</v>
      </c>
      <c r="BE30" s="69">
        <f>'보험개발원 위험률(1세)'!E30</f>
        <v>2.24E-4</v>
      </c>
      <c r="BF30" s="69">
        <f>'보험개발원 위험률(1세)'!E394</f>
        <v>1.03E-5</v>
      </c>
      <c r="BG30" s="72">
        <f t="shared" si="30"/>
        <v>1.0297692799999999E-5</v>
      </c>
      <c r="BH30" s="75">
        <f t="shared" si="41"/>
        <v>99371.106783061885</v>
      </c>
      <c r="BI30" s="75">
        <f t="shared" si="31"/>
        <v>1.0232931308479674</v>
      </c>
      <c r="BJ30" s="75">
        <f t="shared" si="32"/>
        <v>61612.39045009121</v>
      </c>
      <c r="BK30" s="75">
        <f t="shared" si="33"/>
        <v>0.62141573900949354</v>
      </c>
      <c r="BL30" s="75">
        <f t="shared" si="34"/>
        <v>2061572.2528262124</v>
      </c>
      <c r="BM30" s="75">
        <f t="shared" si="35"/>
        <v>365.9254572788081</v>
      </c>
    </row>
    <row r="31" spans="1:65" ht="18" customHeight="1">
      <c r="A31" s="66">
        <v>24</v>
      </c>
      <c r="B31" s="69">
        <f>'보험개발원 위험률(1세)'!D31</f>
        <v>3.68E-4</v>
      </c>
      <c r="C31" s="69">
        <f>'보험개발원 위험률(1세)'!D233</f>
        <v>5.6100000000000008E-4</v>
      </c>
      <c r="D31" s="72">
        <f t="shared" si="0"/>
        <v>5.6079355200000004E-4</v>
      </c>
      <c r="E31" s="75">
        <f t="shared" si="36"/>
        <v>98589.731672836686</v>
      </c>
      <c r="F31" s="75">
        <f t="shared" si="1"/>
        <v>55.288485815536994</v>
      </c>
      <c r="G31" s="75">
        <f t="shared" si="2"/>
        <v>59870.636398638911</v>
      </c>
      <c r="H31" s="75">
        <f t="shared" si="3"/>
        <v>32.884492503911076</v>
      </c>
      <c r="I31" s="75">
        <f t="shared" si="4"/>
        <v>1834251.7922542747</v>
      </c>
      <c r="J31" s="75">
        <f t="shared" si="5"/>
        <v>8839.4188901981834</v>
      </c>
      <c r="L31" s="66">
        <v>24</v>
      </c>
      <c r="M31" s="69">
        <f>'보험개발원 위험률(1세)'!E31</f>
        <v>2.32E-4</v>
      </c>
      <c r="N31" s="69">
        <f>'보험개발원 위험률(1세)'!E233</f>
        <v>1.1519999999999998E-3</v>
      </c>
      <c r="O31" s="72">
        <f t="shared" si="6"/>
        <v>1.1517327359999998E-3</v>
      </c>
      <c r="P31" s="75">
        <f t="shared" si="37"/>
        <v>98480.697682496975</v>
      </c>
      <c r="Q31" s="75">
        <f t="shared" si="7"/>
        <v>113.42344338505109</v>
      </c>
      <c r="R31" s="75">
        <f t="shared" si="8"/>
        <v>59804.423271977968</v>
      </c>
      <c r="S31" s="75">
        <f t="shared" si="9"/>
        <v>67.462009833435118</v>
      </c>
      <c r="T31" s="75">
        <f t="shared" si="10"/>
        <v>1825428.5021933669</v>
      </c>
      <c r="U31" s="75">
        <f t="shared" si="11"/>
        <v>8392.0844752749763</v>
      </c>
      <c r="W31" s="78">
        <v>24</v>
      </c>
      <c r="X31" s="69">
        <f>'보험개발원 위험률(1세)'!D31</f>
        <v>3.68E-4</v>
      </c>
      <c r="Y31" s="69">
        <f>'보험개발원 위험률(1세)'!D314</f>
        <v>1.3200000000000001E-4</v>
      </c>
      <c r="Z31" s="72">
        <f t="shared" si="12"/>
        <v>1.3195142400000001E-4</v>
      </c>
      <c r="AA31" s="75">
        <f t="shared" si="38"/>
        <v>98992.038966847584</v>
      </c>
      <c r="AB31" s="75">
        <f t="shared" si="13"/>
        <v>13.062140506339029</v>
      </c>
      <c r="AC31" s="75">
        <f t="shared" si="14"/>
        <v>60114.945753290325</v>
      </c>
      <c r="AD31" s="75">
        <f t="shared" si="15"/>
        <v>7.7691015630062807</v>
      </c>
      <c r="AE31" s="75">
        <f t="shared" si="16"/>
        <v>1918992.9371798765</v>
      </c>
      <c r="AF31" s="75">
        <f t="shared" si="17"/>
        <v>3421.4284613206646</v>
      </c>
      <c r="AH31" s="78">
        <v>24</v>
      </c>
      <c r="AI31" s="69">
        <f>'보험개발원 위험률(1세)'!E31</f>
        <v>2.32E-4</v>
      </c>
      <c r="AJ31" s="69">
        <f>'보험개발원 위험률(1세)'!E314</f>
        <v>1.1740000000000001E-4</v>
      </c>
      <c r="AK31" s="72">
        <f t="shared" si="18"/>
        <v>1.1737276320000001E-4</v>
      </c>
      <c r="AL31" s="75">
        <f t="shared" si="39"/>
        <v>99157.19880017481</v>
      </c>
      <c r="AM31" s="75">
        <f t="shared" si="19"/>
        <v>11.638354414348242</v>
      </c>
      <c r="AN31" s="75">
        <f t="shared" si="20"/>
        <v>60215.242449112637</v>
      </c>
      <c r="AO31" s="75">
        <f t="shared" si="21"/>
        <v>6.9222618932519948</v>
      </c>
      <c r="AP31" s="75">
        <f t="shared" si="22"/>
        <v>1969554.6362236</v>
      </c>
      <c r="AQ31" s="75">
        <f t="shared" si="23"/>
        <v>2403.1586881856756</v>
      </c>
      <c r="AS31" s="81">
        <v>24</v>
      </c>
      <c r="AT31" s="69">
        <f>'보험개발원 위험률(1세)'!D31</f>
        <v>3.68E-4</v>
      </c>
      <c r="AU31" s="69">
        <f>'보험개발원 위험률(1세)'!D395</f>
        <v>4.6199999999999998E-5</v>
      </c>
      <c r="AV31" s="72">
        <f t="shared" si="24"/>
        <v>4.6182998399999996E-5</v>
      </c>
      <c r="AW31" s="75">
        <f t="shared" si="40"/>
        <v>99221.411852185469</v>
      </c>
      <c r="AX31" s="75">
        <f t="shared" si="25"/>
        <v>4.5823423048152225</v>
      </c>
      <c r="AY31" s="75">
        <f t="shared" si="26"/>
        <v>60254.237141802689</v>
      </c>
      <c r="AZ31" s="75">
        <f t="shared" si="27"/>
        <v>2.7254861288081242</v>
      </c>
      <c r="BA31" s="75">
        <f t="shared" si="28"/>
        <v>1948490.6747418728</v>
      </c>
      <c r="BB31" s="75">
        <f t="shared" si="29"/>
        <v>1396.6677476432449</v>
      </c>
      <c r="BD31" s="81">
        <v>24</v>
      </c>
      <c r="BE31" s="69">
        <f>'보험개발원 위험률(1세)'!E31</f>
        <v>2.32E-4</v>
      </c>
      <c r="BF31" s="69">
        <f>'보험개발원 위험률(1세)'!E395</f>
        <v>1.1399999999999999E-5</v>
      </c>
      <c r="BG31" s="72">
        <f t="shared" si="30"/>
        <v>1.1397355199999999E-5</v>
      </c>
      <c r="BH31" s="75">
        <f t="shared" si="41"/>
        <v>99347.824362011626</v>
      </c>
      <c r="BI31" s="75">
        <f t="shared" si="31"/>
        <v>1.1323024426010597</v>
      </c>
      <c r="BJ31" s="75">
        <f t="shared" si="32"/>
        <v>60331.003730813769</v>
      </c>
      <c r="BK31" s="75">
        <f t="shared" si="33"/>
        <v>0.67347098833752173</v>
      </c>
      <c r="BL31" s="75">
        <f t="shared" si="34"/>
        <v>1999959.8623761213</v>
      </c>
      <c r="BM31" s="75">
        <f t="shared" si="35"/>
        <v>365.30404153979862</v>
      </c>
    </row>
    <row r="32" spans="1:65" ht="18" customHeight="1">
      <c r="A32" s="66">
        <v>25</v>
      </c>
      <c r="B32" s="69">
        <f>'보험개발원 위험률(1세)'!D32</f>
        <v>3.8999999999999999E-4</v>
      </c>
      <c r="C32" s="69">
        <f>'보험개발원 위험률(1세)'!D234</f>
        <v>6.2800000000000009E-4</v>
      </c>
      <c r="D32" s="72">
        <f t="shared" si="0"/>
        <v>6.2775508000000014E-4</v>
      </c>
      <c r="E32" s="75">
        <f t="shared" si="36"/>
        <v>98498.162165765534</v>
      </c>
      <c r="F32" s="75">
        <f t="shared" si="1"/>
        <v>61.83272167022313</v>
      </c>
      <c r="G32" s="75">
        <f t="shared" si="2"/>
        <v>58584.749204307263</v>
      </c>
      <c r="H32" s="75">
        <f t="shared" si="3"/>
        <v>36.020444587198682</v>
      </c>
      <c r="I32" s="75">
        <f t="shared" si="4"/>
        <v>1774381.1558556359</v>
      </c>
      <c r="J32" s="75">
        <f t="shared" si="5"/>
        <v>8806.5343976942731</v>
      </c>
      <c r="L32" s="66">
        <v>25</v>
      </c>
      <c r="M32" s="69">
        <f>'보험개발원 위험률(1세)'!E32</f>
        <v>2.4000000000000001E-4</v>
      </c>
      <c r="N32" s="69">
        <f>'보험개발원 위험률(1세)'!E234</f>
        <v>1.317E-3</v>
      </c>
      <c r="O32" s="72">
        <f t="shared" si="6"/>
        <v>1.3166839199999999E-3</v>
      </c>
      <c r="P32" s="75">
        <f t="shared" si="37"/>
        <v>98344.426717249589</v>
      </c>
      <c r="Q32" s="75">
        <f t="shared" si="7"/>
        <v>129.48852528022093</v>
      </c>
      <c r="R32" s="75">
        <f t="shared" si="8"/>
        <v>58493.31041502345</v>
      </c>
      <c r="S32" s="75">
        <f t="shared" si="9"/>
        <v>75.433106024515098</v>
      </c>
      <c r="T32" s="75">
        <f t="shared" si="10"/>
        <v>1765624.0789213888</v>
      </c>
      <c r="U32" s="75">
        <f t="shared" si="11"/>
        <v>8324.6224654415419</v>
      </c>
      <c r="W32" s="78">
        <v>25</v>
      </c>
      <c r="X32" s="69">
        <f>'보험개발원 위험률(1세)'!D32</f>
        <v>3.8999999999999999E-4</v>
      </c>
      <c r="Y32" s="69">
        <f>'보험개발원 위험률(1세)'!D315</f>
        <v>1.4649999999999998E-4</v>
      </c>
      <c r="Z32" s="72">
        <f t="shared" si="12"/>
        <v>1.4644286499999998E-4</v>
      </c>
      <c r="AA32" s="75">
        <f t="shared" si="38"/>
        <v>98942.547756001441</v>
      </c>
      <c r="AB32" s="75">
        <f t="shared" si="13"/>
        <v>14.489430163788169</v>
      </c>
      <c r="AC32" s="75">
        <f t="shared" si="14"/>
        <v>58849.060921211843</v>
      </c>
      <c r="AD32" s="75">
        <f t="shared" si="15"/>
        <v>8.4407689362015663</v>
      </c>
      <c r="AE32" s="75">
        <f t="shared" si="16"/>
        <v>1858877.9914265862</v>
      </c>
      <c r="AF32" s="75">
        <f t="shared" si="17"/>
        <v>3413.6593597576584</v>
      </c>
      <c r="AH32" s="78">
        <v>25</v>
      </c>
      <c r="AI32" s="69">
        <f>'보험개발원 위험률(1세)'!E32</f>
        <v>2.4000000000000001E-4</v>
      </c>
      <c r="AJ32" s="69">
        <f>'보험개발원 위험률(1세)'!E315</f>
        <v>1.2899999999999999E-4</v>
      </c>
      <c r="AK32" s="72">
        <f t="shared" si="18"/>
        <v>1.2896903999999999E-4</v>
      </c>
      <c r="AL32" s="75">
        <f t="shared" si="39"/>
        <v>99122.555975638825</v>
      </c>
      <c r="AM32" s="75">
        <f t="shared" si="19"/>
        <v>12.783740886524402</v>
      </c>
      <c r="AN32" s="75">
        <f t="shared" si="20"/>
        <v>58956.126232587114</v>
      </c>
      <c r="AO32" s="75">
        <f t="shared" si="21"/>
        <v>7.4471253695745121</v>
      </c>
      <c r="AP32" s="75">
        <f t="shared" si="22"/>
        <v>1909339.3937744873</v>
      </c>
      <c r="AQ32" s="75">
        <f t="shared" si="23"/>
        <v>2396.2364262924234</v>
      </c>
      <c r="AS32" s="81">
        <v>25</v>
      </c>
      <c r="AT32" s="69">
        <f>'보험개발원 위험률(1세)'!D32</f>
        <v>3.8999999999999999E-4</v>
      </c>
      <c r="AU32" s="69">
        <f>'보험개발원 위험률(1세)'!D396</f>
        <v>5.2000000000000004E-5</v>
      </c>
      <c r="AV32" s="72">
        <f t="shared" si="24"/>
        <v>5.1979720000000001E-5</v>
      </c>
      <c r="AW32" s="75">
        <f t="shared" si="40"/>
        <v>99180.316030319053</v>
      </c>
      <c r="AX32" s="75">
        <f t="shared" si="25"/>
        <v>5.1553650567674962</v>
      </c>
      <c r="AY32" s="75">
        <f t="shared" si="26"/>
        <v>58990.480765129287</v>
      </c>
      <c r="AZ32" s="75">
        <f t="shared" si="27"/>
        <v>3.0032406198205743</v>
      </c>
      <c r="BA32" s="75">
        <f t="shared" si="28"/>
        <v>1888236.4376000701</v>
      </c>
      <c r="BB32" s="75">
        <f t="shared" si="29"/>
        <v>1393.9422615144367</v>
      </c>
      <c r="BD32" s="81">
        <v>25</v>
      </c>
      <c r="BE32" s="69">
        <f>'보험개발원 위험률(1세)'!E32</f>
        <v>2.4000000000000001E-4</v>
      </c>
      <c r="BF32" s="69">
        <f>'보험개발원 위험률(1세)'!E396</f>
        <v>1.2499999999999999E-5</v>
      </c>
      <c r="BG32" s="72">
        <f t="shared" si="30"/>
        <v>1.2496999999999999E-5</v>
      </c>
      <c r="BH32" s="75">
        <f t="shared" si="41"/>
        <v>99323.643364317046</v>
      </c>
      <c r="BI32" s="75">
        <f t="shared" si="31"/>
        <v>1.24124757112387</v>
      </c>
      <c r="BJ32" s="75">
        <f t="shared" si="32"/>
        <v>59075.729014759199</v>
      </c>
      <c r="BK32" s="75">
        <f t="shared" si="33"/>
        <v>0.72308460871444236</v>
      </c>
      <c r="BL32" s="75">
        <f t="shared" si="34"/>
        <v>1939628.8586453076</v>
      </c>
      <c r="BM32" s="75">
        <f t="shared" si="35"/>
        <v>364.63057055146112</v>
      </c>
    </row>
    <row r="33" spans="1:65" ht="18" customHeight="1">
      <c r="A33" s="66">
        <v>26</v>
      </c>
      <c r="B33" s="69">
        <f>'보험개발원 위험률(1세)'!D33</f>
        <v>4.0200000000000001E-4</v>
      </c>
      <c r="C33" s="69">
        <f>'보험개발원 위험률(1세)'!D235</f>
        <v>6.9500000000000009E-4</v>
      </c>
      <c r="D33" s="72">
        <f t="shared" si="0"/>
        <v>6.9472061000000007E-4</v>
      </c>
      <c r="E33" s="75">
        <f t="shared" si="36"/>
        <v>98397.915160850665</v>
      </c>
      <c r="F33" s="75">
        <f t="shared" si="1"/>
        <v>68.359059643274435</v>
      </c>
      <c r="G33" s="75">
        <f t="shared" si="2"/>
        <v>57321.375394901137</v>
      </c>
      <c r="H33" s="75">
        <f t="shared" si="3"/>
        <v>39.00327216492137</v>
      </c>
      <c r="I33" s="75">
        <f t="shared" si="4"/>
        <v>1715796.4066513286</v>
      </c>
      <c r="J33" s="75">
        <f t="shared" si="5"/>
        <v>8770.5139531070745</v>
      </c>
      <c r="L33" s="66">
        <v>26</v>
      </c>
      <c r="M33" s="69">
        <f>'보험개발원 위험률(1세)'!E33</f>
        <v>2.4399999999999999E-4</v>
      </c>
      <c r="N33" s="69">
        <f>'보험개발원 위험률(1세)'!E235</f>
        <v>1.482E-3</v>
      </c>
      <c r="O33" s="72">
        <f t="shared" si="6"/>
        <v>1.4816383919999999E-3</v>
      </c>
      <c r="P33" s="75">
        <f t="shared" si="37"/>
        <v>98191.335529557226</v>
      </c>
      <c r="Q33" s="75">
        <f t="shared" si="7"/>
        <v>145.48405248234562</v>
      </c>
      <c r="R33" s="75">
        <f t="shared" si="8"/>
        <v>57201.033123675625</v>
      </c>
      <c r="S33" s="75">
        <f t="shared" si="9"/>
        <v>83.008077118610672</v>
      </c>
      <c r="T33" s="75">
        <f t="shared" si="10"/>
        <v>1707130.7685063654</v>
      </c>
      <c r="U33" s="75">
        <f t="shared" si="11"/>
        <v>8249.1893594170269</v>
      </c>
      <c r="W33" s="78">
        <v>26</v>
      </c>
      <c r="X33" s="69">
        <f>'보험개발원 위험률(1세)'!D33</f>
        <v>4.0200000000000001E-4</v>
      </c>
      <c r="Y33" s="69">
        <f>'보험개발원 위험률(1세)'!D316</f>
        <v>1.6100000000000001E-4</v>
      </c>
      <c r="Z33" s="72">
        <f t="shared" si="12"/>
        <v>1.6093527800000002E-4</v>
      </c>
      <c r="AA33" s="75">
        <f t="shared" si="38"/>
        <v>98889.470732212809</v>
      </c>
      <c r="AB33" s="75">
        <f t="shared" si="13"/>
        <v>15.914804463561534</v>
      </c>
      <c r="AC33" s="75">
        <f t="shared" si="14"/>
        <v>57607.729444043784</v>
      </c>
      <c r="AD33" s="75">
        <f t="shared" si="15"/>
        <v>9.0804269863133928</v>
      </c>
      <c r="AE33" s="75">
        <f t="shared" si="16"/>
        <v>1800028.9305053744</v>
      </c>
      <c r="AF33" s="75">
        <f t="shared" si="17"/>
        <v>3405.2185908214569</v>
      </c>
      <c r="AH33" s="78">
        <v>26</v>
      </c>
      <c r="AI33" s="69">
        <f>'보험개발원 위험률(1세)'!E33</f>
        <v>2.4399999999999999E-4</v>
      </c>
      <c r="AJ33" s="69">
        <f>'보험개발원 위험률(1세)'!E316</f>
        <v>1.406E-4</v>
      </c>
      <c r="AK33" s="72">
        <f t="shared" si="18"/>
        <v>1.4056569359999999E-4</v>
      </c>
      <c r="AL33" s="75">
        <f t="shared" si="39"/>
        <v>99085.982821318132</v>
      </c>
      <c r="AM33" s="75">
        <f t="shared" si="19"/>
        <v>13.928089901316268</v>
      </c>
      <c r="AN33" s="75">
        <f t="shared" si="20"/>
        <v>57722.206902339814</v>
      </c>
      <c r="AO33" s="75">
        <f t="shared" si="21"/>
        <v>7.9468776193438826</v>
      </c>
      <c r="AP33" s="75">
        <f t="shared" si="22"/>
        <v>1850383.2675419003</v>
      </c>
      <c r="AQ33" s="75">
        <f t="shared" si="23"/>
        <v>2388.7893009228487</v>
      </c>
      <c r="AS33" s="81">
        <v>26</v>
      </c>
      <c r="AT33" s="69">
        <f>'보험개발원 위험률(1세)'!D33</f>
        <v>4.0200000000000001E-4</v>
      </c>
      <c r="AU33" s="69">
        <f>'보험개발원 위험률(1세)'!D397</f>
        <v>5.7799999999999995E-5</v>
      </c>
      <c r="AV33" s="72">
        <f t="shared" si="24"/>
        <v>5.7776764399999993E-5</v>
      </c>
      <c r="AW33" s="75">
        <f t="shared" si="40"/>
        <v>99136.480342010458</v>
      </c>
      <c r="AX33" s="75">
        <f t="shared" si="25"/>
        <v>5.7277850681655691</v>
      </c>
      <c r="AY33" s="75">
        <f t="shared" si="26"/>
        <v>57751.624063621988</v>
      </c>
      <c r="AZ33" s="75">
        <f t="shared" si="27"/>
        <v>3.2680724556721432</v>
      </c>
      <c r="BA33" s="75">
        <f t="shared" si="28"/>
        <v>1829245.9568349409</v>
      </c>
      <c r="BB33" s="75">
        <f t="shared" si="29"/>
        <v>1390.9390208946161</v>
      </c>
      <c r="BD33" s="81">
        <v>26</v>
      </c>
      <c r="BE33" s="69">
        <f>'보험개발원 위험률(1세)'!E33</f>
        <v>2.4399999999999999E-4</v>
      </c>
      <c r="BF33" s="69">
        <f>'보험개발원 위험률(1세)'!E397</f>
        <v>1.36E-5</v>
      </c>
      <c r="BG33" s="72">
        <f t="shared" si="30"/>
        <v>1.3596681599999999E-5</v>
      </c>
      <c r="BH33" s="75">
        <f t="shared" si="41"/>
        <v>99298.564442338495</v>
      </c>
      <c r="BI33" s="75">
        <f t="shared" si="31"/>
        <v>1.350130964059558</v>
      </c>
      <c r="BJ33" s="75">
        <f t="shared" si="32"/>
        <v>57846.045612546681</v>
      </c>
      <c r="BK33" s="75">
        <f t="shared" si="33"/>
        <v>0.77033718316638033</v>
      </c>
      <c r="BL33" s="75">
        <f t="shared" si="34"/>
        <v>1880553.1296305484</v>
      </c>
      <c r="BM33" s="75">
        <f t="shared" si="35"/>
        <v>363.90748594274669</v>
      </c>
    </row>
    <row r="34" spans="1:65" ht="18" customHeight="1">
      <c r="A34" s="66">
        <v>27</v>
      </c>
      <c r="B34" s="69">
        <f>'보험개발원 위험률(1세)'!D34</f>
        <v>4.1399999999999998E-4</v>
      </c>
      <c r="C34" s="69">
        <f>'보험개발원 위험률(1세)'!D236</f>
        <v>7.6199999999999998E-4</v>
      </c>
      <c r="D34" s="72">
        <f t="shared" si="0"/>
        <v>7.6168453199999993E-4</v>
      </c>
      <c r="E34" s="75">
        <f t="shared" si="36"/>
        <v>98290.000139312731</v>
      </c>
      <c r="F34" s="75">
        <f t="shared" si="1"/>
        <v>74.865972756392352</v>
      </c>
      <c r="G34" s="75">
        <f t="shared" si="2"/>
        <v>56080.812792470133</v>
      </c>
      <c r="H34" s="75">
        <f t="shared" si="3"/>
        <v>41.837304256623156</v>
      </c>
      <c r="I34" s="75">
        <f t="shared" si="4"/>
        <v>1658475.0312564275</v>
      </c>
      <c r="J34" s="75">
        <f t="shared" si="5"/>
        <v>8731.5106809421522</v>
      </c>
      <c r="L34" s="66">
        <v>27</v>
      </c>
      <c r="M34" s="69">
        <f>'보험개발원 위험률(1세)'!E34</f>
        <v>2.4800000000000001E-4</v>
      </c>
      <c r="N34" s="69">
        <f>'보험개발원 위험률(1세)'!E236</f>
        <v>1.6469999999999998E-3</v>
      </c>
      <c r="O34" s="72">
        <f t="shared" si="6"/>
        <v>1.6465915439999998E-3</v>
      </c>
      <c r="P34" s="75">
        <f t="shared" si="37"/>
        <v>98021.892791205668</v>
      </c>
      <c r="Q34" s="75">
        <f t="shared" si="7"/>
        <v>161.40201979687379</v>
      </c>
      <c r="R34" s="75">
        <f t="shared" si="8"/>
        <v>55927.840181053238</v>
      </c>
      <c r="S34" s="75">
        <f t="shared" si="9"/>
        <v>90.196188752503133</v>
      </c>
      <c r="T34" s="75">
        <f t="shared" si="10"/>
        <v>1649929.7353826896</v>
      </c>
      <c r="U34" s="75">
        <f t="shared" si="11"/>
        <v>8166.1812822984166</v>
      </c>
      <c r="W34" s="78">
        <v>27</v>
      </c>
      <c r="X34" s="69">
        <f>'보험개발원 위험률(1세)'!D34</f>
        <v>4.1399999999999998E-4</v>
      </c>
      <c r="Y34" s="69">
        <f>'보험개발원 위험률(1세)'!D317</f>
        <v>1.7549999999999998E-4</v>
      </c>
      <c r="Z34" s="72">
        <f t="shared" si="12"/>
        <v>1.7542734299999998E-4</v>
      </c>
      <c r="AA34" s="75">
        <f t="shared" si="38"/>
        <v>98833.802360514906</v>
      </c>
      <c r="AB34" s="75">
        <f t="shared" si="13"/>
        <v>17.338151346692257</v>
      </c>
      <c r="AC34" s="75">
        <f t="shared" si="14"/>
        <v>56391.087189867059</v>
      </c>
      <c r="AD34" s="75">
        <f t="shared" si="15"/>
        <v>9.6890681631730811</v>
      </c>
      <c r="AE34" s="75">
        <f t="shared" si="16"/>
        <v>1742421.2010613307</v>
      </c>
      <c r="AF34" s="75">
        <f t="shared" si="17"/>
        <v>3396.1381638351436</v>
      </c>
      <c r="AH34" s="78">
        <v>27</v>
      </c>
      <c r="AI34" s="69">
        <f>'보험개발원 위험률(1세)'!E34</f>
        <v>2.4800000000000001E-4</v>
      </c>
      <c r="AJ34" s="69">
        <f>'보험개발원 위험률(1세)'!E317</f>
        <v>1.5220000000000001E-4</v>
      </c>
      <c r="AK34" s="72">
        <f t="shared" si="18"/>
        <v>1.5216225440000002E-4</v>
      </c>
      <c r="AL34" s="75">
        <f t="shared" si="39"/>
        <v>99047.877751608408</v>
      </c>
      <c r="AM34" s="75">
        <f t="shared" si="19"/>
        <v>15.07134837222034</v>
      </c>
      <c r="AN34" s="75">
        <f t="shared" si="20"/>
        <v>56513.231069349946</v>
      </c>
      <c r="AO34" s="75">
        <f t="shared" si="21"/>
        <v>8.4223120890699459</v>
      </c>
      <c r="AP34" s="75">
        <f t="shared" si="22"/>
        <v>1792661.0606395605</v>
      </c>
      <c r="AQ34" s="75">
        <f t="shared" si="23"/>
        <v>2380.8424233035048</v>
      </c>
      <c r="AS34" s="81">
        <v>27</v>
      </c>
      <c r="AT34" s="69">
        <f>'보험개발원 위험률(1세)'!D34</f>
        <v>4.1399999999999998E-4</v>
      </c>
      <c r="AU34" s="69">
        <f>'보험개발원 위험률(1세)'!D398</f>
        <v>6.3600000000000001E-5</v>
      </c>
      <c r="AV34" s="72">
        <f t="shared" si="24"/>
        <v>6.3573669599999996E-5</v>
      </c>
      <c r="AW34" s="75">
        <f t="shared" si="40"/>
        <v>99090.899691844796</v>
      </c>
      <c r="AX34" s="75">
        <f t="shared" si="25"/>
        <v>6.2995721173760826</v>
      </c>
      <c r="AY34" s="75">
        <f t="shared" si="26"/>
        <v>56537.777873429164</v>
      </c>
      <c r="AZ34" s="75">
        <f t="shared" si="27"/>
        <v>3.520385906408988</v>
      </c>
      <c r="BA34" s="75">
        <f t="shared" si="28"/>
        <v>1771494.332771319</v>
      </c>
      <c r="BB34" s="75">
        <f t="shared" si="29"/>
        <v>1387.6709484389439</v>
      </c>
      <c r="BD34" s="81">
        <v>27</v>
      </c>
      <c r="BE34" s="69">
        <f>'보험개발원 위험률(1세)'!E34</f>
        <v>2.4800000000000001E-4</v>
      </c>
      <c r="BF34" s="69">
        <f>'보험개발원 위험률(1세)'!E398</f>
        <v>1.4700000000000002E-5</v>
      </c>
      <c r="BG34" s="72">
        <f t="shared" si="30"/>
        <v>1.4696354400000001E-5</v>
      </c>
      <c r="BH34" s="75">
        <f t="shared" si="41"/>
        <v>99272.985461650504</v>
      </c>
      <c r="BI34" s="75">
        <f t="shared" si="31"/>
        <v>1.4589509766904636</v>
      </c>
      <c r="BJ34" s="75">
        <f t="shared" si="32"/>
        <v>56641.669601521273</v>
      </c>
      <c r="BK34" s="75">
        <f t="shared" si="33"/>
        <v>0.81530465256774109</v>
      </c>
      <c r="BL34" s="75">
        <f t="shared" si="34"/>
        <v>1822707.0840180018</v>
      </c>
      <c r="BM34" s="75">
        <f t="shared" si="35"/>
        <v>363.13714875958033</v>
      </c>
    </row>
    <row r="35" spans="1:65" ht="18" customHeight="1">
      <c r="A35" s="66">
        <v>28</v>
      </c>
      <c r="B35" s="69">
        <f>'보험개발원 위험률(1세)'!D35</f>
        <v>4.26E-4</v>
      </c>
      <c r="C35" s="69">
        <f>'보험개발원 위험률(1세)'!D237</f>
        <v>8.2900000000000009E-4</v>
      </c>
      <c r="D35" s="72">
        <f t="shared" si="0"/>
        <v>8.2864684600000003E-4</v>
      </c>
      <c r="E35" s="75">
        <f t="shared" si="36"/>
        <v>98174.442106498653</v>
      </c>
      <c r="F35" s="75">
        <f t="shared" si="1"/>
        <v>81.351941809359701</v>
      </c>
      <c r="G35" s="75">
        <f t="shared" si="2"/>
        <v>54862.761457716013</v>
      </c>
      <c r="H35" s="75">
        <f t="shared" si="3"/>
        <v>44.526791620750956</v>
      </c>
      <c r="I35" s="75">
        <f t="shared" si="4"/>
        <v>1602394.2184639573</v>
      </c>
      <c r="J35" s="75">
        <f t="shared" si="5"/>
        <v>8689.6733766855286</v>
      </c>
      <c r="L35" s="66">
        <v>28</v>
      </c>
      <c r="M35" s="69">
        <f>'보험개발원 위험률(1세)'!E35</f>
        <v>2.52E-4</v>
      </c>
      <c r="N35" s="69">
        <f>'보험개발원 위험률(1세)'!E237</f>
        <v>1.8119999999999998E-3</v>
      </c>
      <c r="O35" s="72">
        <f t="shared" si="6"/>
        <v>1.8115433759999997E-3</v>
      </c>
      <c r="P35" s="75">
        <f t="shared" si="37"/>
        <v>97836.181341996577</v>
      </c>
      <c r="Q35" s="75">
        <f t="shared" si="7"/>
        <v>177.23448624322864</v>
      </c>
      <c r="R35" s="75">
        <f t="shared" si="8"/>
        <v>54673.731408395739</v>
      </c>
      <c r="S35" s="75">
        <f t="shared" si="9"/>
        <v>97.006695371285417</v>
      </c>
      <c r="T35" s="75">
        <f t="shared" si="10"/>
        <v>1594001.8952016365</v>
      </c>
      <c r="U35" s="75">
        <f t="shared" si="11"/>
        <v>8075.9850935459135</v>
      </c>
      <c r="W35" s="78">
        <v>28</v>
      </c>
      <c r="X35" s="69">
        <f>'보험개발원 위험률(1세)'!D35</f>
        <v>4.26E-4</v>
      </c>
      <c r="Y35" s="69">
        <f>'보험개발원 위험률(1세)'!D318</f>
        <v>1.9000000000000001E-4</v>
      </c>
      <c r="Z35" s="72">
        <f t="shared" si="12"/>
        <v>1.8991906000000001E-4</v>
      </c>
      <c r="AA35" s="75">
        <f t="shared" si="38"/>
        <v>98775.547014990967</v>
      </c>
      <c r="AB35" s="75">
        <f t="shared" si="13"/>
        <v>18.759359040072891</v>
      </c>
      <c r="AC35" s="75">
        <f t="shared" si="14"/>
        <v>55198.676533962651</v>
      </c>
      <c r="AD35" s="75">
        <f t="shared" si="15"/>
        <v>10.26765990261924</v>
      </c>
      <c r="AE35" s="75">
        <f t="shared" si="16"/>
        <v>1686030.1138714636</v>
      </c>
      <c r="AF35" s="75">
        <f t="shared" si="17"/>
        <v>3386.4490956719706</v>
      </c>
      <c r="AH35" s="78">
        <v>28</v>
      </c>
      <c r="AI35" s="69">
        <f>'보험개발원 위험률(1세)'!E35</f>
        <v>2.52E-4</v>
      </c>
      <c r="AJ35" s="69">
        <f>'보험개발원 위험률(1세)'!E318</f>
        <v>1.638E-4</v>
      </c>
      <c r="AK35" s="72">
        <f t="shared" si="18"/>
        <v>1.6375872239999999E-4</v>
      </c>
      <c r="AL35" s="75">
        <f t="shared" si="39"/>
        <v>99008.242529553783</v>
      </c>
      <c r="AM35" s="75">
        <f t="shared" si="19"/>
        <v>16.213463303709073</v>
      </c>
      <c r="AN35" s="75">
        <f t="shared" si="20"/>
        <v>55328.713621353396</v>
      </c>
      <c r="AO35" s="75">
        <f t="shared" si="21"/>
        <v>8.8742012288622032</v>
      </c>
      <c r="AP35" s="75">
        <f t="shared" si="22"/>
        <v>1736147.8295702105</v>
      </c>
      <c r="AQ35" s="75">
        <f t="shared" si="23"/>
        <v>2372.4201112144347</v>
      </c>
      <c r="AS35" s="81">
        <v>28</v>
      </c>
      <c r="AT35" s="69">
        <f>'보험개발원 위험률(1세)'!D35</f>
        <v>4.26E-4</v>
      </c>
      <c r="AU35" s="69">
        <f>'보험개발원 위험률(1세)'!D399</f>
        <v>6.9400000000000006E-5</v>
      </c>
      <c r="AV35" s="72">
        <f t="shared" si="24"/>
        <v>6.9370435600000008E-5</v>
      </c>
      <c r="AW35" s="75">
        <f t="shared" si="40"/>
        <v>99043.576487254992</v>
      </c>
      <c r="AX35" s="75">
        <f t="shared" si="25"/>
        <v>6.8706960443027976</v>
      </c>
      <c r="AY35" s="75">
        <f t="shared" si="26"/>
        <v>55348.459274612273</v>
      </c>
      <c r="AZ35" s="75">
        <f t="shared" si="27"/>
        <v>3.7605746617715119</v>
      </c>
      <c r="BA35" s="75">
        <f t="shared" si="28"/>
        <v>1714956.5548978897</v>
      </c>
      <c r="BB35" s="75">
        <f t="shared" si="29"/>
        <v>1384.1505625325349</v>
      </c>
      <c r="BD35" s="81">
        <v>28</v>
      </c>
      <c r="BE35" s="69">
        <f>'보험개발원 위험률(1세)'!E35</f>
        <v>2.52E-4</v>
      </c>
      <c r="BF35" s="69">
        <f>'보험개발원 위험률(1세)'!E399</f>
        <v>1.5800000000000001E-5</v>
      </c>
      <c r="BG35" s="72">
        <f t="shared" si="30"/>
        <v>1.5796018400000002E-5</v>
      </c>
      <c r="BH35" s="75">
        <f t="shared" si="41"/>
        <v>99246.90681027931</v>
      </c>
      <c r="BI35" s="75">
        <f t="shared" si="31"/>
        <v>1.5677059661182575</v>
      </c>
      <c r="BJ35" s="75">
        <f t="shared" si="32"/>
        <v>55462.086230567904</v>
      </c>
      <c r="BK35" s="75">
        <f t="shared" si="33"/>
        <v>0.85806085661159381</v>
      </c>
      <c r="BL35" s="75">
        <f t="shared" si="34"/>
        <v>1766065.4144164806</v>
      </c>
      <c r="BM35" s="75">
        <f t="shared" si="35"/>
        <v>362.32184410701257</v>
      </c>
    </row>
    <row r="36" spans="1:65" ht="18" customHeight="1">
      <c r="A36" s="66">
        <v>29</v>
      </c>
      <c r="B36" s="69">
        <f>'보험개발원 위험률(1세)'!D36</f>
        <v>4.3799999999999997E-4</v>
      </c>
      <c r="C36" s="69">
        <f>'보험개발원 위험률(1세)'!D238</f>
        <v>8.9600000000000009E-4</v>
      </c>
      <c r="D36" s="72">
        <f t="shared" si="0"/>
        <v>8.9560755200000005E-4</v>
      </c>
      <c r="E36" s="75">
        <f t="shared" si="36"/>
        <v>98051.267852351913</v>
      </c>
      <c r="F36" s="75">
        <f t="shared" si="1"/>
        <v>87.815455971741201</v>
      </c>
      <c r="G36" s="75">
        <f t="shared" si="2"/>
        <v>53666.922690587882</v>
      </c>
      <c r="H36" s="75">
        <f t="shared" si="3"/>
        <v>47.075907203027107</v>
      </c>
      <c r="I36" s="75">
        <f t="shared" si="4"/>
        <v>1547531.4570062412</v>
      </c>
      <c r="J36" s="75">
        <f t="shared" si="5"/>
        <v>8645.1465850647783</v>
      </c>
      <c r="L36" s="66">
        <v>29</v>
      </c>
      <c r="M36" s="69">
        <f>'보험개발원 위험률(1세)'!E36</f>
        <v>2.5599999999999999E-4</v>
      </c>
      <c r="N36" s="69">
        <f>'보험개발원 위험률(1세)'!E238</f>
        <v>1.9769999999999996E-3</v>
      </c>
      <c r="O36" s="72">
        <f t="shared" si="6"/>
        <v>1.9764938879999997E-3</v>
      </c>
      <c r="P36" s="75">
        <f t="shared" si="37"/>
        <v>97634.292138055156</v>
      </c>
      <c r="Q36" s="75">
        <f t="shared" si="7"/>
        <v>192.97358167007243</v>
      </c>
      <c r="R36" s="75">
        <f t="shared" si="8"/>
        <v>53438.69715191648</v>
      </c>
      <c r="S36" s="75">
        <f t="shared" si="9"/>
        <v>103.4488328143447</v>
      </c>
      <c r="T36" s="75">
        <f t="shared" si="10"/>
        <v>1539328.1637932407</v>
      </c>
      <c r="U36" s="75">
        <f t="shared" si="11"/>
        <v>7978.9783981746277</v>
      </c>
      <c r="W36" s="78">
        <v>29</v>
      </c>
      <c r="X36" s="69">
        <f>'보험개발원 위험률(1세)'!D36</f>
        <v>4.3799999999999997E-4</v>
      </c>
      <c r="Y36" s="69">
        <f>'보험개발원 위험률(1세)'!D319</f>
        <v>2.0449999999999998E-4</v>
      </c>
      <c r="Z36" s="72">
        <f t="shared" si="12"/>
        <v>2.0441042899999997E-4</v>
      </c>
      <c r="AA36" s="75">
        <f t="shared" si="38"/>
        <v>98714.709272922497</v>
      </c>
      <c r="AB36" s="75">
        <f t="shared" si="13"/>
        <v>20.178316071088364</v>
      </c>
      <c r="AC36" s="75">
        <f t="shared" si="14"/>
        <v>54030.047617040742</v>
      </c>
      <c r="AD36" s="75">
        <f t="shared" si="15"/>
        <v>10.817145163848901</v>
      </c>
      <c r="AE36" s="75">
        <f t="shared" si="16"/>
        <v>1630831.437337501</v>
      </c>
      <c r="AF36" s="75">
        <f t="shared" si="17"/>
        <v>3376.1814357693515</v>
      </c>
      <c r="AH36" s="78">
        <v>29</v>
      </c>
      <c r="AI36" s="69">
        <f>'보험개발원 위험률(1세)'!E36</f>
        <v>2.5599999999999999E-4</v>
      </c>
      <c r="AJ36" s="69">
        <f>'보험개발원 위험률(1세)'!E319</f>
        <v>1.7539999999999998E-4</v>
      </c>
      <c r="AK36" s="72">
        <f t="shared" si="18"/>
        <v>1.7535509759999997E-4</v>
      </c>
      <c r="AL36" s="75">
        <f t="shared" si="39"/>
        <v>98967.078989132613</v>
      </c>
      <c r="AM36" s="75">
        <f t="shared" si="19"/>
        <v>17.354381795326255</v>
      </c>
      <c r="AN36" s="75">
        <f t="shared" si="20"/>
        <v>54168.178478027556</v>
      </c>
      <c r="AO36" s="75">
        <f t="shared" si="21"/>
        <v>9.3032969870996496</v>
      </c>
      <c r="AP36" s="75">
        <f t="shared" si="22"/>
        <v>1680819.115948857</v>
      </c>
      <c r="AQ36" s="75">
        <f t="shared" si="23"/>
        <v>2363.5459099855725</v>
      </c>
      <c r="AS36" s="81">
        <v>29</v>
      </c>
      <c r="AT36" s="69">
        <f>'보험개발원 위험률(1세)'!D36</f>
        <v>4.3799999999999997E-4</v>
      </c>
      <c r="AU36" s="69">
        <f>'보험개발원 위험률(1세)'!D400</f>
        <v>7.5199999999999998E-5</v>
      </c>
      <c r="AV36" s="72">
        <f t="shared" si="24"/>
        <v>7.5167062399999996E-5</v>
      </c>
      <c r="AW36" s="75">
        <f t="shared" si="40"/>
        <v>98994.513227627103</v>
      </c>
      <c r="AX36" s="75">
        <f t="shared" si="25"/>
        <v>7.4411267530386711</v>
      </c>
      <c r="AY36" s="75">
        <f t="shared" si="26"/>
        <v>54183.194205907545</v>
      </c>
      <c r="AZ36" s="75">
        <f t="shared" si="27"/>
        <v>3.9890220763043795</v>
      </c>
      <c r="BA36" s="75">
        <f t="shared" si="28"/>
        <v>1659608.0956232774</v>
      </c>
      <c r="BB36" s="75">
        <f t="shared" si="29"/>
        <v>1380.3899878707634</v>
      </c>
      <c r="BD36" s="81">
        <v>29</v>
      </c>
      <c r="BE36" s="69">
        <f>'보험개발원 위험률(1세)'!E36</f>
        <v>2.5599999999999999E-4</v>
      </c>
      <c r="BF36" s="69">
        <f>'보험개발원 위험률(1세)'!E400</f>
        <v>1.6900000000000001E-5</v>
      </c>
      <c r="BG36" s="72">
        <f t="shared" si="30"/>
        <v>1.6895673600000001E-5</v>
      </c>
      <c r="BH36" s="75">
        <f t="shared" si="41"/>
        <v>99220.328883796989</v>
      </c>
      <c r="BI36" s="75">
        <f t="shared" si="31"/>
        <v>1.6763942913052863</v>
      </c>
      <c r="BJ36" s="75">
        <f t="shared" si="32"/>
        <v>54306.791091775893</v>
      </c>
      <c r="BK36" s="75">
        <f t="shared" si="33"/>
        <v>0.89867758721844593</v>
      </c>
      <c r="BL36" s="75">
        <f t="shared" si="34"/>
        <v>1710603.3281859127</v>
      </c>
      <c r="BM36" s="75">
        <f t="shared" si="35"/>
        <v>361.46378325040098</v>
      </c>
    </row>
    <row r="37" spans="1:65" ht="18" customHeight="1">
      <c r="A37" s="66">
        <v>30</v>
      </c>
      <c r="B37" s="69">
        <f>'보험개발원 위험률(1세)'!D37</f>
        <v>4.4999999999999999E-4</v>
      </c>
      <c r="C37" s="69">
        <f>'보험개발원 위험률(1세)'!D239</f>
        <v>9.6299999999999999E-4</v>
      </c>
      <c r="D37" s="72">
        <f t="shared" si="0"/>
        <v>9.6256664999999999E-4</v>
      </c>
      <c r="E37" s="75">
        <f t="shared" si="36"/>
        <v>97920.505941060837</v>
      </c>
      <c r="F37" s="75">
        <f t="shared" si="1"/>
        <v>94.255013369992028</v>
      </c>
      <c r="G37" s="75">
        <f t="shared" si="2"/>
        <v>52492.999096175437</v>
      </c>
      <c r="H37" s="75">
        <f t="shared" si="3"/>
        <v>49.488746609655848</v>
      </c>
      <c r="I37" s="75">
        <f t="shared" si="4"/>
        <v>1493864.5343156534</v>
      </c>
      <c r="J37" s="75">
        <f t="shared" si="5"/>
        <v>8598.0706778617514</v>
      </c>
      <c r="L37" s="66">
        <v>30</v>
      </c>
      <c r="M37" s="69">
        <f>'보험개발원 위험률(1세)'!E37</f>
        <v>2.5999999999999998E-4</v>
      </c>
      <c r="N37" s="69">
        <f>'보험개발원 위험률(1세)'!E239</f>
        <v>2.1419999999999998E-3</v>
      </c>
      <c r="O37" s="72">
        <f t="shared" si="6"/>
        <v>2.1414430799999999E-3</v>
      </c>
      <c r="P37" s="75">
        <f t="shared" si="37"/>
        <v>97416.324177597737</v>
      </c>
      <c r="Q37" s="75">
        <f t="shared" si="7"/>
        <v>208.61151328915335</v>
      </c>
      <c r="R37" s="75">
        <f t="shared" si="8"/>
        <v>52222.718498670081</v>
      </c>
      <c r="S37" s="75">
        <f t="shared" si="9"/>
        <v>109.53181111436341</v>
      </c>
      <c r="T37" s="75">
        <f t="shared" si="10"/>
        <v>1485889.4666413241</v>
      </c>
      <c r="U37" s="75">
        <f t="shared" si="11"/>
        <v>7875.5295653602834</v>
      </c>
      <c r="W37" s="78">
        <v>30</v>
      </c>
      <c r="X37" s="69">
        <f>'보험개발원 위험률(1세)'!D37</f>
        <v>4.4999999999999999E-4</v>
      </c>
      <c r="Y37" s="69">
        <f>'보험개발원 위험률(1세)'!D320</f>
        <v>2.1900000000000001E-4</v>
      </c>
      <c r="Z37" s="72">
        <f t="shared" si="12"/>
        <v>2.1890145000000001E-4</v>
      </c>
      <c r="AA37" s="75">
        <f t="shared" si="38"/>
        <v>98651.293914189868</v>
      </c>
      <c r="AB37" s="75">
        <f t="shared" si="13"/>
        <v>21.594911282192339</v>
      </c>
      <c r="AC37" s="75">
        <f t="shared" si="14"/>
        <v>52884.758228180413</v>
      </c>
      <c r="AD37" s="75">
        <f t="shared" si="15"/>
        <v>11.338442956952131</v>
      </c>
      <c r="AE37" s="75">
        <f t="shared" si="16"/>
        <v>1576801.3897204602</v>
      </c>
      <c r="AF37" s="75">
        <f t="shared" si="17"/>
        <v>3365.3642906055024</v>
      </c>
      <c r="AH37" s="78">
        <v>30</v>
      </c>
      <c r="AI37" s="69">
        <f>'보험개발원 위험률(1세)'!E37</f>
        <v>2.5999999999999998E-4</v>
      </c>
      <c r="AJ37" s="69">
        <f>'보험개발원 위험률(1세)'!E320</f>
        <v>1.8699999999999999E-4</v>
      </c>
      <c r="AK37" s="72">
        <f t="shared" si="18"/>
        <v>1.8695137999999998E-4</v>
      </c>
      <c r="AL37" s="75">
        <f t="shared" si="39"/>
        <v>98924.389035116066</v>
      </c>
      <c r="AM37" s="75">
        <f t="shared" si="19"/>
        <v>18.494051045771815</v>
      </c>
      <c r="AN37" s="75">
        <f t="shared" si="20"/>
        <v>53031.158431061078</v>
      </c>
      <c r="AO37" s="75">
        <f t="shared" si="21"/>
        <v>9.7103312945009836</v>
      </c>
      <c r="AP37" s="75">
        <f t="shared" si="22"/>
        <v>1626650.9374708296</v>
      </c>
      <c r="AQ37" s="75">
        <f t="shared" si="23"/>
        <v>2354.2426129984729</v>
      </c>
      <c r="AS37" s="81">
        <v>30</v>
      </c>
      <c r="AT37" s="69">
        <f>'보험개발원 위험률(1세)'!D37</f>
        <v>4.4999999999999999E-4</v>
      </c>
      <c r="AU37" s="69">
        <f>'보험개발원 위험률(1세)'!D401</f>
        <v>8.1000000000000004E-5</v>
      </c>
      <c r="AV37" s="72">
        <f t="shared" si="24"/>
        <v>8.0963550000000002E-5</v>
      </c>
      <c r="AW37" s="75">
        <f t="shared" si="40"/>
        <v>98943.712504080366</v>
      </c>
      <c r="AX37" s="75">
        <f t="shared" si="25"/>
        <v>8.0108342145097353</v>
      </c>
      <c r="AY37" s="75">
        <f t="shared" si="26"/>
        <v>53041.517311758536</v>
      </c>
      <c r="AZ37" s="75">
        <f t="shared" si="27"/>
        <v>4.2061014093500759</v>
      </c>
      <c r="BA37" s="75">
        <f t="shared" si="28"/>
        <v>1605424.9014173697</v>
      </c>
      <c r="BB37" s="75">
        <f t="shared" si="29"/>
        <v>1376.4009657944591</v>
      </c>
      <c r="BD37" s="81">
        <v>30</v>
      </c>
      <c r="BE37" s="69">
        <f>'보험개발원 위험률(1세)'!E37</f>
        <v>2.5999999999999998E-4</v>
      </c>
      <c r="BF37" s="69">
        <f>'보험개발원 위험률(1세)'!E401</f>
        <v>1.8E-5</v>
      </c>
      <c r="BG37" s="72">
        <f t="shared" si="30"/>
        <v>1.7995319999999998E-5</v>
      </c>
      <c r="BH37" s="75">
        <f t="shared" si="41"/>
        <v>99193.252085311426</v>
      </c>
      <c r="BI37" s="75">
        <f t="shared" si="31"/>
        <v>1.7850143131158462</v>
      </c>
      <c r="BJ37" s="75">
        <f t="shared" si="32"/>
        <v>53175.28991522023</v>
      </c>
      <c r="BK37" s="75">
        <f t="shared" si="33"/>
        <v>0.93722464066323297</v>
      </c>
      <c r="BL37" s="75">
        <f t="shared" si="34"/>
        <v>1656296.5370941367</v>
      </c>
      <c r="BM37" s="75">
        <f t="shared" si="35"/>
        <v>360.56510566318252</v>
      </c>
    </row>
    <row r="38" spans="1:65" ht="18" customHeight="1">
      <c r="A38" s="66">
        <v>31</v>
      </c>
      <c r="B38" s="69">
        <f>'보험개발원 위험률(1세)'!D38</f>
        <v>4.66E-4</v>
      </c>
      <c r="C38" s="69">
        <f>'보험개발원 위험률(1세)'!D240</f>
        <v>1.0687000000000001E-3</v>
      </c>
      <c r="D38" s="72">
        <f t="shared" si="0"/>
        <v>1.0682019858000002E-3</v>
      </c>
      <c r="E38" s="75">
        <f t="shared" si="36"/>
        <v>97782.186700017366</v>
      </c>
      <c r="F38" s="75">
        <f t="shared" si="1"/>
        <v>104.45112600882491</v>
      </c>
      <c r="G38" s="75">
        <f t="shared" si="2"/>
        <v>51340.694648671597</v>
      </c>
      <c r="H38" s="75">
        <f t="shared" si="3"/>
        <v>53.71423308135401</v>
      </c>
      <c r="I38" s="75">
        <f t="shared" si="4"/>
        <v>1441371.535219478</v>
      </c>
      <c r="J38" s="75">
        <f t="shared" si="5"/>
        <v>8548.5819312520962</v>
      </c>
      <c r="L38" s="66">
        <v>31</v>
      </c>
      <c r="M38" s="69">
        <f>'보험개발원 위험률(1세)'!E38</f>
        <v>2.7799999999999998E-4</v>
      </c>
      <c r="N38" s="69">
        <f>'보험개발원 위험률(1세)'!E240</f>
        <v>2.3629999999999996E-3</v>
      </c>
      <c r="O38" s="72">
        <f t="shared" si="6"/>
        <v>2.3623430859999995E-3</v>
      </c>
      <c r="P38" s="75">
        <f t="shared" si="37"/>
        <v>97182.384420022398</v>
      </c>
      <c r="Q38" s="75">
        <f t="shared" si="7"/>
        <v>229.57813391563397</v>
      </c>
      <c r="R38" s="75">
        <f t="shared" si="8"/>
        <v>51025.767495311127</v>
      </c>
      <c r="S38" s="75">
        <f t="shared" si="9"/>
        <v>118.06108623936508</v>
      </c>
      <c r="T38" s="75">
        <f t="shared" si="10"/>
        <v>1433666.7481426541</v>
      </c>
      <c r="U38" s="75">
        <f t="shared" si="11"/>
        <v>7765.9977542459201</v>
      </c>
      <c r="W38" s="78">
        <v>31</v>
      </c>
      <c r="X38" s="69">
        <f>'보험개발원 위험률(1세)'!D38</f>
        <v>4.66E-4</v>
      </c>
      <c r="Y38" s="69">
        <f>'보험개발원 위험률(1세)'!D321</f>
        <v>2.675E-4</v>
      </c>
      <c r="Z38" s="72">
        <f t="shared" si="12"/>
        <v>2.6737534500000001E-4</v>
      </c>
      <c r="AA38" s="75">
        <f t="shared" si="38"/>
        <v>98585.305920646308</v>
      </c>
      <c r="AB38" s="75">
        <f t="shared" si="13"/>
        <v>26.359280182463351</v>
      </c>
      <c r="AC38" s="75">
        <f t="shared" si="14"/>
        <v>51762.37368924456</v>
      </c>
      <c r="AD38" s="75">
        <f t="shared" si="15"/>
        <v>13.555320786660811</v>
      </c>
      <c r="AE38" s="75">
        <f t="shared" si="16"/>
        <v>1523916.6314922797</v>
      </c>
      <c r="AF38" s="75">
        <f t="shared" si="17"/>
        <v>3354.0258476485501</v>
      </c>
      <c r="AH38" s="78">
        <v>31</v>
      </c>
      <c r="AI38" s="69">
        <f>'보험개발원 위험률(1세)'!E38</f>
        <v>2.7799999999999998E-4</v>
      </c>
      <c r="AJ38" s="69">
        <f>'보험개발원 위험률(1세)'!E321</f>
        <v>2.0989999999999998E-4</v>
      </c>
      <c r="AK38" s="72">
        <f t="shared" si="18"/>
        <v>2.0984164779999997E-4</v>
      </c>
      <c r="AL38" s="75">
        <f t="shared" si="39"/>
        <v>98880.174642921149</v>
      </c>
      <c r="AM38" s="75">
        <f t="shared" si="19"/>
        <v>20.749178781822348</v>
      </c>
      <c r="AN38" s="75">
        <f t="shared" si="20"/>
        <v>51917.194986892573</v>
      </c>
      <c r="AO38" s="75">
        <f t="shared" si="21"/>
        <v>10.670313168661542</v>
      </c>
      <c r="AP38" s="75">
        <f t="shared" si="22"/>
        <v>1573619.7790397685</v>
      </c>
      <c r="AQ38" s="75">
        <f t="shared" si="23"/>
        <v>2344.5322817039719</v>
      </c>
      <c r="AS38" s="81">
        <v>31</v>
      </c>
      <c r="AT38" s="69">
        <f>'보험개발원 위험률(1세)'!D38</f>
        <v>4.66E-4</v>
      </c>
      <c r="AU38" s="69">
        <f>'보험개발원 위험률(1세)'!D402</f>
        <v>1.0669999999999999E-4</v>
      </c>
      <c r="AV38" s="72">
        <f t="shared" si="24"/>
        <v>1.0665027779999999E-4</v>
      </c>
      <c r="AW38" s="75">
        <f t="shared" si="40"/>
        <v>98891.176999239018</v>
      </c>
      <c r="AX38" s="75">
        <f t="shared" si="25"/>
        <v>10.546771498937812</v>
      </c>
      <c r="AY38" s="75">
        <f t="shared" si="26"/>
        <v>51922.971791801472</v>
      </c>
      <c r="AZ38" s="75">
        <f t="shared" si="27"/>
        <v>5.4237016315349562</v>
      </c>
      <c r="BA38" s="75">
        <f t="shared" si="28"/>
        <v>1552383.3841056111</v>
      </c>
      <c r="BB38" s="75">
        <f t="shared" si="29"/>
        <v>1372.194864385109</v>
      </c>
      <c r="BD38" s="81">
        <v>31</v>
      </c>
      <c r="BE38" s="69">
        <f>'보험개발원 위험률(1세)'!E38</f>
        <v>2.7799999999999998E-4</v>
      </c>
      <c r="BF38" s="69">
        <f>'보험개발원 위험률(1세)'!E402</f>
        <v>2.0100000000000001E-5</v>
      </c>
      <c r="BG38" s="72">
        <f t="shared" si="30"/>
        <v>2.0094412200000001E-5</v>
      </c>
      <c r="BH38" s="75">
        <f t="shared" si="41"/>
        <v>99165.676825456132</v>
      </c>
      <c r="BI38" s="75">
        <f t="shared" si="31"/>
        <v>1.992675986222703</v>
      </c>
      <c r="BJ38" s="75">
        <f t="shared" si="32"/>
        <v>52067.098367761173</v>
      </c>
      <c r="BK38" s="75">
        <f t="shared" si="33"/>
        <v>1.0247382337509698</v>
      </c>
      <c r="BL38" s="75">
        <f t="shared" si="34"/>
        <v>1603121.2471789166</v>
      </c>
      <c r="BM38" s="75">
        <f t="shared" si="35"/>
        <v>359.62788102251926</v>
      </c>
    </row>
    <row r="39" spans="1:65" ht="18" customHeight="1">
      <c r="A39" s="66">
        <v>32</v>
      </c>
      <c r="B39" s="69">
        <f>'보험개발원 위험률(1세)'!D39</f>
        <v>4.8200000000000001E-4</v>
      </c>
      <c r="C39" s="69">
        <f>'보험개발원 위험률(1세)'!D241</f>
        <v>1.1743999999999999E-3</v>
      </c>
      <c r="D39" s="72">
        <f t="shared" ref="D39:D70" si="42">(1-B39)*C39</f>
        <v>1.1738339391999999E-3</v>
      </c>
      <c r="E39" s="75">
        <f t="shared" si="36"/>
        <v>97632.169075006328</v>
      </c>
      <c r="F39" s="75">
        <f t="shared" ref="F39:F70" si="43">E39*D39</f>
        <v>114.60395361795509</v>
      </c>
      <c r="G39" s="75">
        <f t="shared" ref="G39:G70" si="44">$E$3^A39*E39</f>
        <v>50207.568710077619</v>
      </c>
      <c r="H39" s="75">
        <f t="shared" ref="H39:H70" si="45">$E$3^(A39+1)*F39</f>
        <v>57.723161759652385</v>
      </c>
      <c r="I39" s="75">
        <f t="shared" ref="I39:I70" si="46">G39+I40</f>
        <v>1390030.8405708063</v>
      </c>
      <c r="J39" s="75">
        <f t="shared" ref="J39:J70" si="47">H39+J40</f>
        <v>8494.8676981707413</v>
      </c>
      <c r="L39" s="66">
        <v>32</v>
      </c>
      <c r="M39" s="69">
        <f>'보험개발원 위험률(1세)'!E39</f>
        <v>2.9599999999999998E-4</v>
      </c>
      <c r="N39" s="69">
        <f>'보험개발원 위험률(1세)'!E241</f>
        <v>2.5839999999999999E-3</v>
      </c>
      <c r="O39" s="72">
        <f t="shared" ref="O39:O70" si="48">(1-M39)*N39</f>
        <v>2.583235136E-3</v>
      </c>
      <c r="P39" s="75">
        <f t="shared" si="37"/>
        <v>96925.789583237987</v>
      </c>
      <c r="Q39" s="75">
        <f t="shared" ref="Q39:Q70" si="49">P39*O39</f>
        <v>250.38210523596317</v>
      </c>
      <c r="R39" s="75">
        <f t="shared" ref="R39:R70" si="50">$E$3^L39*P39</f>
        <v>49844.311423013743</v>
      </c>
      <c r="S39" s="75">
        <f t="shared" ref="S39:S70" si="51">$E$3^(L39+1)*Q39</f>
        <v>126.1112405461854</v>
      </c>
      <c r="T39" s="75">
        <f t="shared" ref="T39:T70" si="52">R39+T40</f>
        <v>1382640.980647343</v>
      </c>
      <c r="U39" s="75">
        <f t="shared" ref="U39:U70" si="53">S39+U40</f>
        <v>7647.936668006555</v>
      </c>
      <c r="W39" s="78">
        <v>32</v>
      </c>
      <c r="X39" s="69">
        <f>'보험개발원 위험률(1세)'!D39</f>
        <v>4.8200000000000001E-4</v>
      </c>
      <c r="Y39" s="69">
        <f>'보험개발원 위험률(1세)'!D322</f>
        <v>3.1599999999999998E-4</v>
      </c>
      <c r="Z39" s="72">
        <f t="shared" ref="Z39:Z70" si="54">(1-X39)*Y39</f>
        <v>3.1584768799999997E-4</v>
      </c>
      <c r="AA39" s="75">
        <f t="shared" si="38"/>
        <v>98513.00588790483</v>
      </c>
      <c r="AB39" s="75">
        <f t="shared" ref="AB39:AB70" si="55">AA39*Z39</f>
        <v>31.115105147625126</v>
      </c>
      <c r="AC39" s="75">
        <f t="shared" ref="AC39:AC70" si="56">$E$3^W39*AA39</f>
        <v>50660.541077945345</v>
      </c>
      <c r="AD39" s="75">
        <f t="shared" ref="AD39:AD70" si="57">$E$3^(W39+1)*AB39</f>
        <v>15.671904772084297</v>
      </c>
      <c r="AE39" s="75">
        <f t="shared" ref="AE39:AE70" si="58">AC39+AE40</f>
        <v>1472154.2578030352</v>
      </c>
      <c r="AF39" s="75">
        <f t="shared" ref="AF39:AF70" si="59">AD39+AF40</f>
        <v>3340.4705268618891</v>
      </c>
      <c r="AH39" s="78">
        <v>32</v>
      </c>
      <c r="AI39" s="69">
        <f>'보험개발원 위험률(1세)'!E39</f>
        <v>2.9599999999999998E-4</v>
      </c>
      <c r="AJ39" s="69">
        <f>'보험개발원 위험률(1세)'!E322</f>
        <v>2.3279999999999999E-4</v>
      </c>
      <c r="AK39" s="72">
        <f t="shared" ref="AK39:AK70" si="60">(1-AI39)*AJ39</f>
        <v>2.3273109119999999E-4</v>
      </c>
      <c r="AL39" s="75">
        <f t="shared" si="39"/>
        <v>98831.936775588605</v>
      </c>
      <c r="AM39" s="75">
        <f t="shared" ref="AM39:AM70" si="61">AL39*AK39</f>
        <v>23.001264491192146</v>
      </c>
      <c r="AN39" s="75">
        <f t="shared" ref="AN39:AN70" si="62">$E$3^AH39*AL39</f>
        <v>50824.552024428027</v>
      </c>
      <c r="AO39" s="75">
        <f t="shared" ref="AO39:AO70" si="63">$E$3^(AH39+1)*AM39</f>
        <v>11.58516498765554</v>
      </c>
      <c r="AP39" s="75">
        <f t="shared" ref="AP39:AP70" si="64">AN39+AP40</f>
        <v>1521702.5840528759</v>
      </c>
      <c r="AQ39" s="75">
        <f t="shared" ref="AQ39:AQ70" si="65">AO39+AQ40</f>
        <v>2333.8619685353106</v>
      </c>
      <c r="AS39" s="81">
        <v>32</v>
      </c>
      <c r="AT39" s="69">
        <f>'보험개발원 위험률(1세)'!D39</f>
        <v>4.8200000000000001E-4</v>
      </c>
      <c r="AU39" s="69">
        <f>'보험개발원 위험률(1세)'!D403</f>
        <v>1.3239999999999999E-4</v>
      </c>
      <c r="AV39" s="72">
        <f t="shared" ref="AV39:AV70" si="66">(1-AT39)*AU39</f>
        <v>1.323361832E-4</v>
      </c>
      <c r="AW39" s="75">
        <f t="shared" si="40"/>
        <v>98834.546939258435</v>
      </c>
      <c r="AX39" s="75">
        <f t="shared" ref="AX39:AX70" si="67">AW39*AV39</f>
        <v>13.079386710242703</v>
      </c>
      <c r="AY39" s="75">
        <f t="shared" ref="AY39:AY70" si="68">$E$3^AS39*AW39</f>
        <v>50825.89430713094</v>
      </c>
      <c r="AZ39" s="75">
        <f t="shared" ref="AZ39:AZ70" si="69">$E$3^(AS39+1)*AX39</f>
        <v>6.5877618612461495</v>
      </c>
      <c r="BA39" s="75">
        <f t="shared" ref="BA39:BA70" si="70">AY39+BA40</f>
        <v>1500460.4123138096</v>
      </c>
      <c r="BB39" s="75">
        <f t="shared" ref="BB39:BB70" si="71">AZ39+BB40</f>
        <v>1366.7711627535741</v>
      </c>
      <c r="BD39" s="81">
        <v>32</v>
      </c>
      <c r="BE39" s="69">
        <f>'보험개발원 위험률(1세)'!E39</f>
        <v>2.9599999999999998E-4</v>
      </c>
      <c r="BF39" s="69">
        <f>'보험개발원 위험률(1세)'!E403</f>
        <v>2.2200000000000001E-5</v>
      </c>
      <c r="BG39" s="72">
        <f t="shared" ref="BG39:BG70" si="72">(1-BE39)*BF39</f>
        <v>2.2193428800000003E-5</v>
      </c>
      <c r="BH39" s="75">
        <f t="shared" si="41"/>
        <v>99136.116091312448</v>
      </c>
      <c r="BI39" s="75">
        <f t="shared" ref="BI39:BI70" si="73">BH39*BG39</f>
        <v>2.2001703339810774</v>
      </c>
      <c r="BJ39" s="75">
        <f t="shared" ref="BJ39:BJ70" si="74">$E$3^BD39*BH39</f>
        <v>50980.97694091899</v>
      </c>
      <c r="BK39" s="75">
        <f t="shared" ref="BK39:BK70" si="75">$E$3^(BD39+1)*BI39</f>
        <v>1.1081710890232397</v>
      </c>
      <c r="BL39" s="75">
        <f t="shared" ref="BL39:BL70" si="76">BJ39+BL40</f>
        <v>1551054.1488111555</v>
      </c>
      <c r="BM39" s="75">
        <f t="shared" ref="BM39:BM70" si="77">BK39+BM40</f>
        <v>358.60314278876831</v>
      </c>
    </row>
    <row r="40" spans="1:65" ht="18" customHeight="1">
      <c r="A40" s="66">
        <v>33</v>
      </c>
      <c r="B40" s="69">
        <f>'보험개발원 위험률(1세)'!D40</f>
        <v>4.9799999999999996E-4</v>
      </c>
      <c r="C40" s="69">
        <f>'보험개발원 위험률(1세)'!D242</f>
        <v>1.2801000000000002E-3</v>
      </c>
      <c r="D40" s="72">
        <f t="shared" si="42"/>
        <v>1.2794625102000002E-3</v>
      </c>
      <c r="E40" s="75">
        <f t="shared" ref="E40:E71" si="78">E39*(1-B39)*(1-C39)</f>
        <v>97470.506415894211</v>
      </c>
      <c r="F40" s="75">
        <f t="shared" si="43"/>
        <v>124.70985880934523</v>
      </c>
      <c r="G40" s="75">
        <f t="shared" si="44"/>
        <v>49093.4704346746</v>
      </c>
      <c r="H40" s="75">
        <f t="shared" si="45"/>
        <v>61.521307460115828</v>
      </c>
      <c r="I40" s="75">
        <f t="shared" si="46"/>
        <v>1339823.2718607287</v>
      </c>
      <c r="J40" s="75">
        <f t="shared" si="47"/>
        <v>8437.1445364110896</v>
      </c>
      <c r="L40" s="66">
        <v>33</v>
      </c>
      <c r="M40" s="69">
        <f>'보험개발원 위험률(1세)'!E40</f>
        <v>3.1399999999999999E-4</v>
      </c>
      <c r="N40" s="69">
        <f>'보험개발원 위험률(1세)'!E242</f>
        <v>2.8049999999999998E-3</v>
      </c>
      <c r="O40" s="72">
        <f t="shared" si="48"/>
        <v>2.8041192299999998E-3</v>
      </c>
      <c r="P40" s="75">
        <f t="shared" ref="P40:P71" si="79">P39*(1-M39)*(1-N39)</f>
        <v>96646.717444285387</v>
      </c>
      <c r="Q40" s="75">
        <f t="shared" si="49"/>
        <v>271.00891890189706</v>
      </c>
      <c r="R40" s="75">
        <f t="shared" si="50"/>
        <v>48678.548413550328</v>
      </c>
      <c r="S40" s="75">
        <f t="shared" si="51"/>
        <v>133.6929027374363</v>
      </c>
      <c r="T40" s="75">
        <f t="shared" si="52"/>
        <v>1332796.6692243293</v>
      </c>
      <c r="U40" s="75">
        <f t="shared" si="53"/>
        <v>7521.8254274603696</v>
      </c>
      <c r="W40" s="78">
        <v>33</v>
      </c>
      <c r="X40" s="69">
        <f>'보험개발원 위험률(1세)'!D40</f>
        <v>4.9799999999999996E-4</v>
      </c>
      <c r="Y40" s="69">
        <f>'보험개발원 위험률(1세)'!D323</f>
        <v>3.6450000000000002E-4</v>
      </c>
      <c r="Z40" s="72">
        <f t="shared" si="54"/>
        <v>3.6431847900000001E-4</v>
      </c>
      <c r="AA40" s="75">
        <f t="shared" ref="AA40:AA71" si="80">AA39*(1-X39)*(1-Y39)</f>
        <v>98434.407513919243</v>
      </c>
      <c r="AB40" s="75">
        <f t="shared" si="55"/>
        <v>35.861473626737229</v>
      </c>
      <c r="AC40" s="75">
        <f t="shared" si="56"/>
        <v>49578.963449925061</v>
      </c>
      <c r="AD40" s="75">
        <f t="shared" si="57"/>
        <v>17.691021111139364</v>
      </c>
      <c r="AE40" s="75">
        <f t="shared" si="58"/>
        <v>1421493.7167250898</v>
      </c>
      <c r="AF40" s="75">
        <f t="shared" si="59"/>
        <v>3324.7986220898047</v>
      </c>
      <c r="AH40" s="78">
        <v>33</v>
      </c>
      <c r="AI40" s="69">
        <f>'보험개발원 위험률(1세)'!E40</f>
        <v>3.1399999999999999E-4</v>
      </c>
      <c r="AJ40" s="69">
        <f>'보험개발원 위험률(1세)'!E323</f>
        <v>2.5569999999999998E-4</v>
      </c>
      <c r="AK40" s="72">
        <f t="shared" si="60"/>
        <v>2.556197102E-4</v>
      </c>
      <c r="AL40" s="75">
        <f t="shared" ref="AL40:AL71" si="81">AL39*(1-AI39)*(1-AJ39)</f>
        <v>98779.681257811841</v>
      </c>
      <c r="AM40" s="75">
        <f t="shared" si="61"/>
        <v>25.250033496770236</v>
      </c>
      <c r="AN40" s="75">
        <f t="shared" si="62"/>
        <v>49752.869249340263</v>
      </c>
      <c r="AO40" s="75">
        <f t="shared" si="63"/>
        <v>12.4562331235405</v>
      </c>
      <c r="AP40" s="75">
        <f t="shared" si="64"/>
        <v>1470878.0320284478</v>
      </c>
      <c r="AQ40" s="75">
        <f t="shared" si="65"/>
        <v>2322.2768035476552</v>
      </c>
      <c r="AS40" s="81">
        <v>33</v>
      </c>
      <c r="AT40" s="69">
        <f>'보험개발원 위험률(1세)'!D40</f>
        <v>4.9799999999999996E-4</v>
      </c>
      <c r="AU40" s="69">
        <f>'보험개발원 위험률(1세)'!D404</f>
        <v>1.5809999999999999E-4</v>
      </c>
      <c r="AV40" s="72">
        <f t="shared" si="66"/>
        <v>1.580212662E-4</v>
      </c>
      <c r="AW40" s="75">
        <f t="shared" ref="AW40:AW71" si="82">AW39*(1-AT39)*(1-AU39)</f>
        <v>98773.829300923462</v>
      </c>
      <c r="AX40" s="75">
        <f t="shared" si="67"/>
        <v>15.608365573554586</v>
      </c>
      <c r="AY40" s="75">
        <f t="shared" si="68"/>
        <v>49749.921764167069</v>
      </c>
      <c r="AZ40" s="75">
        <f t="shared" si="69"/>
        <v>7.6998488056068739</v>
      </c>
      <c r="BA40" s="75">
        <f t="shared" si="70"/>
        <v>1449634.5180066787</v>
      </c>
      <c r="BB40" s="75">
        <f t="shared" si="71"/>
        <v>1360.1834008923279</v>
      </c>
      <c r="BD40" s="81">
        <v>33</v>
      </c>
      <c r="BE40" s="69">
        <f>'보험개발원 위험률(1세)'!E40</f>
        <v>3.1399999999999999E-4</v>
      </c>
      <c r="BF40" s="69">
        <f>'보험개발원 위험률(1세)'!E404</f>
        <v>2.4300000000000001E-5</v>
      </c>
      <c r="BG40" s="72">
        <f t="shared" si="72"/>
        <v>2.4292369799999999E-5</v>
      </c>
      <c r="BH40" s="75">
        <f t="shared" ref="BH40:BH71" si="83">BH39*(1-BE39)*(1-BF39)</f>
        <v>99104.57163061545</v>
      </c>
      <c r="BI40" s="75">
        <f t="shared" si="73"/>
        <v>2.4074849029214995</v>
      </c>
      <c r="BJ40" s="75">
        <f t="shared" si="74"/>
        <v>49916.50845157943</v>
      </c>
      <c r="BK40" s="75">
        <f t="shared" si="75"/>
        <v>1.1876496399907863</v>
      </c>
      <c r="BL40" s="75">
        <f t="shared" si="76"/>
        <v>1500073.1718702365</v>
      </c>
      <c r="BM40" s="75">
        <f t="shared" si="77"/>
        <v>357.49497169974507</v>
      </c>
    </row>
    <row r="41" spans="1:65" ht="18" customHeight="1">
      <c r="A41" s="66">
        <v>34</v>
      </c>
      <c r="B41" s="69">
        <f>'보험개발원 위험률(1세)'!D41</f>
        <v>5.1400000000000003E-4</v>
      </c>
      <c r="C41" s="69">
        <f>'보험개발원 위험률(1세)'!D243</f>
        <v>1.3858E-3</v>
      </c>
      <c r="D41" s="72">
        <f t="shared" si="42"/>
        <v>1.3850876988E-3</v>
      </c>
      <c r="E41" s="75">
        <f t="shared" si="78"/>
        <v>97297.256244889752</v>
      </c>
      <c r="F41" s="75">
        <f t="shared" si="43"/>
        <v>134.76523275178826</v>
      </c>
      <c r="G41" s="75">
        <f t="shared" si="44"/>
        <v>47998.245476475371</v>
      </c>
      <c r="H41" s="75">
        <f t="shared" si="45"/>
        <v>65.114377447060505</v>
      </c>
      <c r="I41" s="75">
        <f t="shared" si="46"/>
        <v>1290729.8014260542</v>
      </c>
      <c r="J41" s="75">
        <f t="shared" si="47"/>
        <v>8375.6232289509735</v>
      </c>
      <c r="L41" s="66">
        <v>34</v>
      </c>
      <c r="M41" s="69">
        <f>'보험개발원 위험률(1세)'!E41</f>
        <v>3.3199999999999999E-4</v>
      </c>
      <c r="N41" s="69">
        <f>'보험개발원 위험률(1세)'!E243</f>
        <v>3.026E-3</v>
      </c>
      <c r="O41" s="72">
        <f t="shared" si="48"/>
        <v>3.0249953680000002E-3</v>
      </c>
      <c r="P41" s="75">
        <f t="shared" si="79"/>
        <v>96345.36145610598</v>
      </c>
      <c r="Q41" s="75">
        <f t="shared" si="49"/>
        <v>291.44427213300634</v>
      </c>
      <c r="R41" s="75">
        <f t="shared" si="50"/>
        <v>47528.661014352154</v>
      </c>
      <c r="S41" s="75">
        <f t="shared" si="51"/>
        <v>140.81682606822474</v>
      </c>
      <c r="T41" s="75">
        <f t="shared" si="52"/>
        <v>1284118.120810779</v>
      </c>
      <c r="U41" s="75">
        <f t="shared" si="53"/>
        <v>7388.1325247229333</v>
      </c>
      <c r="W41" s="78">
        <v>34</v>
      </c>
      <c r="X41" s="69">
        <f>'보험개발원 위험률(1세)'!D41</f>
        <v>5.1400000000000003E-4</v>
      </c>
      <c r="Y41" s="69">
        <f>'보험개발원 위험률(1세)'!D324</f>
        <v>4.1300000000000001E-4</v>
      </c>
      <c r="Z41" s="72">
        <f t="shared" si="54"/>
        <v>4.1278771800000002E-4</v>
      </c>
      <c r="AA41" s="75">
        <f t="shared" si="80"/>
        <v>98349.525705350577</v>
      </c>
      <c r="AB41" s="75">
        <f t="shared" si="55"/>
        <v>40.597476282294011</v>
      </c>
      <c r="AC41" s="75">
        <f t="shared" si="56"/>
        <v>48517.346320834993</v>
      </c>
      <c r="AD41" s="75">
        <f t="shared" si="57"/>
        <v>19.615440422324365</v>
      </c>
      <c r="AE41" s="75">
        <f t="shared" si="58"/>
        <v>1371914.7532751649</v>
      </c>
      <c r="AF41" s="75">
        <f t="shared" si="59"/>
        <v>3307.1076009786652</v>
      </c>
      <c r="AH41" s="78">
        <v>34</v>
      </c>
      <c r="AI41" s="69">
        <f>'보험개발원 위험률(1세)'!E41</f>
        <v>3.3199999999999999E-4</v>
      </c>
      <c r="AJ41" s="69">
        <f>'보험개발원 위험률(1세)'!E324</f>
        <v>2.786E-4</v>
      </c>
      <c r="AK41" s="72">
        <f t="shared" si="60"/>
        <v>2.7850750479999997E-4</v>
      </c>
      <c r="AL41" s="75">
        <f t="shared" si="81"/>
        <v>98723.414404400115</v>
      </c>
      <c r="AM41" s="75">
        <f t="shared" si="61"/>
        <v>27.49521181110585</v>
      </c>
      <c r="AN41" s="75">
        <f t="shared" si="62"/>
        <v>48701.791414668791</v>
      </c>
      <c r="AO41" s="75">
        <f t="shared" si="63"/>
        <v>13.284832914974992</v>
      </c>
      <c r="AP41" s="75">
        <f t="shared" si="64"/>
        <v>1421125.1627791075</v>
      </c>
      <c r="AQ41" s="75">
        <f t="shared" si="65"/>
        <v>2309.8205704241145</v>
      </c>
      <c r="AS41" s="81">
        <v>34</v>
      </c>
      <c r="AT41" s="69">
        <f>'보험개발원 위험률(1세)'!D41</f>
        <v>5.1400000000000003E-4</v>
      </c>
      <c r="AU41" s="69">
        <f>'보험개발원 위험률(1세)'!D405</f>
        <v>1.8379999999999997E-4</v>
      </c>
      <c r="AV41" s="72">
        <f t="shared" si="66"/>
        <v>1.8370552679999996E-4</v>
      </c>
      <c r="AW41" s="75">
        <f t="shared" si="82"/>
        <v>98709.031568358041</v>
      </c>
      <c r="AX41" s="75">
        <f t="shared" si="67"/>
        <v>18.133394644183042</v>
      </c>
      <c r="AY41" s="75">
        <f t="shared" si="68"/>
        <v>48694.696138587649</v>
      </c>
      <c r="AZ41" s="75">
        <f t="shared" si="69"/>
        <v>8.761493444177443</v>
      </c>
      <c r="BA41" s="75">
        <f t="shared" si="70"/>
        <v>1399884.5962425116</v>
      </c>
      <c r="BB41" s="75">
        <f t="shared" si="71"/>
        <v>1352.4835520867209</v>
      </c>
      <c r="BD41" s="81">
        <v>34</v>
      </c>
      <c r="BE41" s="69">
        <f>'보험개발원 위험률(1세)'!E41</f>
        <v>3.3199999999999999E-4</v>
      </c>
      <c r="BF41" s="69">
        <f>'보험개발원 위험률(1세)'!E405</f>
        <v>2.6399999999999998E-5</v>
      </c>
      <c r="BG41" s="72">
        <f t="shared" si="72"/>
        <v>2.6391235199999998E-5</v>
      </c>
      <c r="BH41" s="75">
        <f t="shared" si="83"/>
        <v>99071.045310220521</v>
      </c>
      <c r="BI41" s="75">
        <f t="shared" si="73"/>
        <v>2.6146072582918864</v>
      </c>
      <c r="BJ41" s="75">
        <f t="shared" si="74"/>
        <v>48873.283131873854</v>
      </c>
      <c r="BK41" s="75">
        <f t="shared" si="75"/>
        <v>1.2632970716253433</v>
      </c>
      <c r="BL41" s="75">
        <f t="shared" si="76"/>
        <v>1450156.6634186571</v>
      </c>
      <c r="BM41" s="75">
        <f t="shared" si="77"/>
        <v>356.30732205975426</v>
      </c>
    </row>
    <row r="42" spans="1:65" ht="18" customHeight="1">
      <c r="A42" s="66">
        <v>35</v>
      </c>
      <c r="B42" s="69">
        <f>'보험개발원 위험률(1세)'!D42</f>
        <v>5.2999999999999998E-4</v>
      </c>
      <c r="C42" s="69">
        <f>'보험개발원 위험률(1세)'!D244</f>
        <v>1.4915000000000002E-3</v>
      </c>
      <c r="D42" s="72">
        <f t="shared" si="42"/>
        <v>1.4907095050000002E-3</v>
      </c>
      <c r="E42" s="75">
        <f t="shared" si="78"/>
        <v>97112.480222428087</v>
      </c>
      <c r="F42" s="75">
        <f t="shared" si="43"/>
        <v>144.76649732169807</v>
      </c>
      <c r="G42" s="75">
        <f t="shared" si="44"/>
        <v>46921.736139987283</v>
      </c>
      <c r="H42" s="75">
        <f t="shared" si="45"/>
        <v>68.508009848169507</v>
      </c>
      <c r="I42" s="75">
        <f t="shared" si="46"/>
        <v>1242731.5559495788</v>
      </c>
      <c r="J42" s="75">
        <f t="shared" si="47"/>
        <v>8310.5088515039133</v>
      </c>
      <c r="L42" s="66">
        <v>35</v>
      </c>
      <c r="M42" s="69">
        <f>'보험개발원 위험률(1세)'!E42</f>
        <v>3.5E-4</v>
      </c>
      <c r="N42" s="69">
        <f>'보험개발원 위험률(1세)'!E244</f>
        <v>3.2469999999999999E-3</v>
      </c>
      <c r="O42" s="72">
        <f t="shared" si="48"/>
        <v>3.2458635499999998E-3</v>
      </c>
      <c r="P42" s="75">
        <f t="shared" si="79"/>
        <v>96021.930523969553</v>
      </c>
      <c r="Q42" s="75">
        <f t="shared" si="49"/>
        <v>311.67408428838513</v>
      </c>
      <c r="R42" s="75">
        <f t="shared" si="50"/>
        <v>46394.816375592301</v>
      </c>
      <c r="S42" s="75">
        <f t="shared" si="51"/>
        <v>147.49387206902855</v>
      </c>
      <c r="T42" s="75">
        <f t="shared" si="52"/>
        <v>1236589.4597964268</v>
      </c>
      <c r="U42" s="75">
        <f t="shared" si="53"/>
        <v>7247.3156986547083</v>
      </c>
      <c r="W42" s="78">
        <v>35</v>
      </c>
      <c r="X42" s="69">
        <f>'보험개발원 위험률(1세)'!D42</f>
        <v>5.2999999999999998E-4</v>
      </c>
      <c r="Y42" s="69">
        <f>'보험개발원 위험률(1세)'!D325</f>
        <v>4.615E-4</v>
      </c>
      <c r="Z42" s="72">
        <f t="shared" si="54"/>
        <v>4.61255405E-4</v>
      </c>
      <c r="AA42" s="75">
        <f t="shared" si="80"/>
        <v>98258.376572855734</v>
      </c>
      <c r="AB42" s="75">
        <f t="shared" si="55"/>
        <v>45.32220728075508</v>
      </c>
      <c r="AC42" s="75">
        <f t="shared" si="56"/>
        <v>47475.397688692356</v>
      </c>
      <c r="AD42" s="75">
        <f t="shared" si="57"/>
        <v>21.447878343226108</v>
      </c>
      <c r="AE42" s="75">
        <f t="shared" si="58"/>
        <v>1323397.4069543299</v>
      </c>
      <c r="AF42" s="75">
        <f t="shared" si="59"/>
        <v>3287.4921605563409</v>
      </c>
      <c r="AH42" s="78">
        <v>35</v>
      </c>
      <c r="AI42" s="69">
        <f>'보험개발원 위험률(1세)'!E42</f>
        <v>3.5E-4</v>
      </c>
      <c r="AJ42" s="69">
        <f>'보험개발원 위험률(1세)'!E325</f>
        <v>3.0150000000000001E-4</v>
      </c>
      <c r="AK42" s="72">
        <f t="shared" si="60"/>
        <v>3.0139447500000002E-4</v>
      </c>
      <c r="AL42" s="75">
        <f t="shared" si="81"/>
        <v>98663.143019006748</v>
      </c>
      <c r="AM42" s="75">
        <f t="shared" si="61"/>
        <v>29.736526192063454</v>
      </c>
      <c r="AN42" s="75">
        <f t="shared" si="62"/>
        <v>47670.968271805032</v>
      </c>
      <c r="AO42" s="75">
        <f t="shared" si="63"/>
        <v>14.072249221373493</v>
      </c>
      <c r="AP42" s="75">
        <f t="shared" si="64"/>
        <v>1372423.3713644387</v>
      </c>
      <c r="AQ42" s="75">
        <f t="shared" si="65"/>
        <v>2296.5357375091394</v>
      </c>
      <c r="AS42" s="81">
        <v>35</v>
      </c>
      <c r="AT42" s="69">
        <f>'보험개발원 위험률(1세)'!D42</f>
        <v>5.2999999999999998E-4</v>
      </c>
      <c r="AU42" s="69">
        <f>'보험개발원 위험률(1세)'!D406</f>
        <v>2.095E-4</v>
      </c>
      <c r="AV42" s="72">
        <f t="shared" si="66"/>
        <v>2.0938896499999999E-4</v>
      </c>
      <c r="AW42" s="75">
        <f t="shared" si="82"/>
        <v>98640.161731487737</v>
      </c>
      <c r="AX42" s="75">
        <f t="shared" si="67"/>
        <v>20.654161372388824</v>
      </c>
      <c r="AY42" s="75">
        <f t="shared" si="68"/>
        <v>47659.864426998945</v>
      </c>
      <c r="AZ42" s="75">
        <f t="shared" si="69"/>
        <v>9.7741916595588894</v>
      </c>
      <c r="BA42" s="75">
        <f t="shared" si="70"/>
        <v>1351189.9001039241</v>
      </c>
      <c r="BB42" s="75">
        <f t="shared" si="71"/>
        <v>1343.7220586425435</v>
      </c>
      <c r="BD42" s="81">
        <v>35</v>
      </c>
      <c r="BE42" s="69">
        <f>'보험개발원 위험률(1세)'!E42</f>
        <v>3.5E-4</v>
      </c>
      <c r="BF42" s="69">
        <f>'보험개발원 위험률(1세)'!E406</f>
        <v>2.8500000000000002E-5</v>
      </c>
      <c r="BG42" s="72">
        <f t="shared" si="72"/>
        <v>2.8490025000000002E-5</v>
      </c>
      <c r="BH42" s="75">
        <f t="shared" si="83"/>
        <v>99035.539115919237</v>
      </c>
      <c r="BI42" s="75">
        <f t="shared" si="73"/>
        <v>2.8215249853010169</v>
      </c>
      <c r="BJ42" s="75">
        <f t="shared" si="74"/>
        <v>47850.89850691866</v>
      </c>
      <c r="BK42" s="75">
        <f t="shared" si="75"/>
        <v>1.3352333934716702</v>
      </c>
      <c r="BL42" s="75">
        <f t="shared" si="76"/>
        <v>1401283.3802867832</v>
      </c>
      <c r="BM42" s="75">
        <f t="shared" si="77"/>
        <v>355.04402498812891</v>
      </c>
    </row>
    <row r="43" spans="1:65" ht="18" customHeight="1">
      <c r="A43" s="66">
        <v>36</v>
      </c>
      <c r="B43" s="69">
        <f>'보험개발원 위험률(1세)'!D43</f>
        <v>5.5400000000000002E-4</v>
      </c>
      <c r="C43" s="69">
        <f>'보험개발원 위험률(1세)'!D245</f>
        <v>1.5972E-3</v>
      </c>
      <c r="D43" s="72">
        <f t="shared" si="42"/>
        <v>1.5963151511999998E-3</v>
      </c>
      <c r="E43" s="75">
        <f t="shared" si="78"/>
        <v>96916.244110588508</v>
      </c>
      <c r="F43" s="75">
        <f t="shared" si="43"/>
        <v>154.70886887113019</v>
      </c>
      <c r="G43" s="75">
        <f t="shared" si="44"/>
        <v>45863.781529655353</v>
      </c>
      <c r="H43" s="75">
        <f t="shared" si="45"/>
        <v>71.707198185225806</v>
      </c>
      <c r="I43" s="75">
        <f t="shared" si="46"/>
        <v>1195809.8198095914</v>
      </c>
      <c r="J43" s="75">
        <f t="shared" si="47"/>
        <v>8242.000841655743</v>
      </c>
      <c r="L43" s="66">
        <v>36</v>
      </c>
      <c r="M43" s="69">
        <f>'보험개발원 위험률(1세)'!E43</f>
        <v>3.6600000000000001E-4</v>
      </c>
      <c r="N43" s="69">
        <f>'보험개발원 위험률(1세)'!E245</f>
        <v>3.4679999999999997E-3</v>
      </c>
      <c r="O43" s="72">
        <f t="shared" si="48"/>
        <v>3.4667307119999997E-3</v>
      </c>
      <c r="P43" s="75">
        <f t="shared" si="79"/>
        <v>95676.648763997786</v>
      </c>
      <c r="Q43" s="75">
        <f t="shared" si="49"/>
        <v>331.68517669138794</v>
      </c>
      <c r="R43" s="75">
        <f t="shared" si="50"/>
        <v>45277.166451007222</v>
      </c>
      <c r="S43" s="75">
        <f t="shared" si="51"/>
        <v>153.73530214303895</v>
      </c>
      <c r="T43" s="75">
        <f t="shared" si="52"/>
        <v>1190194.6434208346</v>
      </c>
      <c r="U43" s="75">
        <f t="shared" si="53"/>
        <v>7099.8218265856794</v>
      </c>
      <c r="W43" s="78">
        <v>36</v>
      </c>
      <c r="X43" s="69">
        <f>'보험개발원 위험률(1세)'!D43</f>
        <v>5.5400000000000002E-4</v>
      </c>
      <c r="Y43" s="69">
        <f>'보험개발원 위험률(1세)'!D326</f>
        <v>5.1000000000000004E-4</v>
      </c>
      <c r="Z43" s="72">
        <f t="shared" si="54"/>
        <v>5.0971746000000003E-4</v>
      </c>
      <c r="AA43" s="75">
        <f t="shared" si="80"/>
        <v>98160.977425991368</v>
      </c>
      <c r="AB43" s="75">
        <f t="shared" si="55"/>
        <v>50.034364084693664</v>
      </c>
      <c r="AC43" s="75">
        <f t="shared" si="56"/>
        <v>46452.82805497446</v>
      </c>
      <c r="AD43" s="75">
        <f t="shared" si="57"/>
        <v>23.190810505385237</v>
      </c>
      <c r="AE43" s="75">
        <f t="shared" si="58"/>
        <v>1275922.0092656375</v>
      </c>
      <c r="AF43" s="75">
        <f t="shared" si="59"/>
        <v>3266.0442822131149</v>
      </c>
      <c r="AH43" s="78">
        <v>36</v>
      </c>
      <c r="AI43" s="69">
        <f>'보험개발원 위험률(1세)'!E43</f>
        <v>3.6600000000000001E-4</v>
      </c>
      <c r="AJ43" s="69">
        <f>'보험개발원 위험률(1세)'!E326</f>
        <v>3.2439999999999997E-4</v>
      </c>
      <c r="AK43" s="72">
        <f t="shared" si="60"/>
        <v>3.2428126959999998E-4</v>
      </c>
      <c r="AL43" s="75">
        <f t="shared" si="81"/>
        <v>98598.874392758036</v>
      </c>
      <c r="AM43" s="75">
        <f t="shared" si="61"/>
        <v>31.973768169214502</v>
      </c>
      <c r="AN43" s="75">
        <f t="shared" si="62"/>
        <v>46660.054521503313</v>
      </c>
      <c r="AO43" s="75">
        <f t="shared" si="63"/>
        <v>14.819766620801483</v>
      </c>
      <c r="AP43" s="75">
        <f t="shared" si="64"/>
        <v>1324752.4030926337</v>
      </c>
      <c r="AQ43" s="75">
        <f t="shared" si="65"/>
        <v>2282.4634882877658</v>
      </c>
      <c r="AS43" s="81">
        <v>36</v>
      </c>
      <c r="AT43" s="69">
        <f>'보험개발원 위험률(1세)'!D43</f>
        <v>5.5400000000000002E-4</v>
      </c>
      <c r="AU43" s="69">
        <f>'보험개발원 위험률(1세)'!D407</f>
        <v>2.3519999999999997E-4</v>
      </c>
      <c r="AV43" s="72">
        <f t="shared" si="66"/>
        <v>2.3506969919999995E-4</v>
      </c>
      <c r="AW43" s="75">
        <f t="shared" si="82"/>
        <v>98567.228284397657</v>
      </c>
      <c r="AX43" s="75">
        <f t="shared" si="67"/>
        <v>23.170168703791084</v>
      </c>
      <c r="AY43" s="75">
        <f t="shared" si="68"/>
        <v>46645.078598597676</v>
      </c>
      <c r="AZ43" s="75">
        <f t="shared" si="69"/>
        <v>10.739318898464948</v>
      </c>
      <c r="BA43" s="75">
        <f t="shared" si="70"/>
        <v>1303530.0356769252</v>
      </c>
      <c r="BB43" s="75">
        <f t="shared" si="71"/>
        <v>1333.9478669829846</v>
      </c>
      <c r="BD43" s="81">
        <v>36</v>
      </c>
      <c r="BE43" s="69">
        <f>'보험개발원 위험률(1세)'!E43</f>
        <v>3.6600000000000001E-4</v>
      </c>
      <c r="BF43" s="69">
        <f>'보험개발원 위험률(1세)'!E407</f>
        <v>3.0599999999999998E-5</v>
      </c>
      <c r="BG43" s="72">
        <f t="shared" si="72"/>
        <v>3.0588800400000001E-5</v>
      </c>
      <c r="BH43" s="75">
        <f t="shared" si="83"/>
        <v>98998.055152243367</v>
      </c>
      <c r="BI43" s="75">
        <f t="shared" si="73"/>
        <v>3.028231749040164</v>
      </c>
      <c r="BJ43" s="75">
        <f t="shared" si="74"/>
        <v>46848.959274384433</v>
      </c>
      <c r="BK43" s="75">
        <f t="shared" si="75"/>
        <v>1.4035783194827369</v>
      </c>
      <c r="BL43" s="75">
        <f t="shared" si="76"/>
        <v>1353432.4817798645</v>
      </c>
      <c r="BM43" s="75">
        <f t="shared" si="77"/>
        <v>353.70879159465721</v>
      </c>
    </row>
    <row r="44" spans="1:65" ht="18" customHeight="1">
      <c r="A44" s="66">
        <v>37</v>
      </c>
      <c r="B44" s="69">
        <f>'보험개발원 위험률(1세)'!D44</f>
        <v>5.7799999999999995E-4</v>
      </c>
      <c r="C44" s="69">
        <f>'보험개발원 위험률(1세)'!D246</f>
        <v>1.7029000000000002E-3</v>
      </c>
      <c r="D44" s="72">
        <f t="shared" si="42"/>
        <v>1.7019157238000002E-3</v>
      </c>
      <c r="E44" s="75">
        <f t="shared" si="78"/>
        <v>96707.843642480118</v>
      </c>
      <c r="F44" s="75">
        <f t="shared" si="43"/>
        <v>164.58859970992879</v>
      </c>
      <c r="G44" s="75">
        <f t="shared" si="44"/>
        <v>44823.858908267204</v>
      </c>
      <c r="H44" s="75">
        <f t="shared" si="45"/>
        <v>74.717365599777338</v>
      </c>
      <c r="I44" s="75">
        <f t="shared" si="46"/>
        <v>1149946.038279936</v>
      </c>
      <c r="J44" s="75">
        <f t="shared" si="47"/>
        <v>8170.293643470518</v>
      </c>
      <c r="L44" s="66">
        <v>37</v>
      </c>
      <c r="M44" s="69">
        <f>'보험개발원 위험률(1세)'!E44</f>
        <v>3.8200000000000002E-4</v>
      </c>
      <c r="N44" s="69">
        <f>'보험개발원 위험률(1세)'!E246</f>
        <v>3.689E-3</v>
      </c>
      <c r="O44" s="72">
        <f t="shared" si="48"/>
        <v>3.687590802E-3</v>
      </c>
      <c r="P44" s="75">
        <f t="shared" si="79"/>
        <v>95309.945933858777</v>
      </c>
      <c r="Q44" s="75">
        <f t="shared" si="49"/>
        <v>351.46407996481491</v>
      </c>
      <c r="R44" s="75">
        <f t="shared" si="50"/>
        <v>44175.936596080428</v>
      </c>
      <c r="S44" s="75">
        <f t="shared" si="51"/>
        <v>159.55218164685738</v>
      </c>
      <c r="T44" s="75">
        <f t="shared" si="52"/>
        <v>1144917.4769698274</v>
      </c>
      <c r="U44" s="75">
        <f t="shared" si="53"/>
        <v>6946.0865244426404</v>
      </c>
      <c r="W44" s="78">
        <v>37</v>
      </c>
      <c r="X44" s="69">
        <f>'보험개발원 위험률(1세)'!D44</f>
        <v>5.7799999999999995E-4</v>
      </c>
      <c r="Y44" s="69">
        <f>'보험개발원 위험률(1세)'!D327</f>
        <v>5.5849999999999997E-4</v>
      </c>
      <c r="Z44" s="72">
        <f t="shared" si="54"/>
        <v>5.5817718699999999E-4</v>
      </c>
      <c r="AA44" s="75">
        <f t="shared" si="80"/>
        <v>98056.561880412672</v>
      </c>
      <c r="AB44" s="75">
        <f t="shared" si="55"/>
        <v>54.732935877300172</v>
      </c>
      <c r="AC44" s="75">
        <f t="shared" si="56"/>
        <v>45448.986651034284</v>
      </c>
      <c r="AD44" s="75">
        <f t="shared" si="57"/>
        <v>24.846804623775583</v>
      </c>
      <c r="AE44" s="75">
        <f t="shared" si="58"/>
        <v>1229469.1812106629</v>
      </c>
      <c r="AF44" s="75">
        <f t="shared" si="59"/>
        <v>3242.8534717077296</v>
      </c>
      <c r="AH44" s="78">
        <v>37</v>
      </c>
      <c r="AI44" s="69">
        <f>'보험개발원 위험률(1세)'!E44</f>
        <v>3.8200000000000002E-4</v>
      </c>
      <c r="AJ44" s="69">
        <f>'보험개발원 위험률(1세)'!E327</f>
        <v>3.4729999999999999E-4</v>
      </c>
      <c r="AK44" s="72">
        <f t="shared" si="60"/>
        <v>3.471673314E-4</v>
      </c>
      <c r="AL44" s="75">
        <f t="shared" si="81"/>
        <v>98530.813436561075</v>
      </c>
      <c r="AM44" s="75">
        <f t="shared" si="61"/>
        <v>34.206679561442172</v>
      </c>
      <c r="AN44" s="75">
        <f t="shared" si="62"/>
        <v>45668.801135973175</v>
      </c>
      <c r="AO44" s="75">
        <f t="shared" si="63"/>
        <v>15.528614905595589</v>
      </c>
      <c r="AP44" s="75">
        <f t="shared" si="64"/>
        <v>1278092.3485711303</v>
      </c>
      <c r="AQ44" s="75">
        <f t="shared" si="65"/>
        <v>2267.6437216669642</v>
      </c>
      <c r="AS44" s="81">
        <v>37</v>
      </c>
      <c r="AT44" s="69">
        <f>'보험개발원 위험률(1세)'!D44</f>
        <v>5.7799999999999995E-4</v>
      </c>
      <c r="AU44" s="69">
        <f>'보험개발원 위험률(1세)'!D408</f>
        <v>2.609E-4</v>
      </c>
      <c r="AV44" s="72">
        <f t="shared" si="66"/>
        <v>2.6074919980000001E-4</v>
      </c>
      <c r="AW44" s="75">
        <f t="shared" si="82"/>
        <v>98489.451871224315</v>
      </c>
      <c r="AX44" s="75">
        <f t="shared" si="67"/>
        <v>25.681045764162352</v>
      </c>
      <c r="AY44" s="75">
        <f t="shared" si="68"/>
        <v>45649.630147364078</v>
      </c>
      <c r="AZ44" s="75">
        <f t="shared" si="69"/>
        <v>11.658280638678884</v>
      </c>
      <c r="BA44" s="75">
        <f t="shared" si="70"/>
        <v>1256884.9570783274</v>
      </c>
      <c r="BB44" s="75">
        <f t="shared" si="71"/>
        <v>1323.2085480845196</v>
      </c>
      <c r="BD44" s="81">
        <v>37</v>
      </c>
      <c r="BE44" s="69">
        <f>'보험개발원 위험률(1세)'!E44</f>
        <v>3.8200000000000002E-4</v>
      </c>
      <c r="BF44" s="69">
        <f>'보험개발원 위험률(1세)'!E408</f>
        <v>3.2700000000000002E-5</v>
      </c>
      <c r="BG44" s="72">
        <f t="shared" si="72"/>
        <v>3.26875086E-5</v>
      </c>
      <c r="BH44" s="75">
        <f t="shared" si="83"/>
        <v>98958.793632308618</v>
      </c>
      <c r="BI44" s="75">
        <f t="shared" si="73"/>
        <v>3.2347164179017134</v>
      </c>
      <c r="BJ44" s="75">
        <f t="shared" si="74"/>
        <v>45867.168953796107</v>
      </c>
      <c r="BK44" s="75">
        <f t="shared" si="75"/>
        <v>1.4684461112976137</v>
      </c>
      <c r="BL44" s="75">
        <f t="shared" si="76"/>
        <v>1306583.5225054801</v>
      </c>
      <c r="BM44" s="75">
        <f t="shared" si="77"/>
        <v>352.30521327517448</v>
      </c>
    </row>
    <row r="45" spans="1:65" ht="18" customHeight="1">
      <c r="A45" s="66">
        <v>38</v>
      </c>
      <c r="B45" s="69">
        <f>'보험개발원 위험률(1세)'!D45</f>
        <v>6.02E-4</v>
      </c>
      <c r="C45" s="69">
        <f>'보험개발원 위험률(1세)'!D247</f>
        <v>1.8086000000000001E-3</v>
      </c>
      <c r="D45" s="72">
        <f t="shared" si="42"/>
        <v>1.8075112228000002E-3</v>
      </c>
      <c r="E45" s="75">
        <f t="shared" si="78"/>
        <v>96487.357909144848</v>
      </c>
      <c r="F45" s="75">
        <f t="shared" si="43"/>
        <v>174.40198227909968</v>
      </c>
      <c r="G45" s="75">
        <f t="shared" si="44"/>
        <v>43801.825942743257</v>
      </c>
      <c r="H45" s="75">
        <f t="shared" si="45"/>
        <v>77.543870686229823</v>
      </c>
      <c r="I45" s="75">
        <f t="shared" si="46"/>
        <v>1105122.1793716687</v>
      </c>
      <c r="J45" s="75">
        <f t="shared" si="47"/>
        <v>8095.5762778707403</v>
      </c>
      <c r="L45" s="66">
        <v>38</v>
      </c>
      <c r="M45" s="69">
        <f>'보험개발원 위험률(1세)'!E45</f>
        <v>3.9799999999999997E-4</v>
      </c>
      <c r="N45" s="69">
        <f>'보험개발원 위험률(1세)'!E247</f>
        <v>3.9100000000000003E-3</v>
      </c>
      <c r="O45" s="72">
        <f t="shared" si="48"/>
        <v>3.9084438200000004E-3</v>
      </c>
      <c r="P45" s="75">
        <f t="shared" si="79"/>
        <v>94922.073454547222</v>
      </c>
      <c r="Q45" s="75">
        <f t="shared" si="49"/>
        <v>370.99759137501115</v>
      </c>
      <c r="R45" s="75">
        <f t="shared" si="50"/>
        <v>43091.242517962084</v>
      </c>
      <c r="S45" s="75">
        <f t="shared" si="51"/>
        <v>164.95563223844286</v>
      </c>
      <c r="T45" s="75">
        <f t="shared" si="52"/>
        <v>1100741.540373747</v>
      </c>
      <c r="U45" s="75">
        <f t="shared" si="53"/>
        <v>6786.5343427957832</v>
      </c>
      <c r="W45" s="78">
        <v>38</v>
      </c>
      <c r="X45" s="69">
        <f>'보험개발원 위험률(1세)'!D45</f>
        <v>6.02E-4</v>
      </c>
      <c r="Y45" s="69">
        <f>'보험개발원 위험률(1세)'!D328</f>
        <v>6.0700000000000001E-4</v>
      </c>
      <c r="Z45" s="72">
        <f t="shared" si="54"/>
        <v>6.0663458600000004E-4</v>
      </c>
      <c r="AA45" s="75">
        <f t="shared" si="80"/>
        <v>97945.152251768493</v>
      </c>
      <c r="AB45" s="75">
        <f t="shared" si="55"/>
        <v>59.416916886958553</v>
      </c>
      <c r="AC45" s="75">
        <f t="shared" si="56"/>
        <v>44463.612682888459</v>
      </c>
      <c r="AD45" s="75">
        <f t="shared" si="57"/>
        <v>26.418379306511653</v>
      </c>
      <c r="AE45" s="75">
        <f t="shared" si="58"/>
        <v>1184020.1945596286</v>
      </c>
      <c r="AF45" s="75">
        <f t="shared" si="59"/>
        <v>3218.0066670839542</v>
      </c>
      <c r="AH45" s="78">
        <v>38</v>
      </c>
      <c r="AI45" s="69">
        <f>'보험개발원 위험률(1세)'!E45</f>
        <v>3.9799999999999997E-4</v>
      </c>
      <c r="AJ45" s="69">
        <f>'보험개발원 위험률(1세)'!E328</f>
        <v>3.702E-4</v>
      </c>
      <c r="AK45" s="72">
        <f t="shared" si="60"/>
        <v>3.7005266039999999E-4</v>
      </c>
      <c r="AL45" s="75">
        <f t="shared" si="81"/>
        <v>98458.967986266856</v>
      </c>
      <c r="AM45" s="75">
        <f t="shared" si="61"/>
        <v>36.435003043556478</v>
      </c>
      <c r="AN45" s="75">
        <f t="shared" si="62"/>
        <v>44696.866736650947</v>
      </c>
      <c r="AO45" s="75">
        <f t="shared" si="63"/>
        <v>16.199994561647358</v>
      </c>
      <c r="AP45" s="75">
        <f t="shared" si="64"/>
        <v>1232423.5474351572</v>
      </c>
      <c r="AQ45" s="75">
        <f t="shared" si="65"/>
        <v>2252.1151067613687</v>
      </c>
      <c r="AS45" s="81">
        <v>38</v>
      </c>
      <c r="AT45" s="69">
        <f>'보험개발원 위험률(1세)'!D45</f>
        <v>6.02E-4</v>
      </c>
      <c r="AU45" s="69">
        <f>'보험개발원 위험률(1세)'!D409</f>
        <v>2.8659999999999997E-4</v>
      </c>
      <c r="AV45" s="72">
        <f t="shared" si="66"/>
        <v>2.8642746679999998E-4</v>
      </c>
      <c r="AW45" s="75">
        <f t="shared" si="82"/>
        <v>98406.843922278582</v>
      </c>
      <c r="AX45" s="75">
        <f t="shared" si="67"/>
        <v>28.186423020441229</v>
      </c>
      <c r="AY45" s="75">
        <f t="shared" si="68"/>
        <v>44673.204266999819</v>
      </c>
      <c r="AZ45" s="75">
        <f t="shared" si="69"/>
        <v>12.532451255666709</v>
      </c>
      <c r="BA45" s="75">
        <f t="shared" si="70"/>
        <v>1211235.3269309634</v>
      </c>
      <c r="BB45" s="75">
        <f t="shared" si="71"/>
        <v>1311.5502674458407</v>
      </c>
      <c r="BD45" s="81">
        <v>38</v>
      </c>
      <c r="BE45" s="69">
        <f>'보험개발원 위험률(1세)'!E45</f>
        <v>3.9799999999999997E-4</v>
      </c>
      <c r="BF45" s="69">
        <f>'보험개발원 위험률(1세)'!E409</f>
        <v>3.4799999999999999E-5</v>
      </c>
      <c r="BG45" s="72">
        <f t="shared" si="72"/>
        <v>3.4786149599999999E-5</v>
      </c>
      <c r="BH45" s="75">
        <f t="shared" si="83"/>
        <v>98917.75665672317</v>
      </c>
      <c r="BI45" s="75">
        <f t="shared" si="73"/>
        <v>3.4409678811571678</v>
      </c>
      <c r="BJ45" s="75">
        <f t="shared" si="74"/>
        <v>44905.140462072603</v>
      </c>
      <c r="BK45" s="75">
        <f t="shared" si="75"/>
        <v>1.5299480253894915</v>
      </c>
      <c r="BL45" s="75">
        <f t="shared" si="76"/>
        <v>1260716.3535516839</v>
      </c>
      <c r="BM45" s="75">
        <f t="shared" si="77"/>
        <v>350.83676716387686</v>
      </c>
    </row>
    <row r="46" spans="1:65" ht="18" customHeight="1">
      <c r="A46" s="66">
        <v>39</v>
      </c>
      <c r="B46" s="69">
        <f>'보험개발원 위험률(1세)'!D46</f>
        <v>6.2599999999999993E-4</v>
      </c>
      <c r="C46" s="69">
        <f>'보험개발원 위험률(1세)'!D248</f>
        <v>1.9143000000000003E-3</v>
      </c>
      <c r="D46" s="72">
        <f t="shared" si="42"/>
        <v>1.9131016482000004E-3</v>
      </c>
      <c r="E46" s="75">
        <f t="shared" si="78"/>
        <v>96254.870537404437</v>
      </c>
      <c r="F46" s="75">
        <f t="shared" si="43"/>
        <v>184.14535147238607</v>
      </c>
      <c r="G46" s="75">
        <f t="shared" si="44"/>
        <v>42797.536681248857</v>
      </c>
      <c r="H46" s="75">
        <f t="shared" si="45"/>
        <v>80.192005841133351</v>
      </c>
      <c r="I46" s="75">
        <f t="shared" si="46"/>
        <v>1061320.3534289254</v>
      </c>
      <c r="J46" s="75">
        <f t="shared" si="47"/>
        <v>8018.0324071845107</v>
      </c>
      <c r="L46" s="66">
        <v>39</v>
      </c>
      <c r="M46" s="69">
        <f>'보험개발원 위험률(1세)'!E46</f>
        <v>4.1399999999999998E-4</v>
      </c>
      <c r="N46" s="69">
        <f>'보험개발원 위험률(1세)'!E248</f>
        <v>4.1310000000000001E-3</v>
      </c>
      <c r="O46" s="72">
        <f t="shared" si="48"/>
        <v>4.1292897659999999E-3</v>
      </c>
      <c r="P46" s="75">
        <f t="shared" si="79"/>
        <v>94513.296877937304</v>
      </c>
      <c r="Q46" s="75">
        <f t="shared" si="49"/>
        <v>390.27278954898628</v>
      </c>
      <c r="R46" s="75">
        <f t="shared" si="50"/>
        <v>42023.185605214974</v>
      </c>
      <c r="S46" s="75">
        <f t="shared" si="51"/>
        <v>169.95681709533076</v>
      </c>
      <c r="T46" s="75">
        <f t="shared" si="52"/>
        <v>1057650.2978557849</v>
      </c>
      <c r="U46" s="75">
        <f t="shared" si="53"/>
        <v>6621.5787105573399</v>
      </c>
      <c r="W46" s="78">
        <v>39</v>
      </c>
      <c r="X46" s="69">
        <f>'보험개발원 위험률(1세)'!D46</f>
        <v>6.2599999999999993E-4</v>
      </c>
      <c r="Y46" s="69">
        <f>'보험개발원 위험률(1세)'!D329</f>
        <v>6.5550000000000005E-4</v>
      </c>
      <c r="Z46" s="72">
        <f t="shared" si="54"/>
        <v>6.5508965700000006E-4</v>
      </c>
      <c r="AA46" s="75">
        <f t="shared" si="80"/>
        <v>97826.77235322597</v>
      </c>
      <c r="AB46" s="75">
        <f t="shared" si="55"/>
        <v>64.085306746291891</v>
      </c>
      <c r="AC46" s="75">
        <f t="shared" si="56"/>
        <v>43496.447035045465</v>
      </c>
      <c r="AD46" s="75">
        <f t="shared" si="57"/>
        <v>27.908004474933012</v>
      </c>
      <c r="AE46" s="75">
        <f t="shared" si="58"/>
        <v>1139556.5818767401</v>
      </c>
      <c r="AF46" s="75">
        <f t="shared" si="59"/>
        <v>3191.5882877774425</v>
      </c>
      <c r="AH46" s="78">
        <v>39</v>
      </c>
      <c r="AI46" s="69">
        <f>'보험개발원 위험률(1세)'!E46</f>
        <v>4.1399999999999998E-4</v>
      </c>
      <c r="AJ46" s="69">
        <f>'보험개발원 위험률(1세)'!E329</f>
        <v>3.9309999999999996E-4</v>
      </c>
      <c r="AK46" s="72">
        <f t="shared" si="60"/>
        <v>3.9293725659999992E-4</v>
      </c>
      <c r="AL46" s="75">
        <f t="shared" si="81"/>
        <v>98383.346313964765</v>
      </c>
      <c r="AM46" s="75">
        <f t="shared" si="61"/>
        <v>38.658482195737029</v>
      </c>
      <c r="AN46" s="75">
        <f t="shared" si="62"/>
        <v>43743.914974772109</v>
      </c>
      <c r="AO46" s="75">
        <f t="shared" si="63"/>
        <v>16.83507731942273</v>
      </c>
      <c r="AP46" s="75">
        <f t="shared" si="64"/>
        <v>1187726.6806985063</v>
      </c>
      <c r="AQ46" s="75">
        <f t="shared" si="65"/>
        <v>2235.9151121997215</v>
      </c>
      <c r="AS46" s="81">
        <v>39</v>
      </c>
      <c r="AT46" s="69">
        <f>'보험개발원 위험률(1세)'!D46</f>
        <v>6.2599999999999993E-4</v>
      </c>
      <c r="AU46" s="69">
        <f>'보험개발원 위험률(1세)'!D410</f>
        <v>3.1229999999999995E-4</v>
      </c>
      <c r="AV46" s="72">
        <f t="shared" si="66"/>
        <v>3.1210450019999997E-4</v>
      </c>
      <c r="AW46" s="75">
        <f t="shared" si="82"/>
        <v>98319.416579216937</v>
      </c>
      <c r="AX46" s="75">
        <f t="shared" si="67"/>
        <v>30.685932371412093</v>
      </c>
      <c r="AY46" s="75">
        <f t="shared" si="68"/>
        <v>43715.490073750305</v>
      </c>
      <c r="AZ46" s="75">
        <f t="shared" si="69"/>
        <v>13.36317451563751</v>
      </c>
      <c r="BA46" s="75">
        <f t="shared" si="70"/>
        <v>1166562.1226639636</v>
      </c>
      <c r="BB46" s="75">
        <f t="shared" si="71"/>
        <v>1299.017816190174</v>
      </c>
      <c r="BD46" s="81">
        <v>39</v>
      </c>
      <c r="BE46" s="69">
        <f>'보험개발원 위험률(1세)'!E46</f>
        <v>4.1399999999999998E-4</v>
      </c>
      <c r="BF46" s="69">
        <f>'보험개발원 위험률(1세)'!E410</f>
        <v>3.6900000000000002E-5</v>
      </c>
      <c r="BG46" s="72">
        <f t="shared" si="72"/>
        <v>3.6884723399999999E-5</v>
      </c>
      <c r="BH46" s="75">
        <f t="shared" si="83"/>
        <v>98874.946421692628</v>
      </c>
      <c r="BI46" s="75">
        <f t="shared" si="73"/>
        <v>3.6469750499539524</v>
      </c>
      <c r="BJ46" s="75">
        <f t="shared" si="74"/>
        <v>43962.493770063447</v>
      </c>
      <c r="BK46" s="75">
        <f t="shared" si="75"/>
        <v>1.5881923826474176</v>
      </c>
      <c r="BL46" s="75">
        <f t="shared" si="76"/>
        <v>1215811.2130896114</v>
      </c>
      <c r="BM46" s="75">
        <f t="shared" si="77"/>
        <v>349.30681913848736</v>
      </c>
    </row>
    <row r="47" spans="1:65" ht="18" customHeight="1">
      <c r="A47" s="66">
        <v>40</v>
      </c>
      <c r="B47" s="69">
        <f>'보험개발원 위험률(1세)'!D47</f>
        <v>6.4999999999999997E-4</v>
      </c>
      <c r="C47" s="69">
        <f>'보험개발원 위험률(1세)'!D249</f>
        <v>2.0200000000000001E-3</v>
      </c>
      <c r="D47" s="72">
        <f t="shared" si="42"/>
        <v>2.0186869999999999E-3</v>
      </c>
      <c r="E47" s="75">
        <f t="shared" si="78"/>
        <v>96010.469636975642</v>
      </c>
      <c r="F47" s="75">
        <f t="shared" si="43"/>
        <v>193.81508692005744</v>
      </c>
      <c r="G47" s="75">
        <f t="shared" si="44"/>
        <v>41810.841709424683</v>
      </c>
      <c r="H47" s="75">
        <f t="shared" si="45"/>
        <v>82.666995708005288</v>
      </c>
      <c r="I47" s="75">
        <f t="shared" si="46"/>
        <v>1018522.8167476766</v>
      </c>
      <c r="J47" s="75">
        <f t="shared" si="47"/>
        <v>7937.8404013433774</v>
      </c>
      <c r="L47" s="66">
        <v>40</v>
      </c>
      <c r="M47" s="69">
        <f>'보험개발원 위험률(1세)'!E47</f>
        <v>4.2999999999999999E-4</v>
      </c>
      <c r="N47" s="69">
        <f>'보험개발원 위험률(1세)'!E249</f>
        <v>4.352E-3</v>
      </c>
      <c r="O47" s="72">
        <f t="shared" si="48"/>
        <v>4.35012864E-3</v>
      </c>
      <c r="P47" s="75">
        <f t="shared" si="79"/>
        <v>94083.895583480858</v>
      </c>
      <c r="Q47" s="75">
        <f t="shared" si="49"/>
        <v>409.27704874046958</v>
      </c>
      <c r="R47" s="75">
        <f t="shared" si="50"/>
        <v>40971.85317935366</v>
      </c>
      <c r="S47" s="75">
        <f t="shared" si="51"/>
        <v>174.56692649302784</v>
      </c>
      <c r="T47" s="75">
        <f t="shared" si="52"/>
        <v>1015627.11225057</v>
      </c>
      <c r="U47" s="75">
        <f t="shared" si="53"/>
        <v>6451.6218934620092</v>
      </c>
      <c r="W47" s="78">
        <v>40</v>
      </c>
      <c r="X47" s="69">
        <f>'보험개발원 위험률(1세)'!D47</f>
        <v>6.4999999999999997E-4</v>
      </c>
      <c r="Y47" s="69">
        <f>'보험개발원 위험률(1세)'!D330</f>
        <v>7.0399999999999998E-4</v>
      </c>
      <c r="Z47" s="72">
        <f t="shared" si="54"/>
        <v>7.0354239999999995E-4</v>
      </c>
      <c r="AA47" s="75">
        <f t="shared" si="80"/>
        <v>97701.447486986566</v>
      </c>
      <c r="AB47" s="75">
        <f t="shared" si="55"/>
        <v>68.73711084846849</v>
      </c>
      <c r="AC47" s="75">
        <f t="shared" si="56"/>
        <v>42547.232308161234</v>
      </c>
      <c r="AD47" s="75">
        <f t="shared" si="57"/>
        <v>29.318101793772083</v>
      </c>
      <c r="AE47" s="75">
        <f t="shared" si="58"/>
        <v>1096060.1348416947</v>
      </c>
      <c r="AF47" s="75">
        <f t="shared" si="59"/>
        <v>3163.6802833025095</v>
      </c>
      <c r="AH47" s="78">
        <v>40</v>
      </c>
      <c r="AI47" s="69">
        <f>'보험개발원 위험률(1세)'!E47</f>
        <v>4.2999999999999999E-4</v>
      </c>
      <c r="AJ47" s="69">
        <f>'보험개발원 위험률(1세)'!E330</f>
        <v>4.1599999999999997E-4</v>
      </c>
      <c r="AK47" s="72">
        <f t="shared" si="60"/>
        <v>4.1582111999999998E-4</v>
      </c>
      <c r="AL47" s="75">
        <f t="shared" si="81"/>
        <v>98303.957126395049</v>
      </c>
      <c r="AM47" s="75">
        <f t="shared" si="61"/>
        <v>40.876861552729572</v>
      </c>
      <c r="AN47" s="75">
        <f t="shared" si="62"/>
        <v>42809.614476032737</v>
      </c>
      <c r="AO47" s="75">
        <f t="shared" si="63"/>
        <v>17.435006697543731</v>
      </c>
      <c r="AP47" s="75">
        <f t="shared" si="64"/>
        <v>1143982.7657237342</v>
      </c>
      <c r="AQ47" s="75">
        <f t="shared" si="65"/>
        <v>2219.0800348802986</v>
      </c>
      <c r="AS47" s="81">
        <v>40</v>
      </c>
      <c r="AT47" s="69">
        <f>'보험개발원 위험률(1세)'!D47</f>
        <v>6.4999999999999997E-4</v>
      </c>
      <c r="AU47" s="69">
        <f>'보험개발원 위험률(1세)'!D411</f>
        <v>3.3799999999999998E-4</v>
      </c>
      <c r="AV47" s="72">
        <f t="shared" si="66"/>
        <v>3.3778029999999998E-4</v>
      </c>
      <c r="AW47" s="75">
        <f t="shared" si="82"/>
        <v>98227.182692066926</v>
      </c>
      <c r="AX47" s="75">
        <f t="shared" si="67"/>
        <v>33.179207237881172</v>
      </c>
      <c r="AY47" s="75">
        <f t="shared" si="68"/>
        <v>42776.180583529545</v>
      </c>
      <c r="AZ47" s="75">
        <f t="shared" si="69"/>
        <v>14.151764064993914</v>
      </c>
      <c r="BA47" s="75">
        <f t="shared" si="70"/>
        <v>1122846.6325902133</v>
      </c>
      <c r="BB47" s="75">
        <f t="shared" si="71"/>
        <v>1285.6546416745366</v>
      </c>
      <c r="BD47" s="81">
        <v>40</v>
      </c>
      <c r="BE47" s="69">
        <f>'보험개발원 위험률(1세)'!E47</f>
        <v>4.2999999999999999E-4</v>
      </c>
      <c r="BF47" s="69">
        <f>'보험개발원 위험률(1세)'!E411</f>
        <v>3.8999999999999999E-5</v>
      </c>
      <c r="BG47" s="72">
        <f t="shared" si="72"/>
        <v>3.8983229999999998E-5</v>
      </c>
      <c r="BH47" s="75">
        <f t="shared" si="83"/>
        <v>98830.365218824096</v>
      </c>
      <c r="BI47" s="75">
        <f t="shared" si="73"/>
        <v>3.8527268583094201</v>
      </c>
      <c r="BJ47" s="75">
        <f t="shared" si="74"/>
        <v>43038.855781802115</v>
      </c>
      <c r="BK47" s="75">
        <f t="shared" si="75"/>
        <v>1.6432846365120684</v>
      </c>
      <c r="BL47" s="75">
        <f t="shared" si="76"/>
        <v>1171848.719319548</v>
      </c>
      <c r="BM47" s="75">
        <f t="shared" si="77"/>
        <v>347.71862675583992</v>
      </c>
    </row>
    <row r="48" spans="1:65" ht="18" customHeight="1">
      <c r="A48" s="66">
        <v>41</v>
      </c>
      <c r="B48" s="69">
        <f>'보험개발원 위험률(1세)'!D48</f>
        <v>7.0600000000000003E-4</v>
      </c>
      <c r="C48" s="69">
        <f>'보험개발원 위험률(1세)'!D250</f>
        <v>2.1684E-3</v>
      </c>
      <c r="D48" s="72">
        <f t="shared" si="42"/>
        <v>2.1668691096000002E-3</v>
      </c>
      <c r="E48" s="75">
        <f t="shared" si="78"/>
        <v>95754.247744791544</v>
      </c>
      <c r="F48" s="75">
        <f t="shared" si="43"/>
        <v>207.48692155117428</v>
      </c>
      <c r="G48" s="75">
        <f t="shared" si="44"/>
        <v>40841.588305284706</v>
      </c>
      <c r="H48" s="75">
        <f t="shared" si="45"/>
        <v>86.678135245565187</v>
      </c>
      <c r="I48" s="75">
        <f t="shared" si="46"/>
        <v>976711.97503825184</v>
      </c>
      <c r="J48" s="75">
        <f t="shared" si="47"/>
        <v>7855.1734056353716</v>
      </c>
      <c r="L48" s="66">
        <v>41</v>
      </c>
      <c r="M48" s="69">
        <f>'보험개발원 위험률(1세)'!E48</f>
        <v>4.5399999999999998E-4</v>
      </c>
      <c r="N48" s="69">
        <f>'보험개발원 위험률(1세)'!E250</f>
        <v>4.4986000000000002E-3</v>
      </c>
      <c r="O48" s="72">
        <f t="shared" si="48"/>
        <v>4.4965576356000006E-3</v>
      </c>
      <c r="P48" s="75">
        <f t="shared" si="79"/>
        <v>93634.162459639483</v>
      </c>
      <c r="Q48" s="75">
        <f t="shared" si="49"/>
        <v>421.03140816090286</v>
      </c>
      <c r="R48" s="75">
        <f t="shared" si="50"/>
        <v>39937.318756647561</v>
      </c>
      <c r="S48" s="75">
        <f t="shared" si="51"/>
        <v>175.88683212594975</v>
      </c>
      <c r="T48" s="75">
        <f t="shared" si="52"/>
        <v>974655.25907121634</v>
      </c>
      <c r="U48" s="75">
        <f t="shared" si="53"/>
        <v>6277.0549669689817</v>
      </c>
      <c r="W48" s="78">
        <v>41</v>
      </c>
      <c r="X48" s="69">
        <f>'보험개발원 위험률(1세)'!D48</f>
        <v>7.0600000000000003E-4</v>
      </c>
      <c r="Y48" s="69">
        <f>'보험개발원 위험률(1세)'!D331</f>
        <v>7.7919999999999997E-4</v>
      </c>
      <c r="Z48" s="72">
        <f t="shared" si="54"/>
        <v>7.7864988479999994E-4</v>
      </c>
      <c r="AA48" s="75">
        <f t="shared" si="80"/>
        <v>97569.20443527156</v>
      </c>
      <c r="AB48" s="75">
        <f t="shared" si="55"/>
        <v>75.972249793551839</v>
      </c>
      <c r="AC48" s="75">
        <f t="shared" si="56"/>
        <v>41615.712855268852</v>
      </c>
      <c r="AD48" s="75">
        <f t="shared" si="57"/>
        <v>31.73758082333493</v>
      </c>
      <c r="AE48" s="75">
        <f t="shared" si="58"/>
        <v>1053512.9025335335</v>
      </c>
      <c r="AF48" s="75">
        <f t="shared" si="59"/>
        <v>3134.3621815087372</v>
      </c>
      <c r="AH48" s="78">
        <v>41</v>
      </c>
      <c r="AI48" s="69">
        <f>'보험개발원 위험률(1세)'!E48</f>
        <v>4.5399999999999998E-4</v>
      </c>
      <c r="AJ48" s="69">
        <f>'보험개발원 위험률(1세)'!E331</f>
        <v>4.6409999999999995E-4</v>
      </c>
      <c r="AK48" s="72">
        <f t="shared" si="60"/>
        <v>4.6388929859999997E-4</v>
      </c>
      <c r="AL48" s="75">
        <f t="shared" si="81"/>
        <v>98220.809563277973</v>
      </c>
      <c r="AM48" s="75">
        <f t="shared" si="61"/>
        <v>45.563582456233185</v>
      </c>
      <c r="AN48" s="75">
        <f t="shared" si="62"/>
        <v>41893.638785474883</v>
      </c>
      <c r="AO48" s="75">
        <f t="shared" si="63"/>
        <v>19.034290609202447</v>
      </c>
      <c r="AP48" s="75">
        <f t="shared" si="64"/>
        <v>1101173.1512477014</v>
      </c>
      <c r="AQ48" s="75">
        <f t="shared" si="65"/>
        <v>2201.6450281827547</v>
      </c>
      <c r="AS48" s="81">
        <v>41</v>
      </c>
      <c r="AT48" s="69">
        <f>'보험개발원 위험률(1세)'!D48</f>
        <v>7.0600000000000003E-4</v>
      </c>
      <c r="AU48" s="69">
        <f>'보험개발원 위험률(1세)'!D412</f>
        <v>3.8699999999999997E-4</v>
      </c>
      <c r="AV48" s="72">
        <f t="shared" si="66"/>
        <v>3.8672677799999998E-4</v>
      </c>
      <c r="AW48" s="75">
        <f t="shared" si="82"/>
        <v>98130.155816079205</v>
      </c>
      <c r="AX48" s="75">
        <f t="shared" si="67"/>
        <v>37.949558983390268</v>
      </c>
      <c r="AY48" s="75">
        <f t="shared" si="68"/>
        <v>41854.972688579721</v>
      </c>
      <c r="AZ48" s="75">
        <f t="shared" si="69"/>
        <v>15.853514917857426</v>
      </c>
      <c r="BA48" s="75">
        <f t="shared" si="70"/>
        <v>1080070.4520066837</v>
      </c>
      <c r="BB48" s="75">
        <f t="shared" si="71"/>
        <v>1271.5028776095428</v>
      </c>
      <c r="BD48" s="81">
        <v>41</v>
      </c>
      <c r="BE48" s="69">
        <f>'보험개발원 위험률(1세)'!E48</f>
        <v>4.5399999999999998E-4</v>
      </c>
      <c r="BF48" s="69">
        <f>'보험개발원 위험률(1세)'!E412</f>
        <v>4.4499999999999997E-5</v>
      </c>
      <c r="BG48" s="72">
        <f t="shared" si="72"/>
        <v>4.4479796999999999E-5</v>
      </c>
      <c r="BH48" s="75">
        <f t="shared" si="83"/>
        <v>98784.01543492169</v>
      </c>
      <c r="BI48" s="75">
        <f t="shared" si="73"/>
        <v>4.3938929533901838</v>
      </c>
      <c r="BJ48" s="75">
        <f t="shared" si="74"/>
        <v>42133.860215672932</v>
      </c>
      <c r="BK48" s="75">
        <f t="shared" si="75"/>
        <v>1.8355588141229269</v>
      </c>
      <c r="BL48" s="75">
        <f t="shared" si="76"/>
        <v>1128809.8635377458</v>
      </c>
      <c r="BM48" s="75">
        <f t="shared" si="77"/>
        <v>346.07534211932784</v>
      </c>
    </row>
    <row r="49" spans="1:65" ht="18" customHeight="1">
      <c r="A49" s="66">
        <v>42</v>
      </c>
      <c r="B49" s="69">
        <f>'보험개발원 위험률(1세)'!D49</f>
        <v>7.6199999999999998E-4</v>
      </c>
      <c r="C49" s="69">
        <f>'보험개발원 위험률(1세)'!D251</f>
        <v>2.3167999999999999E-3</v>
      </c>
      <c r="D49" s="72">
        <f t="shared" si="42"/>
        <v>2.3150345983999998E-3</v>
      </c>
      <c r="E49" s="75">
        <f t="shared" si="78"/>
        <v>95479.158324332559</v>
      </c>
      <c r="F49" s="75">
        <f t="shared" si="43"/>
        <v>221.03755494694121</v>
      </c>
      <c r="G49" s="75">
        <f t="shared" si="44"/>
        <v>39886.636403384386</v>
      </c>
      <c r="H49" s="75">
        <f t="shared" si="45"/>
        <v>90.439709390436619</v>
      </c>
      <c r="I49" s="75">
        <f t="shared" si="46"/>
        <v>935870.3867329671</v>
      </c>
      <c r="J49" s="75">
        <f t="shared" si="47"/>
        <v>7768.4952703898061</v>
      </c>
      <c r="L49" s="66">
        <v>42</v>
      </c>
      <c r="M49" s="69">
        <f>'보험개발원 위험률(1세)'!E49</f>
        <v>4.7800000000000002E-4</v>
      </c>
      <c r="N49" s="69">
        <f>'보험개발원 위험률(1세)'!E251</f>
        <v>4.6452000000000004E-3</v>
      </c>
      <c r="O49" s="72">
        <f t="shared" si="48"/>
        <v>4.6429795944000008E-3</v>
      </c>
      <c r="P49" s="75">
        <f t="shared" si="79"/>
        <v>93170.621141721902</v>
      </c>
      <c r="Q49" s="75">
        <f t="shared" si="49"/>
        <v>432.5892927585881</v>
      </c>
      <c r="R49" s="75">
        <f t="shared" si="50"/>
        <v>38922.239724124825</v>
      </c>
      <c r="S49" s="75">
        <f t="shared" si="51"/>
        <v>176.99820255382633</v>
      </c>
      <c r="T49" s="75">
        <f t="shared" si="52"/>
        <v>934717.94031456881</v>
      </c>
      <c r="U49" s="75">
        <f t="shared" si="53"/>
        <v>6101.168134843032</v>
      </c>
      <c r="W49" s="78">
        <v>42</v>
      </c>
      <c r="X49" s="69">
        <f>'보험개발원 위험률(1세)'!D49</f>
        <v>7.6199999999999998E-4</v>
      </c>
      <c r="Y49" s="69">
        <f>'보험개발원 위험률(1세)'!D332</f>
        <v>8.5439999999999995E-4</v>
      </c>
      <c r="Z49" s="72">
        <f t="shared" si="54"/>
        <v>8.5374894719999995E-4</v>
      </c>
      <c r="AA49" s="75">
        <f t="shared" si="80"/>
        <v>97424.348327146712</v>
      </c>
      <c r="AB49" s="75">
        <f t="shared" si="55"/>
        <v>83.175934815947585</v>
      </c>
      <c r="AC49" s="75">
        <f t="shared" si="56"/>
        <v>40699.243968631155</v>
      </c>
      <c r="AD49" s="75">
        <f t="shared" si="57"/>
        <v>34.03225924589109</v>
      </c>
      <c r="AE49" s="75">
        <f t="shared" si="58"/>
        <v>1011897.1896782647</v>
      </c>
      <c r="AF49" s="75">
        <f t="shared" si="59"/>
        <v>3102.6246006854021</v>
      </c>
      <c r="AH49" s="78">
        <v>42</v>
      </c>
      <c r="AI49" s="69">
        <f>'보험개발원 위험률(1세)'!E49</f>
        <v>4.7800000000000002E-4</v>
      </c>
      <c r="AJ49" s="69">
        <f>'보험개발원 위험률(1세)'!E332</f>
        <v>5.1219999999999998E-4</v>
      </c>
      <c r="AK49" s="72">
        <f t="shared" si="60"/>
        <v>5.1195516840000003E-4</v>
      </c>
      <c r="AL49" s="75">
        <f t="shared" si="81"/>
        <v>98130.653733280022</v>
      </c>
      <c r="AM49" s="75">
        <f t="shared" si="61"/>
        <v>50.238495357223464</v>
      </c>
      <c r="AN49" s="75">
        <f t="shared" si="62"/>
        <v>40994.304664793621</v>
      </c>
      <c r="AO49" s="75">
        <f t="shared" si="63"/>
        <v>20.555578989329408</v>
      </c>
      <c r="AP49" s="75">
        <f t="shared" si="64"/>
        <v>1059279.5124622264</v>
      </c>
      <c r="AQ49" s="75">
        <f t="shared" si="65"/>
        <v>2182.6107375735523</v>
      </c>
      <c r="AS49" s="81">
        <v>42</v>
      </c>
      <c r="AT49" s="69">
        <f>'보험개발원 위험률(1세)'!D49</f>
        <v>7.6199999999999998E-4</v>
      </c>
      <c r="AU49" s="69">
        <f>'보험개발원 위험률(1세)'!D413</f>
        <v>4.3599999999999997E-4</v>
      </c>
      <c r="AV49" s="72">
        <f t="shared" si="66"/>
        <v>4.3566776799999995E-4</v>
      </c>
      <c r="AW49" s="75">
        <f t="shared" si="82"/>
        <v>98022.926367089662</v>
      </c>
      <c r="AX49" s="75">
        <f t="shared" si="67"/>
        <v>42.705429543178298</v>
      </c>
      <c r="AY49" s="75">
        <f t="shared" si="68"/>
        <v>40949.301311587122</v>
      </c>
      <c r="AZ49" s="75">
        <f t="shared" si="69"/>
        <v>17.473350346306205</v>
      </c>
      <c r="BA49" s="75">
        <f t="shared" si="70"/>
        <v>1038215.4793181039</v>
      </c>
      <c r="BB49" s="75">
        <f t="shared" si="71"/>
        <v>1255.6493626916854</v>
      </c>
      <c r="BD49" s="81">
        <v>42</v>
      </c>
      <c r="BE49" s="69">
        <f>'보험개발원 위험률(1세)'!E49</f>
        <v>4.7800000000000002E-4</v>
      </c>
      <c r="BF49" s="69">
        <f>'보험개발원 위험률(1세)'!E413</f>
        <v>4.9999999999999996E-5</v>
      </c>
      <c r="BG49" s="72">
        <f t="shared" si="72"/>
        <v>4.9976099999999997E-5</v>
      </c>
      <c r="BH49" s="75">
        <f t="shared" si="83"/>
        <v>98734.773598960848</v>
      </c>
      <c r="BI49" s="75">
        <f t="shared" si="73"/>
        <v>4.9343789188590268</v>
      </c>
      <c r="BJ49" s="75">
        <f t="shared" si="74"/>
        <v>41246.677118105581</v>
      </c>
      <c r="BK49" s="75">
        <f t="shared" si="75"/>
        <v>2.0189501080530423</v>
      </c>
      <c r="BL49" s="75">
        <f t="shared" si="76"/>
        <v>1086676.0033220728</v>
      </c>
      <c r="BM49" s="75">
        <f t="shared" si="77"/>
        <v>344.23978330520492</v>
      </c>
    </row>
    <row r="50" spans="1:65" ht="18" customHeight="1">
      <c r="A50" s="66">
        <v>43</v>
      </c>
      <c r="B50" s="69">
        <f>'보험개발원 위험률(1세)'!D50</f>
        <v>8.1800000000000004E-4</v>
      </c>
      <c r="C50" s="69">
        <f>'보험개발원 위험률(1세)'!D252</f>
        <v>2.4652000000000003E-3</v>
      </c>
      <c r="D50" s="72">
        <f t="shared" si="42"/>
        <v>2.4631834664000005E-3</v>
      </c>
      <c r="E50" s="75">
        <f t="shared" si="78"/>
        <v>95185.36565074246</v>
      </c>
      <c r="F50" s="75">
        <f t="shared" si="43"/>
        <v>234.45901891414735</v>
      </c>
      <c r="G50" s="75">
        <f t="shared" si="44"/>
        <v>38946.037064796641</v>
      </c>
      <c r="H50" s="75">
        <f t="shared" si="45"/>
        <v>93.958114181986971</v>
      </c>
      <c r="I50" s="75">
        <f t="shared" si="46"/>
        <v>895983.75032958272</v>
      </c>
      <c r="J50" s="75">
        <f t="shared" si="47"/>
        <v>7678.0555609993698</v>
      </c>
      <c r="L50" s="66">
        <v>43</v>
      </c>
      <c r="M50" s="69">
        <f>'보험개발원 위험률(1세)'!E50</f>
        <v>5.0200000000000006E-4</v>
      </c>
      <c r="N50" s="69">
        <f>'보험개발원 위험률(1세)'!E252</f>
        <v>4.7917999999999997E-3</v>
      </c>
      <c r="O50" s="72">
        <f t="shared" si="48"/>
        <v>4.7893945163999998E-3</v>
      </c>
      <c r="P50" s="75">
        <f t="shared" si="79"/>
        <v>92693.496292057564</v>
      </c>
      <c r="Q50" s="75">
        <f t="shared" si="49"/>
        <v>443.94572284712422</v>
      </c>
      <c r="R50" s="75">
        <f t="shared" si="50"/>
        <v>37926.463985043323</v>
      </c>
      <c r="S50" s="75">
        <f t="shared" si="51"/>
        <v>177.90871560862743</v>
      </c>
      <c r="T50" s="75">
        <f t="shared" si="52"/>
        <v>895795.70059044403</v>
      </c>
      <c r="U50" s="75">
        <f t="shared" si="53"/>
        <v>5924.1699322892055</v>
      </c>
      <c r="W50" s="78">
        <v>43</v>
      </c>
      <c r="X50" s="69">
        <f>'보험개발원 위험률(1세)'!D50</f>
        <v>8.1800000000000004E-4</v>
      </c>
      <c r="Y50" s="69">
        <f>'보험개발원 위험률(1세)'!D333</f>
        <v>9.2960000000000004E-4</v>
      </c>
      <c r="Z50" s="72">
        <f t="shared" si="54"/>
        <v>9.2883958720000009E-4</v>
      </c>
      <c r="AA50" s="75">
        <f t="shared" si="80"/>
        <v>97266.935038905474</v>
      </c>
      <c r="AB50" s="75">
        <f t="shared" si="55"/>
        <v>90.34537978974619</v>
      </c>
      <c r="AC50" s="75">
        <f t="shared" si="56"/>
        <v>39797.731839409404</v>
      </c>
      <c r="AD50" s="75">
        <f t="shared" si="57"/>
        <v>36.205395507554691</v>
      </c>
      <c r="AE50" s="75">
        <f t="shared" si="58"/>
        <v>971197.94570963352</v>
      </c>
      <c r="AF50" s="75">
        <f t="shared" si="59"/>
        <v>3068.5923414395111</v>
      </c>
      <c r="AH50" s="78">
        <v>43</v>
      </c>
      <c r="AI50" s="69">
        <f>'보험개발원 위험률(1세)'!E50</f>
        <v>5.0200000000000006E-4</v>
      </c>
      <c r="AJ50" s="69">
        <f>'보험개발원 위험률(1세)'!E333</f>
        <v>5.6030000000000001E-4</v>
      </c>
      <c r="AK50" s="72">
        <f t="shared" si="60"/>
        <v>5.6001872940000005E-4</v>
      </c>
      <c r="AL50" s="75">
        <f t="shared" si="81"/>
        <v>98033.508785438302</v>
      </c>
      <c r="AM50" s="75">
        <f t="shared" si="61"/>
        <v>54.9006010286449</v>
      </c>
      <c r="AN50" s="75">
        <f t="shared" si="62"/>
        <v>40111.383095999758</v>
      </c>
      <c r="AO50" s="75">
        <f t="shared" si="63"/>
        <v>22.001102640448998</v>
      </c>
      <c r="AP50" s="75">
        <f t="shared" si="64"/>
        <v>1018285.2077974328</v>
      </c>
      <c r="AQ50" s="75">
        <f t="shared" si="65"/>
        <v>2162.0551585842231</v>
      </c>
      <c r="AS50" s="81">
        <v>43</v>
      </c>
      <c r="AT50" s="69">
        <f>'보험개발원 위험률(1세)'!D50</f>
        <v>8.1800000000000004E-4</v>
      </c>
      <c r="AU50" s="69">
        <f>'보험개발원 위험률(1세)'!D414</f>
        <v>4.8499999999999997E-4</v>
      </c>
      <c r="AV50" s="72">
        <f t="shared" si="66"/>
        <v>4.8460326999999996E-4</v>
      </c>
      <c r="AW50" s="75">
        <f t="shared" si="82"/>
        <v>97905.527467654756</v>
      </c>
      <c r="AX50" s="75">
        <f t="shared" si="67"/>
        <v>47.44533876190031</v>
      </c>
      <c r="AY50" s="75">
        <f t="shared" si="68"/>
        <v>40059.018269622051</v>
      </c>
      <c r="AZ50" s="75">
        <f t="shared" si="69"/>
        <v>19.013448821203319</v>
      </c>
      <c r="BA50" s="75">
        <f t="shared" si="70"/>
        <v>997266.17800651677</v>
      </c>
      <c r="BB50" s="75">
        <f t="shared" si="71"/>
        <v>1238.1760123453791</v>
      </c>
      <c r="BD50" s="81">
        <v>43</v>
      </c>
      <c r="BE50" s="69">
        <f>'보험개발원 위험률(1세)'!E50</f>
        <v>5.0200000000000006E-4</v>
      </c>
      <c r="BF50" s="69">
        <f>'보험개발원 위험률(1세)'!E414</f>
        <v>5.5500000000000001E-5</v>
      </c>
      <c r="BG50" s="72">
        <f t="shared" si="72"/>
        <v>5.5472139E-5</v>
      </c>
      <c r="BH50" s="75">
        <f t="shared" si="83"/>
        <v>98682.643998261687</v>
      </c>
      <c r="BI50" s="75">
        <f t="shared" si="73"/>
        <v>5.4741373447590878</v>
      </c>
      <c r="BJ50" s="75">
        <f t="shared" si="74"/>
        <v>40376.9832109528</v>
      </c>
      <c r="BK50" s="75">
        <f t="shared" si="75"/>
        <v>2.1937293095775123</v>
      </c>
      <c r="BL50" s="75">
        <f t="shared" si="76"/>
        <v>1045429.3262039673</v>
      </c>
      <c r="BM50" s="75">
        <f t="shared" si="77"/>
        <v>342.22083319715188</v>
      </c>
    </row>
    <row r="51" spans="1:65" ht="18" customHeight="1">
      <c r="A51" s="66">
        <v>44</v>
      </c>
      <c r="B51" s="69">
        <f>'보험개발원 위험률(1세)'!D51</f>
        <v>8.7399999999999999E-4</v>
      </c>
      <c r="C51" s="69">
        <f>'보험개발원 위험률(1세)'!D253</f>
        <v>2.6136000000000002E-3</v>
      </c>
      <c r="D51" s="72">
        <f t="shared" si="42"/>
        <v>2.6113157136000002E-3</v>
      </c>
      <c r="E51" s="75">
        <f t="shared" si="78"/>
        <v>94873.045002726009</v>
      </c>
      <c r="F51" s="75">
        <f t="shared" si="43"/>
        <v>247.7434732126984</v>
      </c>
      <c r="G51" s="75">
        <f t="shared" si="44"/>
        <v>38019.831510183969</v>
      </c>
      <c r="H51" s="75">
        <f t="shared" si="45"/>
        <v>97.239748727686404</v>
      </c>
      <c r="I51" s="75">
        <f t="shared" si="46"/>
        <v>857037.71326478606</v>
      </c>
      <c r="J51" s="75">
        <f t="shared" si="47"/>
        <v>7584.0974468173827</v>
      </c>
      <c r="L51" s="66">
        <v>44</v>
      </c>
      <c r="M51" s="69">
        <f>'보험개발원 위험률(1세)'!E51</f>
        <v>5.2599999999999999E-4</v>
      </c>
      <c r="N51" s="69">
        <f>'보험개발원 위험률(1세)'!E253</f>
        <v>4.9383999999999999E-3</v>
      </c>
      <c r="O51" s="72">
        <f t="shared" si="48"/>
        <v>4.9358024016000002E-3</v>
      </c>
      <c r="P51" s="75">
        <f t="shared" si="79"/>
        <v>92203.018434071826</v>
      </c>
      <c r="Q51" s="75">
        <f t="shared" si="49"/>
        <v>455.09587982166079</v>
      </c>
      <c r="R51" s="75">
        <f t="shared" si="50"/>
        <v>36949.833595971038</v>
      </c>
      <c r="S51" s="75">
        <f t="shared" si="51"/>
        <v>178.62593281264859</v>
      </c>
      <c r="T51" s="75">
        <f t="shared" si="52"/>
        <v>857869.23660540069</v>
      </c>
      <c r="U51" s="75">
        <f t="shared" si="53"/>
        <v>5746.2612166805784</v>
      </c>
      <c r="W51" s="78">
        <v>44</v>
      </c>
      <c r="X51" s="69">
        <f>'보험개발원 위험률(1세)'!D51</f>
        <v>8.7399999999999999E-4</v>
      </c>
      <c r="Y51" s="69">
        <f>'보험개발원 위험률(1세)'!D334</f>
        <v>1.0048000000000001E-3</v>
      </c>
      <c r="Z51" s="72">
        <f t="shared" si="54"/>
        <v>1.0039218048000001E-3</v>
      </c>
      <c r="AA51" s="75">
        <f t="shared" si="80"/>
        <v>97097.025306253912</v>
      </c>
      <c r="AB51" s="75">
        <f t="shared" si="55"/>
        <v>97.477820886165716</v>
      </c>
      <c r="AC51" s="75">
        <f t="shared" si="56"/>
        <v>38911.07892845403</v>
      </c>
      <c r="AD51" s="75">
        <f t="shared" si="57"/>
        <v>38.260216047569855</v>
      </c>
      <c r="AE51" s="75">
        <f t="shared" si="58"/>
        <v>931400.21387022408</v>
      </c>
      <c r="AF51" s="75">
        <f t="shared" si="59"/>
        <v>3032.3869459319562</v>
      </c>
      <c r="AH51" s="78">
        <v>44</v>
      </c>
      <c r="AI51" s="69">
        <f>'보험개발원 위험률(1세)'!E51</f>
        <v>5.2599999999999999E-4</v>
      </c>
      <c r="AJ51" s="69">
        <f>'보험개발원 위험률(1세)'!E334</f>
        <v>6.0840000000000004E-4</v>
      </c>
      <c r="AK51" s="72">
        <f t="shared" si="60"/>
        <v>6.0807998160000004E-4</v>
      </c>
      <c r="AL51" s="75">
        <f t="shared" si="81"/>
        <v>97929.395362999378</v>
      </c>
      <c r="AM51" s="75">
        <f t="shared" si="61"/>
        <v>59.548904930431789</v>
      </c>
      <c r="AN51" s="75">
        <f t="shared" si="62"/>
        <v>39244.646479813593</v>
      </c>
      <c r="AO51" s="75">
        <f t="shared" si="63"/>
        <v>23.373049862236584</v>
      </c>
      <c r="AP51" s="75">
        <f t="shared" si="64"/>
        <v>978173.82470143307</v>
      </c>
      <c r="AQ51" s="75">
        <f t="shared" si="65"/>
        <v>2140.0540559437741</v>
      </c>
      <c r="AS51" s="81">
        <v>44</v>
      </c>
      <c r="AT51" s="69">
        <f>'보험개발원 위험률(1세)'!D51</f>
        <v>8.7399999999999999E-4</v>
      </c>
      <c r="AU51" s="69">
        <f>'보험개발원 위험률(1세)'!D415</f>
        <v>5.3399999999999997E-4</v>
      </c>
      <c r="AV51" s="72">
        <f t="shared" si="66"/>
        <v>5.3353328399999994E-4</v>
      </c>
      <c r="AW51" s="75">
        <f t="shared" si="82"/>
        <v>97777.995407424314</v>
      </c>
      <c r="AX51" s="75">
        <f t="shared" si="67"/>
        <v>52.167814992660006</v>
      </c>
      <c r="AY51" s="75">
        <f t="shared" si="68"/>
        <v>39183.973811391828</v>
      </c>
      <c r="AZ51" s="75">
        <f t="shared" si="69"/>
        <v>20.475959086936214</v>
      </c>
      <c r="BA51" s="75">
        <f t="shared" si="70"/>
        <v>957207.15973689477</v>
      </c>
      <c r="BB51" s="75">
        <f t="shared" si="71"/>
        <v>1219.1625635241758</v>
      </c>
      <c r="BD51" s="81">
        <v>44</v>
      </c>
      <c r="BE51" s="69">
        <f>'보험개발원 위험률(1세)'!E51</f>
        <v>5.2599999999999999E-4</v>
      </c>
      <c r="BF51" s="69">
        <f>'보험개발원 위험률(1세)'!E415</f>
        <v>6.0999999999999999E-5</v>
      </c>
      <c r="BG51" s="72">
        <f t="shared" si="72"/>
        <v>6.0967913999999994E-5</v>
      </c>
      <c r="BH51" s="75">
        <f t="shared" si="83"/>
        <v>98627.631173629794</v>
      </c>
      <c r="BI51" s="75">
        <f t="shared" si="73"/>
        <v>6.0131209354175796</v>
      </c>
      <c r="BJ51" s="75">
        <f t="shared" si="74"/>
        <v>39524.460497312262</v>
      </c>
      <c r="BK51" s="75">
        <f t="shared" si="75"/>
        <v>2.3601605372150156</v>
      </c>
      <c r="BL51" s="75">
        <f t="shared" si="76"/>
        <v>1005052.3429930145</v>
      </c>
      <c r="BM51" s="75">
        <f t="shared" si="77"/>
        <v>340.02710388757436</v>
      </c>
    </row>
    <row r="52" spans="1:65" ht="18" customHeight="1">
      <c r="A52" s="66">
        <v>45</v>
      </c>
      <c r="B52" s="69">
        <f>'보험개발원 위험률(1세)'!D52</f>
        <v>9.3000000000000005E-4</v>
      </c>
      <c r="C52" s="69">
        <f>'보험개발원 위험률(1세)'!D254</f>
        <v>2.7620000000000001E-3</v>
      </c>
      <c r="D52" s="72">
        <f t="shared" si="42"/>
        <v>2.7594313400000001E-3</v>
      </c>
      <c r="E52" s="75">
        <f t="shared" si="78"/>
        <v>94542.382488180927</v>
      </c>
      <c r="F52" s="75">
        <f t="shared" si="43"/>
        <v>260.88321319615363</v>
      </c>
      <c r="G52" s="75">
        <f t="shared" si="44"/>
        <v>37108.051316349753</v>
      </c>
      <c r="H52" s="75">
        <f t="shared" si="45"/>
        <v>100.2910085883093</v>
      </c>
      <c r="I52" s="75">
        <f t="shared" si="46"/>
        <v>819017.88175460207</v>
      </c>
      <c r="J52" s="75">
        <f t="shared" si="47"/>
        <v>7486.857698089696</v>
      </c>
      <c r="L52" s="66">
        <v>45</v>
      </c>
      <c r="M52" s="69">
        <f>'보험개발원 위험률(1세)'!E52</f>
        <v>5.5000000000000003E-4</v>
      </c>
      <c r="N52" s="69">
        <f>'보험개발원 위험률(1세)'!E254</f>
        <v>5.0850000000000001E-3</v>
      </c>
      <c r="O52" s="72">
        <f t="shared" si="48"/>
        <v>5.0822032500000003E-3</v>
      </c>
      <c r="P52" s="75">
        <f t="shared" si="79"/>
        <v>91699.423766553839</v>
      </c>
      <c r="Q52" s="75">
        <f t="shared" si="49"/>
        <v>466.03510948950719</v>
      </c>
      <c r="R52" s="75">
        <f t="shared" si="50"/>
        <v>35992.185020663899</v>
      </c>
      <c r="S52" s="75">
        <f t="shared" si="51"/>
        <v>179.15729646093968</v>
      </c>
      <c r="T52" s="75">
        <f t="shared" si="52"/>
        <v>820919.40300942969</v>
      </c>
      <c r="U52" s="75">
        <f t="shared" si="53"/>
        <v>5567.6352838679295</v>
      </c>
      <c r="W52" s="78">
        <v>45</v>
      </c>
      <c r="X52" s="69">
        <f>'보험개발원 위험률(1세)'!D52</f>
        <v>9.3000000000000005E-4</v>
      </c>
      <c r="Y52" s="69">
        <f>'보험개발원 위험률(1세)'!D335</f>
        <v>1.08E-3</v>
      </c>
      <c r="Z52" s="72">
        <f t="shared" si="54"/>
        <v>1.0789956000000001E-3</v>
      </c>
      <c r="AA52" s="75">
        <f t="shared" si="80"/>
        <v>96914.684685250075</v>
      </c>
      <c r="AB52" s="75">
        <f t="shared" si="55"/>
        <v>104.57051835077223</v>
      </c>
      <c r="AC52" s="75">
        <f t="shared" si="56"/>
        <v>38039.184098810954</v>
      </c>
      <c r="AD52" s="75">
        <f t="shared" si="57"/>
        <v>40.199914074639572</v>
      </c>
      <c r="AE52" s="75">
        <f t="shared" si="58"/>
        <v>892489.13494177</v>
      </c>
      <c r="AF52" s="75">
        <f t="shared" si="59"/>
        <v>2994.1267298843864</v>
      </c>
      <c r="AH52" s="78">
        <v>45</v>
      </c>
      <c r="AI52" s="69">
        <f>'보험개발원 위험률(1세)'!E52</f>
        <v>5.5000000000000003E-4</v>
      </c>
      <c r="AJ52" s="69">
        <f>'보험개발원 위험률(1세)'!E335</f>
        <v>6.5649999999999997E-4</v>
      </c>
      <c r="AK52" s="72">
        <f t="shared" si="60"/>
        <v>6.5613892499999989E-4</v>
      </c>
      <c r="AL52" s="75">
        <f t="shared" si="81"/>
        <v>97818.335596108009</v>
      </c>
      <c r="AM52" s="75">
        <f t="shared" si="61"/>
        <v>64.182417563319532</v>
      </c>
      <c r="AN52" s="75">
        <f t="shared" si="62"/>
        <v>38393.868669790267</v>
      </c>
      <c r="AO52" s="75">
        <f t="shared" si="63"/>
        <v>24.673566812524356</v>
      </c>
      <c r="AP52" s="75">
        <f t="shared" si="64"/>
        <v>938929.17822161946</v>
      </c>
      <c r="AQ52" s="75">
        <f t="shared" si="65"/>
        <v>2116.6810060815374</v>
      </c>
      <c r="AS52" s="81">
        <v>45</v>
      </c>
      <c r="AT52" s="69">
        <f>'보험개발원 위험률(1세)'!D52</f>
        <v>9.3000000000000005E-4</v>
      </c>
      <c r="AU52" s="69">
        <f>'보험개발원 위험률(1세)'!D416</f>
        <v>5.8299999999999997E-4</v>
      </c>
      <c r="AV52" s="72">
        <f t="shared" si="66"/>
        <v>5.8245781E-4</v>
      </c>
      <c r="AW52" s="75">
        <f t="shared" si="82"/>
        <v>97640.369624445564</v>
      </c>
      <c r="AX52" s="75">
        <f t="shared" si="67"/>
        <v>56.871395859045087</v>
      </c>
      <c r="AY52" s="75">
        <f t="shared" si="68"/>
        <v>38324.016713078265</v>
      </c>
      <c r="AZ52" s="75">
        <f t="shared" si="69"/>
        <v>21.862999848288904</v>
      </c>
      <c r="BA52" s="75">
        <f t="shared" si="70"/>
        <v>918023.18592550291</v>
      </c>
      <c r="BB52" s="75">
        <f t="shared" si="71"/>
        <v>1198.6866044372396</v>
      </c>
      <c r="BD52" s="81">
        <v>45</v>
      </c>
      <c r="BE52" s="69">
        <f>'보험개발원 위험률(1세)'!E52</f>
        <v>5.5000000000000003E-4</v>
      </c>
      <c r="BF52" s="69">
        <f>'보험개발원 위험률(1세)'!E416</f>
        <v>6.649999999999999E-5</v>
      </c>
      <c r="BG52" s="72">
        <f t="shared" si="72"/>
        <v>6.6463424999999986E-5</v>
      </c>
      <c r="BH52" s="75">
        <f t="shared" si="83"/>
        <v>98569.739918697043</v>
      </c>
      <c r="BI52" s="75">
        <f t="shared" si="73"/>
        <v>6.5512825163558253</v>
      </c>
      <c r="BJ52" s="75">
        <f t="shared" si="74"/>
        <v>38688.796187249929</v>
      </c>
      <c r="BK52" s="75">
        <f t="shared" si="75"/>
        <v>2.5185013748595217</v>
      </c>
      <c r="BL52" s="75">
        <f t="shared" si="76"/>
        <v>965527.88249570224</v>
      </c>
      <c r="BM52" s="75">
        <f t="shared" si="77"/>
        <v>337.66694335035936</v>
      </c>
    </row>
    <row r="53" spans="1:65" ht="18" customHeight="1">
      <c r="A53" s="66">
        <v>46</v>
      </c>
      <c r="B53" s="69">
        <f>'보험개발원 위험률(1세)'!D53</f>
        <v>1.026E-3</v>
      </c>
      <c r="C53" s="69">
        <f>'보험개발원 위험률(1세)'!D255</f>
        <v>2.9104000000000001E-3</v>
      </c>
      <c r="D53" s="72">
        <f t="shared" si="42"/>
        <v>2.9074139296E-3</v>
      </c>
      <c r="E53" s="75">
        <f t="shared" si="78"/>
        <v>94193.574859270768</v>
      </c>
      <c r="F53" s="75">
        <f t="shared" si="43"/>
        <v>273.85971162466421</v>
      </c>
      <c r="G53" s="75">
        <f t="shared" si="44"/>
        <v>36210.718617881386</v>
      </c>
      <c r="H53" s="75">
        <f t="shared" si="45"/>
        <v>103.11415054892696</v>
      </c>
      <c r="I53" s="75">
        <f t="shared" si="46"/>
        <v>781909.83043825231</v>
      </c>
      <c r="J53" s="75">
        <f t="shared" si="47"/>
        <v>7386.5666895013865</v>
      </c>
      <c r="L53" s="66">
        <v>46</v>
      </c>
      <c r="M53" s="69">
        <f>'보험개발원 위험률(1세)'!E53</f>
        <v>5.9400000000000002E-4</v>
      </c>
      <c r="N53" s="69">
        <f>'보험개발원 위험률(1세)'!E255</f>
        <v>5.2316000000000003E-3</v>
      </c>
      <c r="O53" s="72">
        <f t="shared" si="48"/>
        <v>5.2284924296000001E-3</v>
      </c>
      <c r="P53" s="75">
        <f t="shared" si="79"/>
        <v>91182.953973992728</v>
      </c>
      <c r="Q53" s="75">
        <f t="shared" si="49"/>
        <v>476.74938456158623</v>
      </c>
      <c r="R53" s="75">
        <f t="shared" si="50"/>
        <v>35053.349382189932</v>
      </c>
      <c r="S53" s="75">
        <f t="shared" si="51"/>
        <v>179.50653464926927</v>
      </c>
      <c r="T53" s="75">
        <f t="shared" si="52"/>
        <v>784927.2179887658</v>
      </c>
      <c r="U53" s="75">
        <f t="shared" si="53"/>
        <v>5388.47798740699</v>
      </c>
      <c r="W53" s="78">
        <v>46</v>
      </c>
      <c r="X53" s="69">
        <f>'보험개발원 위험률(1세)'!D53</f>
        <v>1.026E-3</v>
      </c>
      <c r="Y53" s="69">
        <f>'보험개발원 위험률(1세)'!D336</f>
        <v>1.1551999999999999E-3</v>
      </c>
      <c r="Z53" s="72">
        <f t="shared" si="54"/>
        <v>1.1540147647999999E-3</v>
      </c>
      <c r="AA53" s="75">
        <f t="shared" si="80"/>
        <v>96719.983510142032</v>
      </c>
      <c r="AB53" s="75">
        <f t="shared" si="55"/>
        <v>111.61628902191643</v>
      </c>
      <c r="AC53" s="75">
        <f t="shared" si="56"/>
        <v>37181.942747628666</v>
      </c>
      <c r="AD53" s="75">
        <f t="shared" si="57"/>
        <v>42.025965636348452</v>
      </c>
      <c r="AE53" s="75">
        <f t="shared" si="58"/>
        <v>854449.95084295899</v>
      </c>
      <c r="AF53" s="75">
        <f t="shared" si="59"/>
        <v>2953.9268158097466</v>
      </c>
      <c r="AH53" s="78">
        <v>46</v>
      </c>
      <c r="AI53" s="69">
        <f>'보험개발원 위험률(1세)'!E53</f>
        <v>5.9400000000000002E-4</v>
      </c>
      <c r="AJ53" s="69">
        <f>'보험개발원 위험률(1세)'!E336</f>
        <v>7.046E-4</v>
      </c>
      <c r="AK53" s="72">
        <f t="shared" si="60"/>
        <v>7.0418146759999997E-4</v>
      </c>
      <c r="AL53" s="75">
        <f t="shared" si="81"/>
        <v>97700.353093966842</v>
      </c>
      <c r="AM53" s="75">
        <f t="shared" si="61"/>
        <v>68.798778026747769</v>
      </c>
      <c r="AN53" s="75">
        <f t="shared" si="62"/>
        <v>37558.82500519717</v>
      </c>
      <c r="AO53" s="75">
        <f t="shared" si="63"/>
        <v>25.904239484320591</v>
      </c>
      <c r="AP53" s="75">
        <f t="shared" si="64"/>
        <v>900535.30955182924</v>
      </c>
      <c r="AQ53" s="75">
        <f t="shared" si="65"/>
        <v>2092.007439269013</v>
      </c>
      <c r="AS53" s="81">
        <v>46</v>
      </c>
      <c r="AT53" s="69">
        <f>'보험개발원 위험률(1세)'!D53</f>
        <v>1.026E-3</v>
      </c>
      <c r="AU53" s="69">
        <f>'보험개발원 위험률(1세)'!D417</f>
        <v>6.3199999999999997E-4</v>
      </c>
      <c r="AV53" s="72">
        <f t="shared" si="66"/>
        <v>6.3135156799999995E-4</v>
      </c>
      <c r="AW53" s="75">
        <f t="shared" si="82"/>
        <v>97492.692684835798</v>
      </c>
      <c r="AX53" s="75">
        <f t="shared" si="67"/>
        <v>61.552164395113209</v>
      </c>
      <c r="AY53" s="75">
        <f t="shared" si="68"/>
        <v>37478.994372859954</v>
      </c>
      <c r="AZ53" s="75">
        <f t="shared" si="69"/>
        <v>23.175731502809317</v>
      </c>
      <c r="BA53" s="75">
        <f t="shared" si="70"/>
        <v>879699.16921242466</v>
      </c>
      <c r="BB53" s="75">
        <f t="shared" si="71"/>
        <v>1176.8236045889507</v>
      </c>
      <c r="BD53" s="81">
        <v>46</v>
      </c>
      <c r="BE53" s="69">
        <f>'보험개발원 위험률(1세)'!E53</f>
        <v>5.9400000000000002E-4</v>
      </c>
      <c r="BF53" s="69">
        <f>'보험개발원 위험률(1세)'!E417</f>
        <v>7.2000000000000002E-5</v>
      </c>
      <c r="BG53" s="72">
        <f t="shared" si="72"/>
        <v>7.1957231999999997E-5</v>
      </c>
      <c r="BH53" s="75">
        <f t="shared" si="83"/>
        <v>98508.975279225415</v>
      </c>
      <c r="BI53" s="75">
        <f t="shared" si="73"/>
        <v>7.0884331882494873</v>
      </c>
      <c r="BJ53" s="75">
        <f t="shared" si="74"/>
        <v>37869.682624332243</v>
      </c>
      <c r="BK53" s="75">
        <f t="shared" si="75"/>
        <v>2.6689495968319732</v>
      </c>
      <c r="BL53" s="75">
        <f t="shared" si="76"/>
        <v>926839.0863084523</v>
      </c>
      <c r="BM53" s="75">
        <f t="shared" si="77"/>
        <v>335.14844197549985</v>
      </c>
    </row>
    <row r="54" spans="1:65" ht="18" customHeight="1">
      <c r="A54" s="66">
        <v>47</v>
      </c>
      <c r="B54" s="69">
        <f>'보험개발원 위험률(1세)'!D54</f>
        <v>1.122E-3</v>
      </c>
      <c r="C54" s="69">
        <f>'보험개발원 위험률(1세)'!D256</f>
        <v>3.0588000000000004E-3</v>
      </c>
      <c r="D54" s="72">
        <f t="shared" si="42"/>
        <v>3.0553680264000004E-3</v>
      </c>
      <c r="E54" s="75">
        <f t="shared" si="78"/>
        <v>93823.07253984049</v>
      </c>
      <c r="F54" s="75">
        <f t="shared" si="43"/>
        <v>286.66401597683654</v>
      </c>
      <c r="G54" s="75">
        <f t="shared" si="44"/>
        <v>35326.431804964734</v>
      </c>
      <c r="H54" s="75">
        <f t="shared" si="45"/>
        <v>105.71523038559187</v>
      </c>
      <c r="I54" s="75">
        <f t="shared" si="46"/>
        <v>745699.11182037089</v>
      </c>
      <c r="J54" s="75">
        <f t="shared" si="47"/>
        <v>7283.4525389524597</v>
      </c>
      <c r="L54" s="66">
        <v>47</v>
      </c>
      <c r="M54" s="69">
        <f>'보험개발원 위험률(1세)'!E54</f>
        <v>6.38E-4</v>
      </c>
      <c r="N54" s="69">
        <f>'보험개발원 위험률(1세)'!E256</f>
        <v>5.3781999999999996E-3</v>
      </c>
      <c r="O54" s="72">
        <f t="shared" si="48"/>
        <v>5.3747687083999995E-3</v>
      </c>
      <c r="P54" s="75">
        <f t="shared" si="79"/>
        <v>90652.041914770598</v>
      </c>
      <c r="Q54" s="75">
        <f t="shared" si="49"/>
        <v>487.23375823607421</v>
      </c>
      <c r="R54" s="75">
        <f t="shared" si="50"/>
        <v>34132.4696579628</v>
      </c>
      <c r="S54" s="75">
        <f t="shared" si="51"/>
        <v>179.68083237809094</v>
      </c>
      <c r="T54" s="75">
        <f t="shared" si="52"/>
        <v>749873.86860657588</v>
      </c>
      <c r="U54" s="75">
        <f t="shared" si="53"/>
        <v>5208.9714527577207</v>
      </c>
      <c r="W54" s="78">
        <v>47</v>
      </c>
      <c r="X54" s="69">
        <f>'보험개발원 위험률(1세)'!D54</f>
        <v>1.122E-3</v>
      </c>
      <c r="Y54" s="69">
        <f>'보험개발원 위험률(1세)'!D337</f>
        <v>1.2304E-3</v>
      </c>
      <c r="Z54" s="72">
        <f t="shared" si="54"/>
        <v>1.2290194912E-3</v>
      </c>
      <c r="AA54" s="75">
        <f t="shared" si="80"/>
        <v>96509.132518038721</v>
      </c>
      <c r="AB54" s="75">
        <f t="shared" si="55"/>
        <v>118.61160494347332</v>
      </c>
      <c r="AC54" s="75">
        <f t="shared" si="56"/>
        <v>36337.79193286474</v>
      </c>
      <c r="AD54" s="75">
        <f t="shared" si="57"/>
        <v>43.741287514849049</v>
      </c>
      <c r="AE54" s="75">
        <f t="shared" si="58"/>
        <v>817268.00809533033</v>
      </c>
      <c r="AF54" s="75">
        <f t="shared" si="59"/>
        <v>2911.9008501733983</v>
      </c>
      <c r="AH54" s="78">
        <v>47</v>
      </c>
      <c r="AI54" s="69">
        <f>'보험개발원 위험률(1세)'!E54</f>
        <v>6.38E-4</v>
      </c>
      <c r="AJ54" s="69">
        <f>'보험개발원 위험률(1세)'!E337</f>
        <v>7.5270000000000003E-4</v>
      </c>
      <c r="AK54" s="72">
        <f t="shared" si="60"/>
        <v>7.5221977739999999E-4</v>
      </c>
      <c r="AL54" s="75">
        <f t="shared" si="81"/>
        <v>97573.520306202263</v>
      </c>
      <c r="AM54" s="75">
        <f t="shared" si="61"/>
        <v>73.396731724865845</v>
      </c>
      <c r="AN54" s="75">
        <f t="shared" si="62"/>
        <v>36738.557134799797</v>
      </c>
      <c r="AO54" s="75">
        <f t="shared" si="63"/>
        <v>27.067060989163839</v>
      </c>
      <c r="AP54" s="75">
        <f t="shared" si="64"/>
        <v>862976.48454663204</v>
      </c>
      <c r="AQ54" s="75">
        <f t="shared" si="65"/>
        <v>2066.1031997846926</v>
      </c>
      <c r="AS54" s="81">
        <v>47</v>
      </c>
      <c r="AT54" s="69">
        <f>'보험개발원 위험률(1세)'!D54</f>
        <v>1.122E-3</v>
      </c>
      <c r="AU54" s="69">
        <f>'보험개발원 위험률(1세)'!D418</f>
        <v>6.8099999999999996E-4</v>
      </c>
      <c r="AV54" s="72">
        <f t="shared" si="66"/>
        <v>6.8023591799999997E-4</v>
      </c>
      <c r="AW54" s="75">
        <f t="shared" si="82"/>
        <v>97331.113017746058</v>
      </c>
      <c r="AX54" s="75">
        <f t="shared" si="67"/>
        <v>66.208119013588231</v>
      </c>
      <c r="AY54" s="75">
        <f t="shared" si="68"/>
        <v>36647.285507119537</v>
      </c>
      <c r="AZ54" s="75">
        <f t="shared" si="69"/>
        <v>24.416062584861454</v>
      </c>
      <c r="BA54" s="75">
        <f t="shared" si="70"/>
        <v>842220.17483956472</v>
      </c>
      <c r="BB54" s="75">
        <f t="shared" si="71"/>
        <v>1153.6478730861413</v>
      </c>
      <c r="BD54" s="81">
        <v>47</v>
      </c>
      <c r="BE54" s="69">
        <f>'보험개발원 위험률(1세)'!E54</f>
        <v>6.38E-4</v>
      </c>
      <c r="BF54" s="69">
        <f>'보험개발원 위험률(1세)'!E418</f>
        <v>7.75E-5</v>
      </c>
      <c r="BG54" s="72">
        <f t="shared" si="72"/>
        <v>7.7450555000000004E-5</v>
      </c>
      <c r="BH54" s="75">
        <f t="shared" si="83"/>
        <v>98443.372514721312</v>
      </c>
      <c r="BI54" s="75">
        <f t="shared" si="73"/>
        <v>7.624493837336912</v>
      </c>
      <c r="BJ54" s="75">
        <f t="shared" si="74"/>
        <v>37066.075450847246</v>
      </c>
      <c r="BK54" s="75">
        <f t="shared" si="75"/>
        <v>2.8117415429382899</v>
      </c>
      <c r="BL54" s="75">
        <f t="shared" si="76"/>
        <v>888969.40368412004</v>
      </c>
      <c r="BM54" s="75">
        <f t="shared" si="77"/>
        <v>332.47949237866789</v>
      </c>
    </row>
    <row r="55" spans="1:65" ht="18" customHeight="1">
      <c r="A55" s="66">
        <v>48</v>
      </c>
      <c r="B55" s="69">
        <f>'보험개발원 위험률(1세)'!D55</f>
        <v>1.2179999999999999E-3</v>
      </c>
      <c r="C55" s="69">
        <f>'보험개발원 위험률(1세)'!D257</f>
        <v>3.2072000000000003E-3</v>
      </c>
      <c r="D55" s="72">
        <f t="shared" si="42"/>
        <v>3.2032936304000003E-3</v>
      </c>
      <c r="E55" s="75">
        <f t="shared" si="78"/>
        <v>93431.139036473949</v>
      </c>
      <c r="F55" s="75">
        <f t="shared" si="43"/>
        <v>299.28737255655381</v>
      </c>
      <c r="G55" s="75">
        <f t="shared" si="44"/>
        <v>34455.299018859812</v>
      </c>
      <c r="H55" s="75">
        <f t="shared" si="45"/>
        <v>108.10033288995204</v>
      </c>
      <c r="I55" s="75">
        <f t="shared" si="46"/>
        <v>710372.68001540611</v>
      </c>
      <c r="J55" s="75">
        <f t="shared" si="47"/>
        <v>7177.7373085668678</v>
      </c>
      <c r="L55" s="66">
        <v>48</v>
      </c>
      <c r="M55" s="69">
        <f>'보험개발원 위험률(1세)'!E55</f>
        <v>6.8199999999999999E-4</v>
      </c>
      <c r="N55" s="69">
        <f>'보험개발원 위험률(1세)'!E257</f>
        <v>5.5247999999999998E-3</v>
      </c>
      <c r="O55" s="72">
        <f t="shared" si="48"/>
        <v>5.5210320864000004E-3</v>
      </c>
      <c r="P55" s="75">
        <f t="shared" si="79"/>
        <v>90106.9721537929</v>
      </c>
      <c r="Q55" s="75">
        <f t="shared" si="49"/>
        <v>497.48348446944198</v>
      </c>
      <c r="R55" s="75">
        <f t="shared" si="50"/>
        <v>33229.421167936322</v>
      </c>
      <c r="S55" s="75">
        <f t="shared" si="51"/>
        <v>179.68726785570601</v>
      </c>
      <c r="T55" s="75">
        <f t="shared" si="52"/>
        <v>715741.39894861309</v>
      </c>
      <c r="U55" s="75">
        <f t="shared" si="53"/>
        <v>5029.2906203796301</v>
      </c>
      <c r="W55" s="78">
        <v>48</v>
      </c>
      <c r="X55" s="69">
        <f>'보험개발원 위험률(1세)'!D55</f>
        <v>1.2179999999999999E-3</v>
      </c>
      <c r="Y55" s="69">
        <f>'보험개발원 위험률(1세)'!D338</f>
        <v>1.3056000000000001E-3</v>
      </c>
      <c r="Z55" s="72">
        <f t="shared" si="54"/>
        <v>1.3040097791999999E-3</v>
      </c>
      <c r="AA55" s="75">
        <f t="shared" si="80"/>
        <v>96282.237666410016</v>
      </c>
      <c r="AB55" s="75">
        <f t="shared" si="55"/>
        <v>125.55297948025725</v>
      </c>
      <c r="AC55" s="75">
        <f t="shared" si="56"/>
        <v>35506.719956673267</v>
      </c>
      <c r="AD55" s="75">
        <f t="shared" si="57"/>
        <v>45.348785554179969</v>
      </c>
      <c r="AE55" s="75">
        <f t="shared" si="58"/>
        <v>780930.21616246563</v>
      </c>
      <c r="AF55" s="75">
        <f t="shared" si="59"/>
        <v>2868.1595626585495</v>
      </c>
      <c r="AH55" s="78">
        <v>48</v>
      </c>
      <c r="AI55" s="69">
        <f>'보험개발원 위험률(1세)'!E55</f>
        <v>6.8199999999999999E-4</v>
      </c>
      <c r="AJ55" s="69">
        <f>'보험개발원 위험률(1세)'!E338</f>
        <v>8.0079999999999995E-4</v>
      </c>
      <c r="AK55" s="72">
        <f t="shared" si="60"/>
        <v>8.0025385439999998E-4</v>
      </c>
      <c r="AL55" s="75">
        <f t="shared" si="81"/>
        <v>97437.871668522028</v>
      </c>
      <c r="AM55" s="75">
        <f t="shared" si="61"/>
        <v>77.975032367267303</v>
      </c>
      <c r="AN55" s="75">
        <f t="shared" si="62"/>
        <v>35932.891739547355</v>
      </c>
      <c r="AO55" s="75">
        <f t="shared" si="63"/>
        <v>28.16399129707218</v>
      </c>
      <c r="AP55" s="75">
        <f t="shared" si="64"/>
        <v>826237.92741183226</v>
      </c>
      <c r="AQ55" s="75">
        <f t="shared" si="65"/>
        <v>2039.0361387955286</v>
      </c>
      <c r="AS55" s="81">
        <v>48</v>
      </c>
      <c r="AT55" s="69">
        <f>'보험개발원 위험률(1세)'!D55</f>
        <v>1.2179999999999999E-3</v>
      </c>
      <c r="AU55" s="69">
        <f>'보험개발원 위험률(1세)'!D419</f>
        <v>7.2999999999999996E-4</v>
      </c>
      <c r="AV55" s="72">
        <f t="shared" si="66"/>
        <v>7.2911085999999997E-4</v>
      </c>
      <c r="AW55" s="75">
        <f t="shared" si="82"/>
        <v>97155.699389926551</v>
      </c>
      <c r="AX55" s="75">
        <f t="shared" si="67"/>
        <v>70.837275536090814</v>
      </c>
      <c r="AY55" s="75">
        <f t="shared" si="68"/>
        <v>35828.832960706561</v>
      </c>
      <c r="AZ55" s="75">
        <f t="shared" si="69"/>
        <v>25.585887573728805</v>
      </c>
      <c r="BA55" s="75">
        <f t="shared" si="70"/>
        <v>805572.88933244522</v>
      </c>
      <c r="BB55" s="75">
        <f t="shared" si="71"/>
        <v>1129.2318105012798</v>
      </c>
      <c r="BD55" s="81">
        <v>48</v>
      </c>
      <c r="BE55" s="69">
        <f>'보험개발원 위험률(1세)'!E55</f>
        <v>6.8199999999999999E-4</v>
      </c>
      <c r="BF55" s="69">
        <f>'보험개발원 위험률(1세)'!E419</f>
        <v>8.2999999999999998E-5</v>
      </c>
      <c r="BG55" s="72">
        <f t="shared" si="72"/>
        <v>8.2943394000000006E-5</v>
      </c>
      <c r="BH55" s="75">
        <f t="shared" si="83"/>
        <v>98372.941149219594</v>
      </c>
      <c r="BI55" s="75">
        <f t="shared" si="73"/>
        <v>8.1593856166785343</v>
      </c>
      <c r="BJ55" s="75">
        <f t="shared" si="74"/>
        <v>36277.724296370485</v>
      </c>
      <c r="BK55" s="75">
        <f t="shared" si="75"/>
        <v>2.9471083053253975</v>
      </c>
      <c r="BL55" s="75">
        <f t="shared" si="76"/>
        <v>851903.32823327277</v>
      </c>
      <c r="BM55" s="75">
        <f t="shared" si="77"/>
        <v>329.66775083572958</v>
      </c>
    </row>
    <row r="56" spans="1:65" ht="18" customHeight="1">
      <c r="A56" s="66">
        <v>49</v>
      </c>
      <c r="B56" s="69">
        <f>'보험개발원 위험률(1세)'!D56</f>
        <v>1.3140000000000001E-3</v>
      </c>
      <c r="C56" s="69">
        <f>'보험개발원 위험률(1세)'!D258</f>
        <v>3.3556000000000002E-3</v>
      </c>
      <c r="D56" s="72">
        <f t="shared" si="42"/>
        <v>3.3511907416000001E-3</v>
      </c>
      <c r="E56" s="75">
        <f t="shared" si="78"/>
        <v>93018.052536570976</v>
      </c>
      <c r="F56" s="75">
        <f t="shared" si="43"/>
        <v>311.72123646221905</v>
      </c>
      <c r="G56" s="75">
        <f t="shared" si="44"/>
        <v>33597.416282834682</v>
      </c>
      <c r="H56" s="75">
        <f t="shared" si="45"/>
        <v>110.27556355408096</v>
      </c>
      <c r="I56" s="75">
        <f t="shared" si="46"/>
        <v>675917.38099654624</v>
      </c>
      <c r="J56" s="75">
        <f t="shared" si="47"/>
        <v>7069.6369756769154</v>
      </c>
      <c r="L56" s="66">
        <v>49</v>
      </c>
      <c r="M56" s="69">
        <f>'보험개발원 위험률(1세)'!E56</f>
        <v>7.2599999999999997E-4</v>
      </c>
      <c r="N56" s="69">
        <f>'보험개발원 위험률(1세)'!E258</f>
        <v>5.6714000000000001E-3</v>
      </c>
      <c r="O56" s="72">
        <f t="shared" si="48"/>
        <v>5.6672825636000001E-3</v>
      </c>
      <c r="P56" s="75">
        <f t="shared" si="79"/>
        <v>89548.035714314581</v>
      </c>
      <c r="Q56" s="75">
        <f t="shared" si="49"/>
        <v>507.49402140836509</v>
      </c>
      <c r="R56" s="75">
        <f t="shared" si="50"/>
        <v>32344.072480136259</v>
      </c>
      <c r="S56" s="75">
        <f t="shared" si="51"/>
        <v>179.53280901321335</v>
      </c>
      <c r="T56" s="75">
        <f t="shared" si="52"/>
        <v>682511.9777806768</v>
      </c>
      <c r="U56" s="75">
        <f t="shared" si="53"/>
        <v>4849.6033525239245</v>
      </c>
      <c r="W56" s="78">
        <v>49</v>
      </c>
      <c r="X56" s="69">
        <f>'보험개발원 위험률(1세)'!D56</f>
        <v>1.3140000000000001E-3</v>
      </c>
      <c r="Y56" s="69">
        <f>'보험개발원 위험률(1세)'!D339</f>
        <v>1.3808000000000002E-3</v>
      </c>
      <c r="Z56" s="72">
        <f t="shared" si="54"/>
        <v>1.3789856288E-3</v>
      </c>
      <c r="AA56" s="75">
        <f t="shared" si="80"/>
        <v>96039.412921452065</v>
      </c>
      <c r="AB56" s="75">
        <f t="shared" si="55"/>
        <v>132.43697021707143</v>
      </c>
      <c r="AC56" s="75">
        <f t="shared" si="56"/>
        <v>34688.708777390035</v>
      </c>
      <c r="AD56" s="75">
        <f t="shared" si="57"/>
        <v>46.851352483495866</v>
      </c>
      <c r="AE56" s="75">
        <f t="shared" si="58"/>
        <v>745423.49620579241</v>
      </c>
      <c r="AF56" s="75">
        <f t="shared" si="59"/>
        <v>2822.8107771043697</v>
      </c>
      <c r="AH56" s="78">
        <v>49</v>
      </c>
      <c r="AI56" s="69">
        <f>'보험개발원 위험률(1세)'!E56</f>
        <v>7.2599999999999997E-4</v>
      </c>
      <c r="AJ56" s="69">
        <f>'보험개발원 위험률(1세)'!E339</f>
        <v>8.4890000000000009E-4</v>
      </c>
      <c r="AK56" s="72">
        <f t="shared" si="60"/>
        <v>8.4828369860000014E-4</v>
      </c>
      <c r="AL56" s="75">
        <f t="shared" si="81"/>
        <v>97293.444007676822</v>
      </c>
      <c r="AM56" s="75">
        <f t="shared" si="61"/>
        <v>82.532442532364115</v>
      </c>
      <c r="AN56" s="75">
        <f t="shared" si="62"/>
        <v>35141.655310741116</v>
      </c>
      <c r="AO56" s="75">
        <f t="shared" si="63"/>
        <v>29.196957239884242</v>
      </c>
      <c r="AP56" s="75">
        <f t="shared" si="64"/>
        <v>790305.0356722849</v>
      </c>
      <c r="AQ56" s="75">
        <f t="shared" si="65"/>
        <v>2010.8721474984563</v>
      </c>
      <c r="AS56" s="81">
        <v>49</v>
      </c>
      <c r="AT56" s="69">
        <f>'보험개발원 위험률(1세)'!D56</f>
        <v>1.3140000000000001E-3</v>
      </c>
      <c r="AU56" s="69">
        <f>'보험개발원 위험률(1세)'!D420</f>
        <v>7.7899999999999996E-4</v>
      </c>
      <c r="AV56" s="72">
        <f t="shared" si="66"/>
        <v>7.7797639399999994E-4</v>
      </c>
      <c r="AW56" s="75">
        <f t="shared" si="82"/>
        <v>96966.526472533529</v>
      </c>
      <c r="AX56" s="75">
        <f t="shared" si="67"/>
        <v>75.437668603807168</v>
      </c>
      <c r="AY56" s="75">
        <f t="shared" si="68"/>
        <v>35023.575172328747</v>
      </c>
      <c r="AZ56" s="75">
        <f t="shared" si="69"/>
        <v>26.687085913375359</v>
      </c>
      <c r="BA56" s="75">
        <f t="shared" si="70"/>
        <v>769744.05637173867</v>
      </c>
      <c r="BB56" s="75">
        <f t="shared" si="71"/>
        <v>1103.6459229275511</v>
      </c>
      <c r="BD56" s="81">
        <v>49</v>
      </c>
      <c r="BE56" s="69">
        <f>'보험개발원 위험률(1세)'!E56</f>
        <v>7.2599999999999997E-4</v>
      </c>
      <c r="BF56" s="69">
        <f>'보험개발원 위험률(1세)'!E420</f>
        <v>8.8499999999999996E-5</v>
      </c>
      <c r="BG56" s="72">
        <f t="shared" si="72"/>
        <v>8.8435748999999992E-5</v>
      </c>
      <c r="BH56" s="75">
        <f t="shared" si="83"/>
        <v>98297.691417739145</v>
      </c>
      <c r="BI56" s="75">
        <f t="shared" si="73"/>
        <v>8.6930299654986332</v>
      </c>
      <c r="BJ56" s="75">
        <f t="shared" si="74"/>
        <v>35504.381871518737</v>
      </c>
      <c r="BK56" s="75">
        <f t="shared" si="75"/>
        <v>3.075275811547288</v>
      </c>
      <c r="BL56" s="75">
        <f t="shared" si="76"/>
        <v>815625.60393690225</v>
      </c>
      <c r="BM56" s="75">
        <f t="shared" si="77"/>
        <v>326.72064253040418</v>
      </c>
    </row>
    <row r="57" spans="1:65" ht="18" customHeight="1">
      <c r="A57" s="66">
        <v>50</v>
      </c>
      <c r="B57" s="69">
        <f>'보험개발원 위험률(1세)'!D57</f>
        <v>1.41E-3</v>
      </c>
      <c r="C57" s="69">
        <f>'보험개발원 위험률(1세)'!D259</f>
        <v>3.5040000000000002E-3</v>
      </c>
      <c r="D57" s="72">
        <f t="shared" si="42"/>
        <v>3.49905936E-3</v>
      </c>
      <c r="E57" s="75">
        <f t="shared" si="78"/>
        <v>92584.105579075695</v>
      </c>
      <c r="F57" s="75">
        <f t="shared" si="43"/>
        <v>323.95728121369302</v>
      </c>
      <c r="G57" s="75">
        <f t="shared" si="44"/>
        <v>32752.867705632041</v>
      </c>
      <c r="H57" s="75">
        <f t="shared" si="45"/>
        <v>112.2470404625206</v>
      </c>
      <c r="I57" s="75">
        <f t="shared" si="46"/>
        <v>642319.96471371152</v>
      </c>
      <c r="J57" s="75">
        <f t="shared" si="47"/>
        <v>6959.3614121228347</v>
      </c>
      <c r="L57" s="66">
        <v>50</v>
      </c>
      <c r="M57" s="69">
        <f>'보험개발원 위험률(1세)'!E57</f>
        <v>7.6999999999999996E-4</v>
      </c>
      <c r="N57" s="69">
        <f>'보험개발원 위험률(1세)'!E259</f>
        <v>5.8180000000000003E-3</v>
      </c>
      <c r="O57" s="72">
        <f t="shared" si="48"/>
        <v>5.8135201400000003E-3</v>
      </c>
      <c r="P57" s="75">
        <f t="shared" si="79"/>
        <v>88975.529818977622</v>
      </c>
      <c r="Q57" s="75">
        <f t="shared" si="49"/>
        <v>517.26103456979695</v>
      </c>
      <c r="R57" s="75">
        <f t="shared" si="50"/>
        <v>31476.285686104984</v>
      </c>
      <c r="S57" s="75">
        <f t="shared" si="51"/>
        <v>179.22431025324687</v>
      </c>
      <c r="T57" s="75">
        <f t="shared" si="52"/>
        <v>650167.9053005405</v>
      </c>
      <c r="U57" s="75">
        <f t="shared" si="53"/>
        <v>4670.0705435107111</v>
      </c>
      <c r="W57" s="78">
        <v>50</v>
      </c>
      <c r="X57" s="69">
        <f>'보험개발원 위험률(1세)'!D57</f>
        <v>1.41E-3</v>
      </c>
      <c r="Y57" s="69">
        <f>'보험개발원 위험률(1세)'!D340</f>
        <v>1.456E-3</v>
      </c>
      <c r="Z57" s="72">
        <f t="shared" si="54"/>
        <v>1.45394704E-3</v>
      </c>
      <c r="AA57" s="75">
        <f t="shared" si="80"/>
        <v>95780.780162656214</v>
      </c>
      <c r="AB57" s="75">
        <f t="shared" si="55"/>
        <v>139.26018180638471</v>
      </c>
      <c r="AC57" s="75">
        <f t="shared" si="56"/>
        <v>33883.734165691378</v>
      </c>
      <c r="AD57" s="75">
        <f t="shared" si="57"/>
        <v>48.251865812295641</v>
      </c>
      <c r="AE57" s="75">
        <f t="shared" si="58"/>
        <v>710734.78742840234</v>
      </c>
      <c r="AF57" s="75">
        <f t="shared" si="59"/>
        <v>2775.959424620874</v>
      </c>
      <c r="AH57" s="78">
        <v>50</v>
      </c>
      <c r="AI57" s="69">
        <f>'보험개발원 위험률(1세)'!E57</f>
        <v>7.6999999999999996E-4</v>
      </c>
      <c r="AJ57" s="69">
        <f>'보험개발원 위험률(1세)'!E340</f>
        <v>8.9700000000000001E-4</v>
      </c>
      <c r="AK57" s="72">
        <f t="shared" si="60"/>
        <v>8.9630930999999993E-4</v>
      </c>
      <c r="AL57" s="75">
        <f t="shared" si="81"/>
        <v>97140.276524794885</v>
      </c>
      <c r="AM57" s="75">
        <f t="shared" si="61"/>
        <v>87.067734225148101</v>
      </c>
      <c r="AN57" s="75">
        <f t="shared" si="62"/>
        <v>34364.674217084816</v>
      </c>
      <c r="AO57" s="75">
        <f t="shared" si="63"/>
        <v>30.167852532703311</v>
      </c>
      <c r="AP57" s="75">
        <f t="shared" si="64"/>
        <v>755163.38036154374</v>
      </c>
      <c r="AQ57" s="75">
        <f t="shared" si="65"/>
        <v>1981.675190258572</v>
      </c>
      <c r="AS57" s="81">
        <v>50</v>
      </c>
      <c r="AT57" s="69">
        <f>'보험개발원 위험률(1세)'!D57</f>
        <v>1.41E-3</v>
      </c>
      <c r="AU57" s="69">
        <f>'보험개발원 위험률(1세)'!D421</f>
        <v>8.2799999999999996E-4</v>
      </c>
      <c r="AV57" s="72">
        <f t="shared" si="66"/>
        <v>8.2683251999999998E-4</v>
      </c>
      <c r="AW57" s="75">
        <f t="shared" si="82"/>
        <v>96763.67478814481</v>
      </c>
      <c r="AX57" s="75">
        <f t="shared" si="67"/>
        <v>80.007353069542233</v>
      </c>
      <c r="AY57" s="75">
        <f t="shared" si="68"/>
        <v>34231.446307379774</v>
      </c>
      <c r="AZ57" s="75">
        <f t="shared" si="69"/>
        <v>27.721521071082773</v>
      </c>
      <c r="BA57" s="75">
        <f t="shared" si="70"/>
        <v>734720.48119940993</v>
      </c>
      <c r="BB57" s="75">
        <f t="shared" si="71"/>
        <v>1076.9588370141757</v>
      </c>
      <c r="BD57" s="81">
        <v>50</v>
      </c>
      <c r="BE57" s="69">
        <f>'보험개발원 위험률(1세)'!E57</f>
        <v>7.6999999999999996E-4</v>
      </c>
      <c r="BF57" s="69">
        <f>'보험개발원 위험률(1세)'!E421</f>
        <v>9.3999999999999994E-5</v>
      </c>
      <c r="BG57" s="72">
        <f t="shared" si="72"/>
        <v>9.3927619999999986E-5</v>
      </c>
      <c r="BH57" s="75">
        <f t="shared" si="83"/>
        <v>98217.634263804357</v>
      </c>
      <c r="BI57" s="75">
        <f t="shared" si="73"/>
        <v>9.2253486284295949</v>
      </c>
      <c r="BJ57" s="75">
        <f t="shared" si="74"/>
        <v>34745.803950711481</v>
      </c>
      <c r="BK57" s="75">
        <f t="shared" si="75"/>
        <v>3.196464907029311</v>
      </c>
      <c r="BL57" s="75">
        <f t="shared" si="76"/>
        <v>780121.22206538345</v>
      </c>
      <c r="BM57" s="75">
        <f t="shared" si="77"/>
        <v>323.64536671885691</v>
      </c>
    </row>
    <row r="58" spans="1:65" ht="18" customHeight="1">
      <c r="A58" s="66">
        <v>51</v>
      </c>
      <c r="B58" s="69">
        <f>'보험개발원 위험률(1세)'!D58</f>
        <v>1.56E-3</v>
      </c>
      <c r="C58" s="69">
        <f>'보험개발원 위험률(1세)'!D260</f>
        <v>3.9838E-3</v>
      </c>
      <c r="D58" s="72">
        <f t="shared" si="42"/>
        <v>3.9775852720000003E-3</v>
      </c>
      <c r="E58" s="75">
        <f t="shared" si="78"/>
        <v>92129.60470899551</v>
      </c>
      <c r="F58" s="75">
        <f t="shared" si="43"/>
        <v>366.4533588056824</v>
      </c>
      <c r="G58" s="75">
        <f t="shared" si="44"/>
        <v>31921.725694275094</v>
      </c>
      <c r="H58" s="75">
        <f t="shared" si="45"/>
        <v>124.35982955766171</v>
      </c>
      <c r="I58" s="75">
        <f t="shared" si="46"/>
        <v>609567.09700807952</v>
      </c>
      <c r="J58" s="75">
        <f t="shared" si="47"/>
        <v>6847.1143716603137</v>
      </c>
      <c r="L58" s="66">
        <v>51</v>
      </c>
      <c r="M58" s="69">
        <f>'보험개발원 위험률(1세)'!E58</f>
        <v>8.2599999999999991E-4</v>
      </c>
      <c r="N58" s="69">
        <f>'보험개발원 위험률(1세)'!E260</f>
        <v>5.8986000000000004E-3</v>
      </c>
      <c r="O58" s="72">
        <f t="shared" si="48"/>
        <v>5.8937277564000004E-3</v>
      </c>
      <c r="P58" s="75">
        <f t="shared" si="79"/>
        <v>88389.757626447215</v>
      </c>
      <c r="Q58" s="75">
        <f t="shared" si="49"/>
        <v>520.94516790446062</v>
      </c>
      <c r="R58" s="75">
        <f t="shared" si="50"/>
        <v>30625.916675179356</v>
      </c>
      <c r="S58" s="75">
        <f t="shared" si="51"/>
        <v>176.78826167845077</v>
      </c>
      <c r="T58" s="75">
        <f t="shared" si="52"/>
        <v>618691.61961443548</v>
      </c>
      <c r="U58" s="75">
        <f t="shared" si="53"/>
        <v>4490.8462332574645</v>
      </c>
      <c r="W58" s="78">
        <v>51</v>
      </c>
      <c r="X58" s="69">
        <f>'보험개발원 위험률(1세)'!D58</f>
        <v>1.56E-3</v>
      </c>
      <c r="Y58" s="69">
        <f>'보험개발원 위험률(1세)'!D341</f>
        <v>1.6197E-3</v>
      </c>
      <c r="Z58" s="72">
        <f t="shared" si="54"/>
        <v>1.617173268E-3</v>
      </c>
      <c r="AA58" s="75">
        <f t="shared" si="80"/>
        <v>95506.469080820476</v>
      </c>
      <c r="AB58" s="75">
        <f t="shared" si="55"/>
        <v>154.4505087185714</v>
      </c>
      <c r="AC58" s="75">
        <f t="shared" si="56"/>
        <v>33091.765862412729</v>
      </c>
      <c r="AD58" s="75">
        <f t="shared" si="57"/>
        <v>52.414416399225111</v>
      </c>
      <c r="AE58" s="75">
        <f t="shared" si="58"/>
        <v>676851.05326271092</v>
      </c>
      <c r="AF58" s="75">
        <f t="shared" si="59"/>
        <v>2727.7075588085781</v>
      </c>
      <c r="AH58" s="78">
        <v>51</v>
      </c>
      <c r="AI58" s="69">
        <f>'보험개발원 위험률(1세)'!E58</f>
        <v>8.2599999999999991E-4</v>
      </c>
      <c r="AJ58" s="69">
        <f>'보험개발원 위험률(1세)'!E341</f>
        <v>9.7689999999999995E-4</v>
      </c>
      <c r="AK58" s="72">
        <f t="shared" si="60"/>
        <v>9.7609308059999991E-4</v>
      </c>
      <c r="AL58" s="75">
        <f t="shared" si="81"/>
        <v>96978.410777645637</v>
      </c>
      <c r="AM58" s="75">
        <f t="shared" si="61"/>
        <v>94.659955727644359</v>
      </c>
      <c r="AN58" s="75">
        <f t="shared" si="62"/>
        <v>33601.774770324941</v>
      </c>
      <c r="AO58" s="75">
        <f t="shared" si="63"/>
        <v>32.12385881409778</v>
      </c>
      <c r="AP58" s="75">
        <f t="shared" si="64"/>
        <v>720798.70614445896</v>
      </c>
      <c r="AQ58" s="75">
        <f t="shared" si="65"/>
        <v>1951.5073377258686</v>
      </c>
      <c r="AS58" s="81">
        <v>51</v>
      </c>
      <c r="AT58" s="69">
        <f>'보험개발원 위험률(1세)'!D58</f>
        <v>1.56E-3</v>
      </c>
      <c r="AU58" s="69">
        <f>'보험개발원 위험률(1세)'!D422</f>
        <v>8.8059999999999994E-4</v>
      </c>
      <c r="AV58" s="72">
        <f t="shared" si="66"/>
        <v>8.7922626399999991E-4</v>
      </c>
      <c r="AW58" s="75">
        <f t="shared" si="82"/>
        <v>96547.230653623978</v>
      </c>
      <c r="AX58" s="75">
        <f t="shared" si="67"/>
        <v>84.886860907132075</v>
      </c>
      <c r="AY58" s="75">
        <f t="shared" si="68"/>
        <v>33452.376390864636</v>
      </c>
      <c r="AZ58" s="75">
        <f t="shared" si="69"/>
        <v>28.807255549521759</v>
      </c>
      <c r="BA58" s="75">
        <f t="shared" si="70"/>
        <v>700489.03489203018</v>
      </c>
      <c r="BB58" s="75">
        <f t="shared" si="71"/>
        <v>1049.2373159430929</v>
      </c>
      <c r="BD58" s="81">
        <v>51</v>
      </c>
      <c r="BE58" s="69">
        <f>'보험개발원 위험률(1세)'!E58</f>
        <v>8.2599999999999991E-4</v>
      </c>
      <c r="BF58" s="69">
        <f>'보험개발원 위험률(1세)'!E422</f>
        <v>1.0619999999999999E-4</v>
      </c>
      <c r="BG58" s="72">
        <f t="shared" si="72"/>
        <v>1.0611227879999999E-4</v>
      </c>
      <c r="BH58" s="75">
        <f t="shared" si="83"/>
        <v>98132.781336792788</v>
      </c>
      <c r="BI58" s="75">
        <f t="shared" si="73"/>
        <v>10.413093052629192</v>
      </c>
      <c r="BJ58" s="75">
        <f t="shared" si="74"/>
        <v>34001.749354553722</v>
      </c>
      <c r="BK58" s="75">
        <f t="shared" si="75"/>
        <v>3.5337934448561459</v>
      </c>
      <c r="BL58" s="75">
        <f t="shared" si="76"/>
        <v>745375.41811467195</v>
      </c>
      <c r="BM58" s="75">
        <f t="shared" si="77"/>
        <v>320.44890181182757</v>
      </c>
    </row>
    <row r="59" spans="1:65" ht="18" customHeight="1">
      <c r="A59" s="66">
        <v>52</v>
      </c>
      <c r="B59" s="69">
        <f>'보험개발원 위험률(1세)'!D59</f>
        <v>1.7100000000000001E-3</v>
      </c>
      <c r="C59" s="69">
        <f>'보험개발원 위험률(1세)'!D261</f>
        <v>4.4635999999999999E-3</v>
      </c>
      <c r="D59" s="72">
        <f t="shared" si="42"/>
        <v>4.4559672439999998E-3</v>
      </c>
      <c r="E59" s="75">
        <f t="shared" si="78"/>
        <v>91619.429166843795</v>
      </c>
      <c r="F59" s="75">
        <f t="shared" si="43"/>
        <v>408.25317528143415</v>
      </c>
      <c r="G59" s="75">
        <f t="shared" si="44"/>
        <v>31092.023914019253</v>
      </c>
      <c r="H59" s="75">
        <f t="shared" si="45"/>
        <v>135.69543595546961</v>
      </c>
      <c r="I59" s="75">
        <f t="shared" si="46"/>
        <v>577645.37131380441</v>
      </c>
      <c r="J59" s="75">
        <f t="shared" si="47"/>
        <v>6722.7545421026516</v>
      </c>
      <c r="L59" s="66">
        <v>52</v>
      </c>
      <c r="M59" s="69">
        <f>'보험개발원 위험률(1세)'!E59</f>
        <v>8.8199999999999997E-4</v>
      </c>
      <c r="N59" s="69">
        <f>'보험개발원 위험률(1세)'!E261</f>
        <v>5.9792000000000005E-3</v>
      </c>
      <c r="O59" s="72">
        <f t="shared" si="48"/>
        <v>5.9739263456000001E-3</v>
      </c>
      <c r="P59" s="75">
        <f t="shared" si="79"/>
        <v>87795.802518743309</v>
      </c>
      <c r="Q59" s="75">
        <f t="shared" si="49"/>
        <v>524.48565769981553</v>
      </c>
      <c r="R59" s="75">
        <f t="shared" si="50"/>
        <v>29794.435703067546</v>
      </c>
      <c r="S59" s="75">
        <f t="shared" si="51"/>
        <v>174.32885837300734</v>
      </c>
      <c r="T59" s="75">
        <f t="shared" si="52"/>
        <v>588065.70293925609</v>
      </c>
      <c r="U59" s="75">
        <f t="shared" si="53"/>
        <v>4314.0579715790136</v>
      </c>
      <c r="W59" s="78">
        <v>52</v>
      </c>
      <c r="X59" s="69">
        <f>'보험개발원 위험률(1세)'!D59</f>
        <v>1.7100000000000001E-3</v>
      </c>
      <c r="Y59" s="69">
        <f>'보험개발원 위험률(1세)'!D342</f>
        <v>1.7834000000000001E-3</v>
      </c>
      <c r="Z59" s="72">
        <f t="shared" si="54"/>
        <v>1.7803503860000002E-3</v>
      </c>
      <c r="AA59" s="75">
        <f t="shared" si="80"/>
        <v>95203.028480335823</v>
      </c>
      <c r="AB59" s="75">
        <f t="shared" si="55"/>
        <v>169.4947485033349</v>
      </c>
      <c r="AC59" s="75">
        <f t="shared" si="56"/>
        <v>32308.156306095752</v>
      </c>
      <c r="AD59" s="75">
        <f t="shared" si="57"/>
        <v>56.336766454951928</v>
      </c>
      <c r="AE59" s="75">
        <f t="shared" si="58"/>
        <v>643759.28740029817</v>
      </c>
      <c r="AF59" s="75">
        <f t="shared" si="59"/>
        <v>2675.2931424093531</v>
      </c>
      <c r="AH59" s="78">
        <v>52</v>
      </c>
      <c r="AI59" s="69">
        <f>'보험개발원 위험률(1세)'!E59</f>
        <v>8.8199999999999997E-4</v>
      </c>
      <c r="AJ59" s="69">
        <f>'보험개발원 위험률(1세)'!E342</f>
        <v>1.0568000000000001E-3</v>
      </c>
      <c r="AK59" s="72">
        <f t="shared" si="60"/>
        <v>1.0558679024E-3</v>
      </c>
      <c r="AL59" s="75">
        <f t="shared" si="81"/>
        <v>96803.646654615673</v>
      </c>
      <c r="AM59" s="75">
        <f t="shared" si="61"/>
        <v>102.21186333787983</v>
      </c>
      <c r="AN59" s="75">
        <f t="shared" si="62"/>
        <v>32851.343040661581</v>
      </c>
      <c r="AO59" s="75">
        <f t="shared" si="63"/>
        <v>33.973240614462469</v>
      </c>
      <c r="AP59" s="75">
        <f t="shared" si="64"/>
        <v>687196.93137413403</v>
      </c>
      <c r="AQ59" s="75">
        <f t="shared" si="65"/>
        <v>1919.3834789117709</v>
      </c>
      <c r="AS59" s="81">
        <v>52</v>
      </c>
      <c r="AT59" s="69">
        <f>'보험개발원 위험률(1세)'!D59</f>
        <v>1.7100000000000001E-3</v>
      </c>
      <c r="AU59" s="69">
        <f>'보험개발원 위험률(1세)'!D423</f>
        <v>9.3319999999999991E-4</v>
      </c>
      <c r="AV59" s="72">
        <f t="shared" si="66"/>
        <v>9.316042279999999E-4</v>
      </c>
      <c r="AW59" s="75">
        <f t="shared" si="82"/>
        <v>96311.730112897189</v>
      </c>
      <c r="AX59" s="75">
        <f t="shared" si="67"/>
        <v>89.724414979169921</v>
      </c>
      <c r="AY59" s="75">
        <f t="shared" si="68"/>
        <v>32684.405950811779</v>
      </c>
      <c r="AZ59" s="75">
        <f t="shared" si="69"/>
        <v>29.822655018065237</v>
      </c>
      <c r="BA59" s="75">
        <f t="shared" si="70"/>
        <v>667036.65850116557</v>
      </c>
      <c r="BB59" s="75">
        <f t="shared" si="71"/>
        <v>1020.430060393571</v>
      </c>
      <c r="BD59" s="81">
        <v>52</v>
      </c>
      <c r="BE59" s="69">
        <f>'보험개발원 위험률(1세)'!E59</f>
        <v>8.8199999999999997E-4</v>
      </c>
      <c r="BF59" s="69">
        <f>'보험개발원 위험률(1세)'!E423</f>
        <v>1.1839999999999999E-4</v>
      </c>
      <c r="BG59" s="72">
        <f t="shared" si="72"/>
        <v>1.1829557119999998E-4</v>
      </c>
      <c r="BH59" s="75">
        <f t="shared" si="83"/>
        <v>98041.310566355969</v>
      </c>
      <c r="BI59" s="75">
        <f t="shared" si="73"/>
        <v>11.597852834643673</v>
      </c>
      <c r="BJ59" s="75">
        <f t="shared" si="74"/>
        <v>33271.357401057459</v>
      </c>
      <c r="BK59" s="75">
        <f t="shared" si="75"/>
        <v>3.8549013010356901</v>
      </c>
      <c r="BL59" s="75">
        <f t="shared" si="76"/>
        <v>711373.66876011819</v>
      </c>
      <c r="BM59" s="75">
        <f t="shared" si="77"/>
        <v>316.91510836697142</v>
      </c>
    </row>
    <row r="60" spans="1:65" ht="18" customHeight="1">
      <c r="A60" s="66">
        <v>53</v>
      </c>
      <c r="B60" s="69">
        <f>'보험개발원 위험률(1세)'!D60</f>
        <v>1.8600000000000001E-3</v>
      </c>
      <c r="C60" s="69">
        <f>'보험개발원 위험률(1세)'!D262</f>
        <v>4.9434000000000006E-3</v>
      </c>
      <c r="D60" s="72">
        <f t="shared" si="42"/>
        <v>4.9342052760000003E-3</v>
      </c>
      <c r="E60" s="75">
        <f t="shared" si="78"/>
        <v>91054.506767687053</v>
      </c>
      <c r="F60" s="75">
        <f t="shared" si="43"/>
        <v>449.28162769669922</v>
      </c>
      <c r="G60" s="75">
        <f t="shared" si="44"/>
        <v>30264.751726753911</v>
      </c>
      <c r="H60" s="75">
        <f t="shared" si="45"/>
        <v>146.26101630458308</v>
      </c>
      <c r="I60" s="75">
        <f t="shared" si="46"/>
        <v>546553.34739978518</v>
      </c>
      <c r="J60" s="75">
        <f t="shared" si="47"/>
        <v>6587.0591061471823</v>
      </c>
      <c r="L60" s="66">
        <v>53</v>
      </c>
      <c r="M60" s="69">
        <f>'보험개발원 위험률(1세)'!E60</f>
        <v>9.3799999999999992E-4</v>
      </c>
      <c r="N60" s="69">
        <f>'보험개발원 위험률(1세)'!E262</f>
        <v>6.0597999999999997E-3</v>
      </c>
      <c r="O60" s="72">
        <f t="shared" si="48"/>
        <v>6.0541159076E-3</v>
      </c>
      <c r="P60" s="75">
        <f t="shared" si="79"/>
        <v>87193.880963221964</v>
      </c>
      <c r="Q60" s="75">
        <f t="shared" si="49"/>
        <v>527.88186178482295</v>
      </c>
      <c r="R60" s="75">
        <f t="shared" si="50"/>
        <v>28981.554599783154</v>
      </c>
      <c r="S60" s="75">
        <f t="shared" si="51"/>
        <v>171.84886457348208</v>
      </c>
      <c r="T60" s="75">
        <f t="shared" si="52"/>
        <v>558271.26723618852</v>
      </c>
      <c r="U60" s="75">
        <f t="shared" si="53"/>
        <v>4139.7291132060063</v>
      </c>
      <c r="W60" s="78">
        <v>53</v>
      </c>
      <c r="X60" s="69">
        <f>'보험개발원 위험률(1세)'!D60</f>
        <v>1.8600000000000001E-3</v>
      </c>
      <c r="Y60" s="69">
        <f>'보험개발원 위험률(1세)'!D343</f>
        <v>1.9471E-3</v>
      </c>
      <c r="Z60" s="72">
        <f t="shared" si="54"/>
        <v>1.9434783940000002E-3</v>
      </c>
      <c r="AA60" s="75">
        <f t="shared" si="80"/>
        <v>94870.736553131122</v>
      </c>
      <c r="AB60" s="75">
        <f t="shared" si="55"/>
        <v>184.37922671387639</v>
      </c>
      <c r="AC60" s="75">
        <f t="shared" si="56"/>
        <v>31533.192478219222</v>
      </c>
      <c r="AD60" s="75">
        <f t="shared" si="57"/>
        <v>60.023583031598818</v>
      </c>
      <c r="AE60" s="75">
        <f t="shared" si="58"/>
        <v>611451.1310942024</v>
      </c>
      <c r="AF60" s="75">
        <f t="shared" si="59"/>
        <v>2618.9563759544012</v>
      </c>
      <c r="AH60" s="78">
        <v>53</v>
      </c>
      <c r="AI60" s="69">
        <f>'보험개발원 위험률(1세)'!E60</f>
        <v>9.3799999999999992E-4</v>
      </c>
      <c r="AJ60" s="69">
        <f>'보험개발원 위험률(1세)'!E343</f>
        <v>1.1367E-3</v>
      </c>
      <c r="AK60" s="72">
        <f t="shared" si="60"/>
        <v>1.1356337754000001E-3</v>
      </c>
      <c r="AL60" s="75">
        <f t="shared" si="81"/>
        <v>96616.053974928422</v>
      </c>
      <c r="AM60" s="75">
        <f t="shared" si="61"/>
        <v>109.72045413979815</v>
      </c>
      <c r="AN60" s="75">
        <f t="shared" si="62"/>
        <v>32113.302132646768</v>
      </c>
      <c r="AO60" s="75">
        <f t="shared" si="63"/>
        <v>35.718854594964277</v>
      </c>
      <c r="AP60" s="75">
        <f t="shared" si="64"/>
        <v>654345.58833347249</v>
      </c>
      <c r="AQ60" s="75">
        <f t="shared" si="65"/>
        <v>1885.4102382973085</v>
      </c>
      <c r="AS60" s="81">
        <v>53</v>
      </c>
      <c r="AT60" s="69">
        <f>'보험개발원 위험률(1세)'!D60</f>
        <v>1.8600000000000001E-3</v>
      </c>
      <c r="AU60" s="69">
        <f>'보험개발원 위험률(1세)'!D424</f>
        <v>9.858E-4</v>
      </c>
      <c r="AV60" s="72">
        <f t="shared" si="66"/>
        <v>9.8396641200000005E-4</v>
      </c>
      <c r="AW60" s="75">
        <f t="shared" si="82"/>
        <v>96057.31263942497</v>
      </c>
      <c r="AX60" s="75">
        <f t="shared" si="67"/>
        <v>94.517169264177241</v>
      </c>
      <c r="AY60" s="75">
        <f t="shared" si="68"/>
        <v>31927.587351481343</v>
      </c>
      <c r="AZ60" s="75">
        <f t="shared" si="69"/>
        <v>30.769513780659828</v>
      </c>
      <c r="BA60" s="75">
        <f t="shared" si="70"/>
        <v>634352.25255035376</v>
      </c>
      <c r="BB60" s="75">
        <f t="shared" si="71"/>
        <v>990.60740537550578</v>
      </c>
      <c r="BD60" s="81">
        <v>53</v>
      </c>
      <c r="BE60" s="69">
        <f>'보험개발원 위험률(1세)'!E60</f>
        <v>9.3799999999999992E-4</v>
      </c>
      <c r="BF60" s="69">
        <f>'보험개발원 위험률(1세)'!E424</f>
        <v>1.306E-4</v>
      </c>
      <c r="BG60" s="72">
        <f t="shared" si="72"/>
        <v>1.3047749719999999E-4</v>
      </c>
      <c r="BH60" s="75">
        <f t="shared" si="83"/>
        <v>97943.240277601799</v>
      </c>
      <c r="BI60" s="75">
        <f t="shared" si="73"/>
        <v>12.779388859079715</v>
      </c>
      <c r="BJ60" s="75">
        <f t="shared" si="74"/>
        <v>32554.433114203108</v>
      </c>
      <c r="BK60" s="75">
        <f t="shared" si="75"/>
        <v>4.1602555881547731</v>
      </c>
      <c r="BL60" s="75">
        <f t="shared" si="76"/>
        <v>678102.3113590607</v>
      </c>
      <c r="BM60" s="75">
        <f t="shared" si="77"/>
        <v>313.06020706593574</v>
      </c>
    </row>
    <row r="61" spans="1:65" ht="18" customHeight="1">
      <c r="A61" s="66">
        <v>54</v>
      </c>
      <c r="B61" s="69">
        <f>'보험개발원 위험률(1세)'!D61</f>
        <v>2.0100000000000001E-3</v>
      </c>
      <c r="C61" s="69">
        <f>'보험개발원 위험률(1세)'!D263</f>
        <v>5.4232000000000004E-3</v>
      </c>
      <c r="D61" s="72">
        <f t="shared" si="42"/>
        <v>5.4122993680000009E-3</v>
      </c>
      <c r="E61" s="75">
        <f t="shared" si="78"/>
        <v>90435.863757402447</v>
      </c>
      <c r="F61" s="75">
        <f t="shared" si="43"/>
        <v>489.46596825872342</v>
      </c>
      <c r="G61" s="75">
        <f t="shared" si="44"/>
        <v>29440.868551317508</v>
      </c>
      <c r="H61" s="75">
        <f t="shared" si="45"/>
        <v>156.06542042474715</v>
      </c>
      <c r="I61" s="75">
        <f t="shared" si="46"/>
        <v>516288.59567303123</v>
      </c>
      <c r="J61" s="75">
        <f t="shared" si="47"/>
        <v>6440.7980898425994</v>
      </c>
      <c r="L61" s="66">
        <v>54</v>
      </c>
      <c r="M61" s="69">
        <f>'보험개발원 위험률(1세)'!E61</f>
        <v>9.9399999999999987E-4</v>
      </c>
      <c r="N61" s="69">
        <f>'보험개발원 위험률(1세)'!E263</f>
        <v>6.1403999999999999E-3</v>
      </c>
      <c r="O61" s="72">
        <f t="shared" si="48"/>
        <v>6.1342964423999995E-3</v>
      </c>
      <c r="P61" s="75">
        <f t="shared" si="79"/>
        <v>86584.211241093653</v>
      </c>
      <c r="Q61" s="75">
        <f t="shared" si="49"/>
        <v>531.13321898425079</v>
      </c>
      <c r="R61" s="75">
        <f t="shared" si="50"/>
        <v>28186.985515023549</v>
      </c>
      <c r="S61" s="75">
        <f t="shared" si="51"/>
        <v>169.35095491360357</v>
      </c>
      <c r="T61" s="75">
        <f t="shared" si="52"/>
        <v>529289.71263640537</v>
      </c>
      <c r="U61" s="75">
        <f t="shared" si="53"/>
        <v>3967.8802486325239</v>
      </c>
      <c r="W61" s="78">
        <v>54</v>
      </c>
      <c r="X61" s="69">
        <f>'보험개발원 위험률(1세)'!D61</f>
        <v>2.0100000000000001E-3</v>
      </c>
      <c r="Y61" s="69">
        <f>'보험개발원 위험률(1세)'!D344</f>
        <v>2.1107999999999999E-3</v>
      </c>
      <c r="Z61" s="72">
        <f t="shared" si="54"/>
        <v>2.1065572919999999E-3</v>
      </c>
      <c r="AA61" s="75">
        <f t="shared" si="80"/>
        <v>94509.897756428429</v>
      </c>
      <c r="AB61" s="75">
        <f t="shared" si="55"/>
        <v>199.09051428497875</v>
      </c>
      <c r="AC61" s="75">
        <f t="shared" si="56"/>
        <v>30767.146583677259</v>
      </c>
      <c r="AD61" s="75">
        <f t="shared" si="57"/>
        <v>63.479683633573181</v>
      </c>
      <c r="AE61" s="75">
        <f t="shared" si="58"/>
        <v>579917.93861598324</v>
      </c>
      <c r="AF61" s="75">
        <f t="shared" si="59"/>
        <v>2558.9327929228025</v>
      </c>
      <c r="AH61" s="78">
        <v>54</v>
      </c>
      <c r="AI61" s="69">
        <f>'보험개발원 위험률(1세)'!E61</f>
        <v>9.9399999999999987E-4</v>
      </c>
      <c r="AJ61" s="69">
        <f>'보험개발원 위험률(1세)'!E344</f>
        <v>1.2166E-3</v>
      </c>
      <c r="AK61" s="72">
        <f t="shared" si="60"/>
        <v>1.2153906995999999E-3</v>
      </c>
      <c r="AL61" s="75">
        <f t="shared" si="81"/>
        <v>96415.707662160145</v>
      </c>
      <c r="AM61" s="75">
        <f t="shared" si="61"/>
        <v>117.18275438794188</v>
      </c>
      <c r="AN61" s="75">
        <f t="shared" si="62"/>
        <v>31387.571894911747</v>
      </c>
      <c r="AO61" s="75">
        <f t="shared" si="63"/>
        <v>37.363528858082354</v>
      </c>
      <c r="AP61" s="75">
        <f t="shared" si="64"/>
        <v>622232.28620082571</v>
      </c>
      <c r="AQ61" s="75">
        <f t="shared" si="65"/>
        <v>1849.6913837023442</v>
      </c>
      <c r="AS61" s="81">
        <v>54</v>
      </c>
      <c r="AT61" s="69">
        <f>'보험개발원 위험률(1세)'!D61</f>
        <v>2.0100000000000001E-3</v>
      </c>
      <c r="AU61" s="69">
        <f>'보험개발원 위험률(1세)'!D425</f>
        <v>1.0383999999999999E-3</v>
      </c>
      <c r="AV61" s="72">
        <f t="shared" si="66"/>
        <v>1.0363128159999999E-3</v>
      </c>
      <c r="AW61" s="75">
        <f t="shared" si="82"/>
        <v>95784.128868651474</v>
      </c>
      <c r="AX61" s="75">
        <f t="shared" si="67"/>
        <v>99.262320315979096</v>
      </c>
      <c r="AY61" s="75">
        <f t="shared" si="68"/>
        <v>31181.965098371737</v>
      </c>
      <c r="AZ61" s="75">
        <f t="shared" si="69"/>
        <v>31.649627874150173</v>
      </c>
      <c r="BA61" s="75">
        <f t="shared" si="70"/>
        <v>602424.66519887245</v>
      </c>
      <c r="BB61" s="75">
        <f t="shared" si="71"/>
        <v>959.83789159484593</v>
      </c>
      <c r="BD61" s="81">
        <v>54</v>
      </c>
      <c r="BE61" s="69">
        <f>'보험개발원 위험률(1세)'!E61</f>
        <v>9.9399999999999987E-4</v>
      </c>
      <c r="BF61" s="69">
        <f>'보험개발원 위험률(1세)'!E425</f>
        <v>1.428E-4</v>
      </c>
      <c r="BG61" s="72">
        <f t="shared" si="72"/>
        <v>1.4265805679999999E-4</v>
      </c>
      <c r="BH61" s="75">
        <f t="shared" si="83"/>
        <v>97838.590129362332</v>
      </c>
      <c r="BI61" s="75">
        <f t="shared" si="73"/>
        <v>13.957463147906491</v>
      </c>
      <c r="BJ61" s="75">
        <f t="shared" si="74"/>
        <v>31850.782992151308</v>
      </c>
      <c r="BK61" s="75">
        <f t="shared" si="75"/>
        <v>4.4503142107921603</v>
      </c>
      <c r="BL61" s="75">
        <f t="shared" si="76"/>
        <v>645547.87824485754</v>
      </c>
      <c r="BM61" s="75">
        <f t="shared" si="77"/>
        <v>308.89995147778097</v>
      </c>
    </row>
    <row r="62" spans="1:65" ht="18" customHeight="1">
      <c r="A62" s="66">
        <v>55</v>
      </c>
      <c r="B62" s="69">
        <f>'보험개발원 위험률(1세)'!D62</f>
        <v>2.16E-3</v>
      </c>
      <c r="C62" s="69">
        <f>'보험개발원 위험률(1세)'!D264</f>
        <v>5.9030000000000003E-3</v>
      </c>
      <c r="D62" s="72">
        <f t="shared" si="42"/>
        <v>5.8902495199999998E-3</v>
      </c>
      <c r="E62" s="75">
        <f t="shared" si="78"/>
        <v>89764.621702991353</v>
      </c>
      <c r="F62" s="75">
        <f t="shared" si="43"/>
        <v>528.73601989902636</v>
      </c>
      <c r="G62" s="75">
        <f t="shared" si="44"/>
        <v>28621.302263737212</v>
      </c>
      <c r="H62" s="75">
        <f t="shared" si="45"/>
        <v>165.11911059819101</v>
      </c>
      <c r="I62" s="75">
        <f t="shared" si="46"/>
        <v>486847.72712171375</v>
      </c>
      <c r="J62" s="75">
        <f t="shared" si="47"/>
        <v>6284.7326694178519</v>
      </c>
      <c r="L62" s="66">
        <v>55</v>
      </c>
      <c r="M62" s="69">
        <f>'보험개발원 위험률(1세)'!E62</f>
        <v>1.0499999999999999E-3</v>
      </c>
      <c r="N62" s="69">
        <f>'보험개발원 위험률(1세)'!E264</f>
        <v>6.221E-3</v>
      </c>
      <c r="O62" s="72">
        <f t="shared" si="48"/>
        <v>6.2144679500000001E-3</v>
      </c>
      <c r="P62" s="75">
        <f t="shared" si="79"/>
        <v>85967.013316135752</v>
      </c>
      <c r="Q62" s="75">
        <f t="shared" si="49"/>
        <v>534.23924901034889</v>
      </c>
      <c r="R62" s="75">
        <f t="shared" si="50"/>
        <v>27410.441064108545</v>
      </c>
      <c r="S62" s="75">
        <f t="shared" si="51"/>
        <v>166.83771546353231</v>
      </c>
      <c r="T62" s="75">
        <f t="shared" si="52"/>
        <v>501102.72712138179</v>
      </c>
      <c r="U62" s="75">
        <f t="shared" si="53"/>
        <v>3798.5292937189201</v>
      </c>
      <c r="W62" s="78">
        <v>55</v>
      </c>
      <c r="X62" s="69">
        <f>'보험개발원 위험률(1세)'!D62</f>
        <v>2.16E-3</v>
      </c>
      <c r="Y62" s="69">
        <f>'보험개발원 위험률(1세)'!D345</f>
        <v>2.2745E-3</v>
      </c>
      <c r="Z62" s="72">
        <f t="shared" si="54"/>
        <v>2.2695870800000001E-3</v>
      </c>
      <c r="AA62" s="75">
        <f t="shared" si="80"/>
        <v>94120.84234765303</v>
      </c>
      <c r="AB62" s="75">
        <f t="shared" si="55"/>
        <v>213.61544775095018</v>
      </c>
      <c r="AC62" s="75">
        <f t="shared" si="56"/>
        <v>30010.276064695579</v>
      </c>
      <c r="AD62" s="75">
        <f t="shared" si="57"/>
        <v>66.710024313091424</v>
      </c>
      <c r="AE62" s="75">
        <f t="shared" si="58"/>
        <v>549150.79203230597</v>
      </c>
      <c r="AF62" s="75">
        <f t="shared" si="59"/>
        <v>2495.4531092892294</v>
      </c>
      <c r="AH62" s="78">
        <v>55</v>
      </c>
      <c r="AI62" s="69">
        <f>'보험개발원 위험률(1세)'!E62</f>
        <v>1.0499999999999999E-3</v>
      </c>
      <c r="AJ62" s="69">
        <f>'보험개발원 위험률(1세)'!E345</f>
        <v>1.2964999999999999E-3</v>
      </c>
      <c r="AK62" s="72">
        <f t="shared" si="60"/>
        <v>1.2951386749999998E-3</v>
      </c>
      <c r="AL62" s="75">
        <f t="shared" si="81"/>
        <v>96202.687694356006</v>
      </c>
      <c r="AM62" s="75">
        <f t="shared" si="61"/>
        <v>124.59582147190703</v>
      </c>
      <c r="AN62" s="75">
        <f t="shared" si="62"/>
        <v>30674.06903573369</v>
      </c>
      <c r="AO62" s="75">
        <f t="shared" si="63"/>
        <v>38.910061829381647</v>
      </c>
      <c r="AP62" s="75">
        <f t="shared" si="64"/>
        <v>590844.71430591401</v>
      </c>
      <c r="AQ62" s="75">
        <f t="shared" si="65"/>
        <v>1812.3278548442618</v>
      </c>
      <c r="AS62" s="81">
        <v>55</v>
      </c>
      <c r="AT62" s="69">
        <f>'보험개발원 위험률(1세)'!D62</f>
        <v>2.16E-3</v>
      </c>
      <c r="AU62" s="69">
        <f>'보험개발원 위험률(1세)'!D426</f>
        <v>1.091E-3</v>
      </c>
      <c r="AV62" s="72">
        <f t="shared" si="66"/>
        <v>1.0886434399999998E-3</v>
      </c>
      <c r="AW62" s="75">
        <f t="shared" si="82"/>
        <v>95492.340449309515</v>
      </c>
      <c r="AX62" s="75">
        <f t="shared" si="67"/>
        <v>103.95711000038743</v>
      </c>
      <c r="AY62" s="75">
        <f t="shared" si="68"/>
        <v>30447.575982825176</v>
      </c>
      <c r="AZ62" s="75">
        <f t="shared" si="69"/>
        <v>32.46479320039586</v>
      </c>
      <c r="BA62" s="75">
        <f t="shared" si="70"/>
        <v>571242.70010050072</v>
      </c>
      <c r="BB62" s="75">
        <f t="shared" si="71"/>
        <v>928.18826372069577</v>
      </c>
      <c r="BD62" s="81">
        <v>55</v>
      </c>
      <c r="BE62" s="69">
        <f>'보험개발원 위험률(1세)'!E62</f>
        <v>1.0499999999999999E-3</v>
      </c>
      <c r="BF62" s="69">
        <f>'보험개발원 위험률(1세)'!E426</f>
        <v>1.55E-4</v>
      </c>
      <c r="BG62" s="72">
        <f t="shared" si="72"/>
        <v>1.5483725000000001E-4</v>
      </c>
      <c r="BH62" s="75">
        <f t="shared" si="83"/>
        <v>97727.381107625843</v>
      </c>
      <c r="BI62" s="75">
        <f t="shared" si="73"/>
        <v>15.131838940406741</v>
      </c>
      <c r="BJ62" s="75">
        <f t="shared" si="74"/>
        <v>31160.215027471</v>
      </c>
      <c r="BK62" s="75">
        <f t="shared" si="75"/>
        <v>4.7255259591207492</v>
      </c>
      <c r="BL62" s="75">
        <f t="shared" si="76"/>
        <v>613697.0952527062</v>
      </c>
      <c r="BM62" s="75">
        <f t="shared" si="77"/>
        <v>304.44963726698882</v>
      </c>
    </row>
    <row r="63" spans="1:65" ht="18" customHeight="1">
      <c r="A63" s="66">
        <v>56</v>
      </c>
      <c r="B63" s="69">
        <f>'보험개발원 위험률(1세)'!D63</f>
        <v>2.4060000000000002E-3</v>
      </c>
      <c r="C63" s="69">
        <f>'보험개발원 위험률(1세)'!D265</f>
        <v>6.3828000000000001E-3</v>
      </c>
      <c r="D63" s="72">
        <f t="shared" si="42"/>
        <v>6.3674429831999998E-3</v>
      </c>
      <c r="E63" s="75">
        <f t="shared" si="78"/>
        <v>89041.994100213866</v>
      </c>
      <c r="F63" s="75">
        <f t="shared" si="43"/>
        <v>566.9698205435426</v>
      </c>
      <c r="G63" s="75">
        <f t="shared" si="44"/>
        <v>27806.947736461105</v>
      </c>
      <c r="H63" s="75">
        <f t="shared" si="45"/>
        <v>173.41738907809835</v>
      </c>
      <c r="I63" s="75">
        <f t="shared" si="46"/>
        <v>458226.42485797656</v>
      </c>
      <c r="J63" s="75">
        <f t="shared" si="47"/>
        <v>6119.6135588196612</v>
      </c>
      <c r="L63" s="66">
        <v>56</v>
      </c>
      <c r="M63" s="69">
        <f>'보험개발원 위험률(1세)'!E63</f>
        <v>1.1179999999999999E-3</v>
      </c>
      <c r="N63" s="69">
        <f>'보험개발원 위험률(1세)'!E265</f>
        <v>6.3016000000000001E-3</v>
      </c>
      <c r="O63" s="72">
        <f t="shared" si="48"/>
        <v>6.2945548112000003E-3</v>
      </c>
      <c r="P63" s="75">
        <f t="shared" si="79"/>
        <v>85342.508703143452</v>
      </c>
      <c r="Q63" s="75">
        <f t="shared" si="49"/>
        <v>537.19309875724957</v>
      </c>
      <c r="R63" s="75">
        <f t="shared" si="50"/>
        <v>26651.634469640514</v>
      </c>
      <c r="S63" s="75">
        <f t="shared" si="51"/>
        <v>164.30967088855974</v>
      </c>
      <c r="T63" s="75">
        <f t="shared" si="52"/>
        <v>473692.28605727322</v>
      </c>
      <c r="U63" s="75">
        <f t="shared" si="53"/>
        <v>3631.6915782553879</v>
      </c>
      <c r="W63" s="78">
        <v>56</v>
      </c>
      <c r="X63" s="69">
        <f>'보험개발원 위험률(1세)'!D63</f>
        <v>2.4060000000000002E-3</v>
      </c>
      <c r="Y63" s="69">
        <f>'보험개발원 위험률(1세)'!D346</f>
        <v>2.4381999999999997E-3</v>
      </c>
      <c r="Z63" s="72">
        <f t="shared" si="54"/>
        <v>2.4323336907999997E-3</v>
      </c>
      <c r="AA63" s="75">
        <f t="shared" si="80"/>
        <v>93703.925880431154</v>
      </c>
      <c r="AB63" s="75">
        <f t="shared" si="55"/>
        <v>227.91921587919873</v>
      </c>
      <c r="AC63" s="75">
        <f t="shared" si="56"/>
        <v>29262.823637191163</v>
      </c>
      <c r="AD63" s="75">
        <f t="shared" si="57"/>
        <v>69.712979256296435</v>
      </c>
      <c r="AE63" s="75">
        <f t="shared" si="58"/>
        <v>519140.51596761041</v>
      </c>
      <c r="AF63" s="75">
        <f t="shared" si="59"/>
        <v>2428.7430849761381</v>
      </c>
      <c r="AH63" s="78">
        <v>56</v>
      </c>
      <c r="AI63" s="69">
        <f>'보험개발원 위험률(1세)'!E63</f>
        <v>1.1179999999999999E-3</v>
      </c>
      <c r="AJ63" s="69">
        <f>'보험개발원 위험률(1세)'!E346</f>
        <v>1.3763999999999998E-3</v>
      </c>
      <c r="AK63" s="72">
        <f t="shared" si="60"/>
        <v>1.3748611848E-3</v>
      </c>
      <c r="AL63" s="75">
        <f t="shared" si="81"/>
        <v>95977.079050805012</v>
      </c>
      <c r="AM63" s="75">
        <f t="shared" si="61"/>
        <v>131.95516061743302</v>
      </c>
      <c r="AN63" s="75">
        <f t="shared" si="62"/>
        <v>29972.707238117895</v>
      </c>
      <c r="AO63" s="75">
        <f t="shared" si="63"/>
        <v>40.36073632229413</v>
      </c>
      <c r="AP63" s="75">
        <f t="shared" si="64"/>
        <v>560170.64527018031</v>
      </c>
      <c r="AQ63" s="75">
        <f t="shared" si="65"/>
        <v>1773.4177930148801</v>
      </c>
      <c r="AS63" s="81">
        <v>56</v>
      </c>
      <c r="AT63" s="69">
        <f>'보험개발원 위험률(1세)'!D63</f>
        <v>2.4060000000000002E-3</v>
      </c>
      <c r="AU63" s="69">
        <f>'보험개발원 위험률(1세)'!D427</f>
        <v>1.1435999999999998E-3</v>
      </c>
      <c r="AV63" s="72">
        <f t="shared" si="66"/>
        <v>1.1408484983999997E-3</v>
      </c>
      <c r="AW63" s="75">
        <f t="shared" si="82"/>
        <v>95182.11988393862</v>
      </c>
      <c r="AX63" s="75">
        <f t="shared" si="67"/>
        <v>108.58837854412013</v>
      </c>
      <c r="AY63" s="75">
        <f t="shared" si="68"/>
        <v>29724.4492309938</v>
      </c>
      <c r="AZ63" s="75">
        <f t="shared" si="69"/>
        <v>33.213607513169748</v>
      </c>
      <c r="BA63" s="75">
        <f t="shared" si="70"/>
        <v>540795.12411767559</v>
      </c>
      <c r="BB63" s="75">
        <f t="shared" si="71"/>
        <v>895.72347052029988</v>
      </c>
      <c r="BD63" s="81">
        <v>56</v>
      </c>
      <c r="BE63" s="69">
        <f>'보험개발원 위험률(1세)'!E63</f>
        <v>1.1179999999999999E-3</v>
      </c>
      <c r="BF63" s="69">
        <f>'보험개발원 위험률(1세)'!E427</f>
        <v>1.672E-4</v>
      </c>
      <c r="BG63" s="72">
        <f t="shared" si="72"/>
        <v>1.6701307039999999E-4</v>
      </c>
      <c r="BH63" s="75">
        <f t="shared" si="83"/>
        <v>97609.635518522438</v>
      </c>
      <c r="BI63" s="75">
        <f t="shared" si="73"/>
        <v>16.302084928573329</v>
      </c>
      <c r="BJ63" s="75">
        <f t="shared" si="74"/>
        <v>30482.538726432813</v>
      </c>
      <c r="BK63" s="75">
        <f t="shared" si="75"/>
        <v>4.986270701555779</v>
      </c>
      <c r="BL63" s="75">
        <f t="shared" si="76"/>
        <v>582536.88022523525</v>
      </c>
      <c r="BM63" s="75">
        <f t="shared" si="77"/>
        <v>299.72411130786804</v>
      </c>
    </row>
    <row r="64" spans="1:65" ht="18" customHeight="1">
      <c r="A64" s="66">
        <v>57</v>
      </c>
      <c r="B64" s="69">
        <f>'보험개발원 위험률(1세)'!D64</f>
        <v>2.6519999999999998E-3</v>
      </c>
      <c r="C64" s="69">
        <f>'보험개발원 위험률(1세)'!D266</f>
        <v>6.8626000000000008E-3</v>
      </c>
      <c r="D64" s="72">
        <f t="shared" si="42"/>
        <v>6.8444003848000005E-3</v>
      </c>
      <c r="E64" s="75">
        <f t="shared" si="78"/>
        <v>88260.789241865205</v>
      </c>
      <c r="F64" s="75">
        <f t="shared" si="43"/>
        <v>604.09217984977397</v>
      </c>
      <c r="G64" s="75">
        <f t="shared" si="44"/>
        <v>26996.067645404943</v>
      </c>
      <c r="H64" s="75">
        <f t="shared" si="45"/>
        <v>180.97149439793969</v>
      </c>
      <c r="I64" s="75">
        <f t="shared" si="46"/>
        <v>430419.47712151543</v>
      </c>
      <c r="J64" s="75">
        <f t="shared" si="47"/>
        <v>5946.1961697415627</v>
      </c>
      <c r="L64" s="66">
        <v>57</v>
      </c>
      <c r="M64" s="69">
        <f>'보험개발원 위험률(1세)'!E64</f>
        <v>1.186E-3</v>
      </c>
      <c r="N64" s="69">
        <f>'보험개발원 위험률(1세)'!E266</f>
        <v>6.3822000000000002E-3</v>
      </c>
      <c r="O64" s="72">
        <f t="shared" si="48"/>
        <v>6.3746307107999996E-3</v>
      </c>
      <c r="P64" s="75">
        <f t="shared" si="79"/>
        <v>84709.902679656079</v>
      </c>
      <c r="Q64" s="75">
        <f t="shared" si="49"/>
        <v>539.99434713061487</v>
      </c>
      <c r="R64" s="75">
        <f t="shared" si="50"/>
        <v>25909.968431269575</v>
      </c>
      <c r="S64" s="75">
        <f t="shared" si="51"/>
        <v>161.76932465997015</v>
      </c>
      <c r="T64" s="75">
        <f t="shared" si="52"/>
        <v>447040.65158763272</v>
      </c>
      <c r="U64" s="75">
        <f t="shared" si="53"/>
        <v>3467.3819073668283</v>
      </c>
      <c r="W64" s="78">
        <v>57</v>
      </c>
      <c r="X64" s="69">
        <f>'보험개발원 위험률(1세)'!D64</f>
        <v>2.6519999999999998E-3</v>
      </c>
      <c r="Y64" s="69">
        <f>'보험개발원 위험률(1세)'!D347</f>
        <v>2.6018999999999999E-3</v>
      </c>
      <c r="Z64" s="72">
        <f t="shared" si="54"/>
        <v>2.5949997611999999E-3</v>
      </c>
      <c r="AA64" s="75">
        <f t="shared" si="80"/>
        <v>93250.555018883635</v>
      </c>
      <c r="AB64" s="75">
        <f t="shared" si="55"/>
        <v>241.98516800577048</v>
      </c>
      <c r="AC64" s="75">
        <f t="shared" si="56"/>
        <v>28522.272606953386</v>
      </c>
      <c r="AD64" s="75">
        <f t="shared" si="57"/>
        <v>72.492938887292183</v>
      </c>
      <c r="AE64" s="75">
        <f t="shared" si="58"/>
        <v>489877.69233041926</v>
      </c>
      <c r="AF64" s="75">
        <f t="shared" si="59"/>
        <v>2359.0301057198417</v>
      </c>
      <c r="AH64" s="78">
        <v>57</v>
      </c>
      <c r="AI64" s="69">
        <f>'보험개발원 위험률(1세)'!E64</f>
        <v>1.186E-3</v>
      </c>
      <c r="AJ64" s="69">
        <f>'보험개발원 위험률(1세)'!E347</f>
        <v>1.4563E-3</v>
      </c>
      <c r="AK64" s="72">
        <f t="shared" si="60"/>
        <v>1.4545728282E-3</v>
      </c>
      <c r="AL64" s="75">
        <f t="shared" si="81"/>
        <v>95737.821515808784</v>
      </c>
      <c r="AM64" s="75">
        <f t="shared" si="61"/>
        <v>139.25763380795681</v>
      </c>
      <c r="AN64" s="75">
        <f t="shared" si="62"/>
        <v>29283.04548446682</v>
      </c>
      <c r="AO64" s="75">
        <f t="shared" si="63"/>
        <v>41.718239264103964</v>
      </c>
      <c r="AP64" s="75">
        <f t="shared" si="64"/>
        <v>530197.93803206237</v>
      </c>
      <c r="AQ64" s="75">
        <f t="shared" si="65"/>
        <v>1733.057056692586</v>
      </c>
      <c r="AS64" s="81">
        <v>57</v>
      </c>
      <c r="AT64" s="69">
        <f>'보험개발원 위험률(1세)'!D64</f>
        <v>2.6519999999999998E-3</v>
      </c>
      <c r="AU64" s="69">
        <f>'보험개발원 위험률(1세)'!D428</f>
        <v>1.1961999999999999E-3</v>
      </c>
      <c r="AV64" s="72">
        <f t="shared" si="66"/>
        <v>1.1930276775999999E-3</v>
      </c>
      <c r="AW64" s="75">
        <f t="shared" si="82"/>
        <v>94844.523324953741</v>
      </c>
      <c r="AX64" s="75">
        <f t="shared" si="67"/>
        <v>113.15214139544858</v>
      </c>
      <c r="AY64" s="75">
        <f t="shared" si="68"/>
        <v>29009.814997916834</v>
      </c>
      <c r="AZ64" s="75">
        <f t="shared" si="69"/>
        <v>33.897661326709468</v>
      </c>
      <c r="BA64" s="75">
        <f t="shared" si="70"/>
        <v>511070.67488668178</v>
      </c>
      <c r="BB64" s="75">
        <f t="shared" si="71"/>
        <v>862.50986300713009</v>
      </c>
      <c r="BD64" s="81">
        <v>57</v>
      </c>
      <c r="BE64" s="69">
        <f>'보험개발원 위험률(1세)'!E64</f>
        <v>1.186E-3</v>
      </c>
      <c r="BF64" s="69">
        <f>'보험개발원 위험률(1세)'!E428</f>
        <v>1.7939999999999997E-4</v>
      </c>
      <c r="BG64" s="72">
        <f t="shared" si="72"/>
        <v>1.7918723159999998E-4</v>
      </c>
      <c r="BH64" s="75">
        <f t="shared" si="83"/>
        <v>97484.205861084149</v>
      </c>
      <c r="BI64" s="75">
        <f t="shared" si="73"/>
        <v>17.46792497297216</v>
      </c>
      <c r="BJ64" s="75">
        <f t="shared" si="74"/>
        <v>29817.206920421522</v>
      </c>
      <c r="BK64" s="75">
        <f t="shared" si="75"/>
        <v>5.2329703840496498</v>
      </c>
      <c r="BL64" s="75">
        <f t="shared" si="76"/>
        <v>552054.34149880242</v>
      </c>
      <c r="BM64" s="75">
        <f t="shared" si="77"/>
        <v>294.73784060631226</v>
      </c>
    </row>
    <row r="65" spans="1:65" ht="18" customHeight="1">
      <c r="A65" s="66">
        <v>58</v>
      </c>
      <c r="B65" s="69">
        <f>'보험개발원 위험률(1세)'!D65</f>
        <v>2.898E-3</v>
      </c>
      <c r="C65" s="69">
        <f>'보험개발원 위험률(1세)'!D267</f>
        <v>7.3424000000000007E-3</v>
      </c>
      <c r="D65" s="72">
        <f t="shared" si="42"/>
        <v>7.3211217248000011E-3</v>
      </c>
      <c r="E65" s="75">
        <f t="shared" si="78"/>
        <v>87422.629448946012</v>
      </c>
      <c r="F65" s="75">
        <f t="shared" si="43"/>
        <v>640.03171169781899</v>
      </c>
      <c r="G65" s="75">
        <f t="shared" si="44"/>
        <v>26189.718098167516</v>
      </c>
      <c r="H65" s="75">
        <f t="shared" si="45"/>
        <v>187.79443108215668</v>
      </c>
      <c r="I65" s="75">
        <f t="shared" si="46"/>
        <v>403423.40947611048</v>
      </c>
      <c r="J65" s="75">
        <f t="shared" si="47"/>
        <v>5765.2246753436229</v>
      </c>
      <c r="L65" s="66">
        <v>58</v>
      </c>
      <c r="M65" s="69">
        <f>'보험개발원 위험률(1세)'!E65</f>
        <v>1.2539999999999999E-3</v>
      </c>
      <c r="N65" s="69">
        <f>'보험개발원 위험률(1세)'!E267</f>
        <v>6.4627999999999994E-3</v>
      </c>
      <c r="O65" s="72">
        <f t="shared" si="48"/>
        <v>6.4546956487999997E-3</v>
      </c>
      <c r="P65" s="75">
        <f t="shared" si="79"/>
        <v>84069.442387947391</v>
      </c>
      <c r="Q65" s="75">
        <f t="shared" si="49"/>
        <v>542.64266397852623</v>
      </c>
      <c r="R65" s="75">
        <f t="shared" si="50"/>
        <v>25185.183867024738</v>
      </c>
      <c r="S65" s="75">
        <f t="shared" si="51"/>
        <v>159.21909571078604</v>
      </c>
      <c r="T65" s="75">
        <f t="shared" si="52"/>
        <v>421130.68315636314</v>
      </c>
      <c r="U65" s="75">
        <f t="shared" si="53"/>
        <v>3305.6125827068581</v>
      </c>
      <c r="W65" s="78">
        <v>58</v>
      </c>
      <c r="X65" s="69">
        <f>'보험개발원 위험률(1세)'!D65</f>
        <v>2.898E-3</v>
      </c>
      <c r="Y65" s="69">
        <f>'보험개발원 위험률(1세)'!D348</f>
        <v>2.7656E-3</v>
      </c>
      <c r="Z65" s="72">
        <f t="shared" si="54"/>
        <v>2.7575852912000002E-3</v>
      </c>
      <c r="AA65" s="75">
        <f t="shared" si="80"/>
        <v>92761.269378967787</v>
      </c>
      <c r="AB65" s="75">
        <f t="shared" si="55"/>
        <v>255.79711203248254</v>
      </c>
      <c r="AC65" s="75">
        <f t="shared" si="56"/>
        <v>27789.046277566911</v>
      </c>
      <c r="AD65" s="75">
        <f t="shared" si="57"/>
        <v>75.054520344265072</v>
      </c>
      <c r="AE65" s="75">
        <f t="shared" si="58"/>
        <v>461355.41972346586</v>
      </c>
      <c r="AF65" s="75">
        <f t="shared" si="59"/>
        <v>2286.5371668325497</v>
      </c>
      <c r="AH65" s="78">
        <v>58</v>
      </c>
      <c r="AI65" s="69">
        <f>'보험개발원 위험률(1세)'!E65</f>
        <v>1.2539999999999999E-3</v>
      </c>
      <c r="AJ65" s="69">
        <f>'보험개발원 위험률(1세)'!E348</f>
        <v>1.5362000000000002E-3</v>
      </c>
      <c r="AK65" s="72">
        <f t="shared" si="60"/>
        <v>1.5342736052000002E-3</v>
      </c>
      <c r="AL65" s="75">
        <f t="shared" si="81"/>
        <v>95485.018825683073</v>
      </c>
      <c r="AM65" s="75">
        <f t="shared" si="61"/>
        <v>146.50014407627066</v>
      </c>
      <c r="AN65" s="75">
        <f t="shared" si="62"/>
        <v>28605.016131472665</v>
      </c>
      <c r="AO65" s="75">
        <f t="shared" si="63"/>
        <v>42.985231368108451</v>
      </c>
      <c r="AP65" s="75">
        <f t="shared" si="64"/>
        <v>500914.89254759561</v>
      </c>
      <c r="AQ65" s="75">
        <f t="shared" si="65"/>
        <v>1691.3388174284821</v>
      </c>
      <c r="AS65" s="81">
        <v>58</v>
      </c>
      <c r="AT65" s="69">
        <f>'보험개발원 위험률(1세)'!D65</f>
        <v>2.898E-3</v>
      </c>
      <c r="AU65" s="69">
        <f>'보험개발원 위험률(1세)'!D429</f>
        <v>1.2488E-3</v>
      </c>
      <c r="AV65" s="72">
        <f t="shared" si="66"/>
        <v>1.2451809776000001E-3</v>
      </c>
      <c r="AW65" s="75">
        <f t="shared" si="82"/>
        <v>94479.843507700512</v>
      </c>
      <c r="AX65" s="75">
        <f t="shared" si="67"/>
        <v>117.64450390241355</v>
      </c>
      <c r="AY65" s="75">
        <f t="shared" si="68"/>
        <v>28303.889771133974</v>
      </c>
      <c r="AZ65" s="75">
        <f t="shared" si="69"/>
        <v>34.518575058867036</v>
      </c>
      <c r="BA65" s="75">
        <f t="shared" si="70"/>
        <v>482060.85988876497</v>
      </c>
      <c r="BB65" s="75">
        <f t="shared" si="71"/>
        <v>828.61220168042064</v>
      </c>
      <c r="BD65" s="81">
        <v>58</v>
      </c>
      <c r="BE65" s="69">
        <f>'보험개발원 위험률(1세)'!E65</f>
        <v>1.2539999999999999E-3</v>
      </c>
      <c r="BF65" s="69">
        <f>'보험개발원 위험률(1세)'!E429</f>
        <v>1.916E-4</v>
      </c>
      <c r="BG65" s="72">
        <f t="shared" si="72"/>
        <v>1.913597336E-4</v>
      </c>
      <c r="BH65" s="75">
        <f t="shared" si="83"/>
        <v>97351.121667959917</v>
      </c>
      <c r="BI65" s="75">
        <f t="shared" si="73"/>
        <v>18.629084708041997</v>
      </c>
      <c r="BJ65" s="75">
        <f t="shared" si="74"/>
        <v>29164.055680951795</v>
      </c>
      <c r="BK65" s="75">
        <f t="shared" si="75"/>
        <v>5.4660391046057812</v>
      </c>
      <c r="BL65" s="75">
        <f t="shared" si="76"/>
        <v>522237.13457838091</v>
      </c>
      <c r="BM65" s="75">
        <f t="shared" si="77"/>
        <v>289.50487022226264</v>
      </c>
    </row>
    <row r="66" spans="1:65" ht="18" customHeight="1">
      <c r="A66" s="66">
        <v>59</v>
      </c>
      <c r="B66" s="69">
        <f>'보험개발원 위험률(1세)'!D66</f>
        <v>3.1440000000000001E-3</v>
      </c>
      <c r="C66" s="69">
        <f>'보험개발원 위험률(1세)'!D268</f>
        <v>7.8221999999999996E-3</v>
      </c>
      <c r="D66" s="72">
        <f t="shared" si="42"/>
        <v>7.7976070031999991E-3</v>
      </c>
      <c r="E66" s="75">
        <f t="shared" si="78"/>
        <v>86529.246957105162</v>
      </c>
      <c r="F66" s="75">
        <f t="shared" si="43"/>
        <v>674.72106205434545</v>
      </c>
      <c r="G66" s="75">
        <f t="shared" si="44"/>
        <v>25388.914966683791</v>
      </c>
      <c r="H66" s="75">
        <f t="shared" si="45"/>
        <v>193.90086302435145</v>
      </c>
      <c r="I66" s="75">
        <f t="shared" si="46"/>
        <v>377233.69137794297</v>
      </c>
      <c r="J66" s="75">
        <f t="shared" si="47"/>
        <v>5577.4302442614662</v>
      </c>
      <c r="L66" s="66">
        <v>59</v>
      </c>
      <c r="M66" s="69">
        <f>'보험개발원 위험률(1세)'!E66</f>
        <v>1.3219999999999998E-3</v>
      </c>
      <c r="N66" s="69">
        <f>'보험개발원 위험률(1세)'!E268</f>
        <v>6.5433999999999996E-3</v>
      </c>
      <c r="O66" s="72">
        <f t="shared" si="48"/>
        <v>6.5347496251999997E-3</v>
      </c>
      <c r="P66" s="75">
        <f t="shared" si="79"/>
        <v>83421.376643214389</v>
      </c>
      <c r="Q66" s="75">
        <f t="shared" si="49"/>
        <v>545.1378097529132</v>
      </c>
      <c r="R66" s="75">
        <f t="shared" si="50"/>
        <v>24477.02149827109</v>
      </c>
      <c r="S66" s="75">
        <f t="shared" si="51"/>
        <v>156.66131935537646</v>
      </c>
      <c r="T66" s="75">
        <f t="shared" si="52"/>
        <v>395945.49928933842</v>
      </c>
      <c r="U66" s="75">
        <f t="shared" si="53"/>
        <v>3146.3934869960722</v>
      </c>
      <c r="W66" s="78">
        <v>59</v>
      </c>
      <c r="X66" s="69">
        <f>'보험개발원 위험률(1세)'!D66</f>
        <v>3.1440000000000001E-3</v>
      </c>
      <c r="Y66" s="69">
        <f>'보험개발원 위험률(1세)'!D349</f>
        <v>2.9293000000000001E-3</v>
      </c>
      <c r="Z66" s="72">
        <f t="shared" si="54"/>
        <v>2.9200902808000002E-3</v>
      </c>
      <c r="AA66" s="75">
        <f t="shared" si="80"/>
        <v>92236.650108275062</v>
      </c>
      <c r="AB66" s="75">
        <f t="shared" si="55"/>
        <v>269.3393455147243</v>
      </c>
      <c r="AC66" s="75">
        <f t="shared" si="56"/>
        <v>27063.548438964772</v>
      </c>
      <c r="AD66" s="75">
        <f t="shared" si="57"/>
        <v>77.402551185681759</v>
      </c>
      <c r="AE66" s="75">
        <f t="shared" si="58"/>
        <v>433566.37344589893</v>
      </c>
      <c r="AF66" s="75">
        <f t="shared" si="59"/>
        <v>2211.4826464882844</v>
      </c>
      <c r="AH66" s="78">
        <v>59</v>
      </c>
      <c r="AI66" s="69">
        <f>'보험개발원 위험률(1세)'!E66</f>
        <v>1.3219999999999998E-3</v>
      </c>
      <c r="AJ66" s="69">
        <f>'보험개발원 위험률(1세)'!E349</f>
        <v>1.6161000000000001E-3</v>
      </c>
      <c r="AK66" s="72">
        <f t="shared" si="60"/>
        <v>1.6139635158000001E-3</v>
      </c>
      <c r="AL66" s="75">
        <f t="shared" si="81"/>
        <v>95218.780467999401</v>
      </c>
      <c r="AM66" s="75">
        <f t="shared" si="61"/>
        <v>153.67963769432069</v>
      </c>
      <c r="AN66" s="75">
        <f t="shared" si="62"/>
        <v>27938.548011769795</v>
      </c>
      <c r="AO66" s="75">
        <f t="shared" si="63"/>
        <v>44.164345911286084</v>
      </c>
      <c r="AP66" s="75">
        <f t="shared" si="64"/>
        <v>472309.87641612295</v>
      </c>
      <c r="AQ66" s="75">
        <f t="shared" si="65"/>
        <v>1648.3535860603736</v>
      </c>
      <c r="AS66" s="81">
        <v>59</v>
      </c>
      <c r="AT66" s="69">
        <f>'보험개발원 위험률(1세)'!D66</f>
        <v>3.1440000000000001E-3</v>
      </c>
      <c r="AU66" s="69">
        <f>'보험개발원 위험률(1세)'!D430</f>
        <v>1.3013999999999999E-3</v>
      </c>
      <c r="AV66" s="72">
        <f t="shared" si="66"/>
        <v>1.2973083983999999E-3</v>
      </c>
      <c r="AW66" s="75">
        <f t="shared" si="82"/>
        <v>94088.39641731279</v>
      </c>
      <c r="AX66" s="75">
        <f t="shared" si="67"/>
        <v>122.06166686416834</v>
      </c>
      <c r="AY66" s="75">
        <f t="shared" si="68"/>
        <v>27606.87721199033</v>
      </c>
      <c r="AZ66" s="75">
        <f t="shared" si="69"/>
        <v>35.077995749963407</v>
      </c>
      <c r="BA66" s="75">
        <f t="shared" si="70"/>
        <v>453756.97011763102</v>
      </c>
      <c r="BB66" s="75">
        <f t="shared" si="71"/>
        <v>794.09362662155365</v>
      </c>
      <c r="BD66" s="81">
        <v>59</v>
      </c>
      <c r="BE66" s="69">
        <f>'보험개발원 위험률(1세)'!E66</f>
        <v>1.3219999999999998E-3</v>
      </c>
      <c r="BF66" s="69">
        <f>'보험개발원 위험률(1세)'!E430</f>
        <v>2.0379999999999999E-4</v>
      </c>
      <c r="BG66" s="72">
        <f t="shared" si="72"/>
        <v>2.0353057639999999E-4</v>
      </c>
      <c r="BH66" s="75">
        <f t="shared" si="83"/>
        <v>97210.414276680254</v>
      </c>
      <c r="BI66" s="75">
        <f t="shared" si="73"/>
        <v>19.78529164981552</v>
      </c>
      <c r="BJ66" s="75">
        <f t="shared" si="74"/>
        <v>28522.921771990284</v>
      </c>
      <c r="BK66" s="75">
        <f t="shared" si="75"/>
        <v>5.6858831624537638</v>
      </c>
      <c r="BL66" s="75">
        <f t="shared" si="76"/>
        <v>493073.07889742911</v>
      </c>
      <c r="BM66" s="75">
        <f t="shared" si="77"/>
        <v>284.03883111765685</v>
      </c>
    </row>
    <row r="67" spans="1:65" ht="18" customHeight="1">
      <c r="A67" s="66">
        <v>60</v>
      </c>
      <c r="B67" s="69">
        <f>'보험개발원 위험률(1세)'!D67</f>
        <v>3.3899999999999998E-3</v>
      </c>
      <c r="C67" s="69">
        <f>'보험개발원 위험률(1세)'!D269</f>
        <v>8.3020000000000004E-3</v>
      </c>
      <c r="D67" s="72">
        <f t="shared" si="42"/>
        <v>8.2738562200000004E-3</v>
      </c>
      <c r="E67" s="75">
        <f t="shared" si="78"/>
        <v>85582.477942617668</v>
      </c>
      <c r="F67" s="75">
        <f t="shared" si="43"/>
        <v>708.09711744854008</v>
      </c>
      <c r="G67" s="75">
        <f t="shared" si="44"/>
        <v>24594.6321614894</v>
      </c>
      <c r="H67" s="75">
        <f t="shared" si="45"/>
        <v>199.3070032203243</v>
      </c>
      <c r="I67" s="75">
        <f t="shared" si="46"/>
        <v>351844.7764112592</v>
      </c>
      <c r="J67" s="75">
        <f t="shared" si="47"/>
        <v>5383.5293812371146</v>
      </c>
      <c r="L67" s="66">
        <v>60</v>
      </c>
      <c r="M67" s="69">
        <f>'보험개발원 위험률(1세)'!E67</f>
        <v>1.39E-3</v>
      </c>
      <c r="N67" s="69">
        <f>'보험개발원 위험률(1세)'!E269</f>
        <v>6.6239999999999997E-3</v>
      </c>
      <c r="O67" s="72">
        <f t="shared" si="48"/>
        <v>6.6147926399999996E-3</v>
      </c>
      <c r="P67" s="75">
        <f t="shared" si="79"/>
        <v>82765.955773539143</v>
      </c>
      <c r="Q67" s="75">
        <f t="shared" si="49"/>
        <v>547.47963509337217</v>
      </c>
      <c r="R67" s="75">
        <f t="shared" si="50"/>
        <v>23785.222006648914</v>
      </c>
      <c r="S67" s="75">
        <f t="shared" si="51"/>
        <v>154.09824825695125</v>
      </c>
      <c r="T67" s="75">
        <f t="shared" si="52"/>
        <v>371468.47779106733</v>
      </c>
      <c r="U67" s="75">
        <f t="shared" si="53"/>
        <v>2989.7321676406955</v>
      </c>
      <c r="W67" s="78">
        <v>60</v>
      </c>
      <c r="X67" s="69">
        <f>'보험개발원 위험률(1세)'!D67</f>
        <v>3.3899999999999998E-3</v>
      </c>
      <c r="Y67" s="69">
        <f>'보험개발원 위험률(1세)'!D350</f>
        <v>3.0929999999999998E-3</v>
      </c>
      <c r="Z67" s="72">
        <f t="shared" si="54"/>
        <v>3.0825147299999999E-3</v>
      </c>
      <c r="AA67" s="75">
        <f t="shared" si="80"/>
        <v>91677.318734819914</v>
      </c>
      <c r="AB67" s="75">
        <f t="shared" si="55"/>
        <v>282.59668540698732</v>
      </c>
      <c r="AC67" s="75">
        <f t="shared" si="56"/>
        <v>26346.163210491763</v>
      </c>
      <c r="AD67" s="75">
        <f t="shared" si="57"/>
        <v>79.542053061043035</v>
      </c>
      <c r="AE67" s="75">
        <f t="shared" si="58"/>
        <v>406502.82500693417</v>
      </c>
      <c r="AF67" s="75">
        <f t="shared" si="59"/>
        <v>2134.0800953026028</v>
      </c>
      <c r="AH67" s="78">
        <v>60</v>
      </c>
      <c r="AI67" s="69">
        <f>'보험개발원 위험률(1세)'!E67</f>
        <v>1.39E-3</v>
      </c>
      <c r="AJ67" s="69">
        <f>'보험개발원 위험률(1세)'!E350</f>
        <v>1.696E-3</v>
      </c>
      <c r="AK67" s="72">
        <f t="shared" si="60"/>
        <v>1.6936425600000001E-3</v>
      </c>
      <c r="AL67" s="75">
        <f t="shared" si="81"/>
        <v>94939.221602526377</v>
      </c>
      <c r="AM67" s="75">
        <f t="shared" si="61"/>
        <v>160.79310631931008</v>
      </c>
      <c r="AN67" s="75">
        <f t="shared" si="62"/>
        <v>27283.566556437629</v>
      </c>
      <c r="AO67" s="75">
        <f t="shared" si="63"/>
        <v>45.258187569613519</v>
      </c>
      <c r="AP67" s="75">
        <f t="shared" si="64"/>
        <v>444371.32840435317</v>
      </c>
      <c r="AQ67" s="75">
        <f t="shared" si="65"/>
        <v>1604.1892401490875</v>
      </c>
      <c r="AS67" s="81">
        <v>60</v>
      </c>
      <c r="AT67" s="69">
        <f>'보험개발원 위험률(1세)'!D67</f>
        <v>3.3899999999999998E-3</v>
      </c>
      <c r="AU67" s="69">
        <f>'보험개발원 위험률(1세)'!D431</f>
        <v>1.354E-3</v>
      </c>
      <c r="AV67" s="72">
        <f t="shared" si="66"/>
        <v>1.3494099399999999E-3</v>
      </c>
      <c r="AW67" s="75">
        <f t="shared" si="82"/>
        <v>93670.520832112583</v>
      </c>
      <c r="AX67" s="75">
        <f t="shared" si="67"/>
        <v>126.39993189582978</v>
      </c>
      <c r="AY67" s="75">
        <f t="shared" si="68"/>
        <v>26918.96822367789</v>
      </c>
      <c r="AZ67" s="75">
        <f t="shared" si="69"/>
        <v>35.577593825244939</v>
      </c>
      <c r="BA67" s="75">
        <f t="shared" si="70"/>
        <v>426150.09290564066</v>
      </c>
      <c r="BB67" s="75">
        <f t="shared" si="71"/>
        <v>759.01563087159025</v>
      </c>
      <c r="BD67" s="81">
        <v>60</v>
      </c>
      <c r="BE67" s="69">
        <f>'보험개발원 위험률(1세)'!E67</f>
        <v>1.39E-3</v>
      </c>
      <c r="BF67" s="69">
        <f>'보험개발원 위험률(1세)'!E431</f>
        <v>2.1599999999999999E-4</v>
      </c>
      <c r="BG67" s="72">
        <f t="shared" si="72"/>
        <v>2.1569975999999999E-4</v>
      </c>
      <c r="BH67" s="75">
        <f t="shared" si="83"/>
        <v>97062.116817356669</v>
      </c>
      <c r="BI67" s="75">
        <f t="shared" si="73"/>
        <v>20.936275302595796</v>
      </c>
      <c r="BJ67" s="75">
        <f t="shared" si="74"/>
        <v>27893.642686286832</v>
      </c>
      <c r="BK67" s="75">
        <f t="shared" si="75"/>
        <v>5.8929011096550674</v>
      </c>
      <c r="BL67" s="75">
        <f t="shared" si="76"/>
        <v>464550.1571254388</v>
      </c>
      <c r="BM67" s="75">
        <f t="shared" si="77"/>
        <v>278.35294795520309</v>
      </c>
    </row>
    <row r="68" spans="1:65" ht="18" customHeight="1">
      <c r="A68" s="66">
        <v>61</v>
      </c>
      <c r="B68" s="69">
        <f>'보험개발원 위험률(1세)'!D68</f>
        <v>3.826E-3</v>
      </c>
      <c r="C68" s="69">
        <f>'보험개발원 위험률(1세)'!D270</f>
        <v>9.1634000000000004E-3</v>
      </c>
      <c r="D68" s="72">
        <f t="shared" si="42"/>
        <v>9.1283408316000011E-3</v>
      </c>
      <c r="E68" s="75">
        <f t="shared" si="78"/>
        <v>84584.256224943645</v>
      </c>
      <c r="F68" s="75">
        <f t="shared" si="43"/>
        <v>772.11391980866961</v>
      </c>
      <c r="G68" s="75">
        <f t="shared" si="44"/>
        <v>23807.800105949063</v>
      </c>
      <c r="H68" s="75">
        <f t="shared" si="45"/>
        <v>212.85574321028963</v>
      </c>
      <c r="I68" s="75">
        <f t="shared" si="46"/>
        <v>327250.1442497698</v>
      </c>
      <c r="J68" s="75">
        <f t="shared" si="47"/>
        <v>5184.2223780167906</v>
      </c>
      <c r="L68" s="66">
        <v>61</v>
      </c>
      <c r="M68" s="69">
        <f>'보험개발원 위험률(1세)'!E68</f>
        <v>1.5279999999999998E-3</v>
      </c>
      <c r="N68" s="69">
        <f>'보험개발원 위험률(1세)'!E270</f>
        <v>6.7764999999999995E-3</v>
      </c>
      <c r="O68" s="72">
        <f t="shared" si="48"/>
        <v>6.766145508E-3</v>
      </c>
      <c r="P68" s="75">
        <f t="shared" si="79"/>
        <v>82103.431459920554</v>
      </c>
      <c r="Q68" s="75">
        <f t="shared" si="49"/>
        <v>555.52376396392731</v>
      </c>
      <c r="R68" s="75">
        <f t="shared" si="50"/>
        <v>23109.526186669267</v>
      </c>
      <c r="S68" s="75">
        <f t="shared" si="51"/>
        <v>153.14634358466276</v>
      </c>
      <c r="T68" s="75">
        <f t="shared" si="52"/>
        <v>347683.25578441843</v>
      </c>
      <c r="U68" s="75">
        <f t="shared" si="53"/>
        <v>2835.6339193837443</v>
      </c>
      <c r="W68" s="78">
        <v>61</v>
      </c>
      <c r="X68" s="69">
        <f>'보험개발원 위험률(1세)'!D68</f>
        <v>3.826E-3</v>
      </c>
      <c r="Y68" s="69">
        <f>'보험개발원 위험률(1세)'!D351</f>
        <v>3.3406999999999998E-3</v>
      </c>
      <c r="Z68" s="72">
        <f t="shared" si="54"/>
        <v>3.3279184817999997E-3</v>
      </c>
      <c r="AA68" s="75">
        <f t="shared" si="80"/>
        <v>91083.935938901894</v>
      </c>
      <c r="AB68" s="75">
        <f t="shared" si="55"/>
        <v>303.11991380615882</v>
      </c>
      <c r="AC68" s="75">
        <f t="shared" si="56"/>
        <v>25637.254927554233</v>
      </c>
      <c r="AD68" s="75">
        <f t="shared" si="57"/>
        <v>83.563853571034144</v>
      </c>
      <c r="AE68" s="75">
        <f t="shared" si="58"/>
        <v>380156.66179644241</v>
      </c>
      <c r="AF68" s="75">
        <f t="shared" si="59"/>
        <v>2054.5380422415597</v>
      </c>
      <c r="AH68" s="78">
        <v>61</v>
      </c>
      <c r="AI68" s="69">
        <f>'보험개발원 위험률(1세)'!E68</f>
        <v>1.5279999999999998E-3</v>
      </c>
      <c r="AJ68" s="69">
        <f>'보험개발원 위험률(1세)'!E351</f>
        <v>1.8851E-3</v>
      </c>
      <c r="AK68" s="72">
        <f t="shared" si="60"/>
        <v>1.8822195672000002E-3</v>
      </c>
      <c r="AL68" s="75">
        <f t="shared" si="81"/>
        <v>94646.462978179552</v>
      </c>
      <c r="AM68" s="75">
        <f t="shared" si="61"/>
        <v>178.14542458379995</v>
      </c>
      <c r="AN68" s="75">
        <f t="shared" si="62"/>
        <v>26639.993917155338</v>
      </c>
      <c r="AO68" s="75">
        <f t="shared" si="63"/>
        <v>49.110987092026221</v>
      </c>
      <c r="AP68" s="75">
        <f t="shared" si="64"/>
        <v>417087.76184791554</v>
      </c>
      <c r="AQ68" s="75">
        <f t="shared" si="65"/>
        <v>1558.931052579474</v>
      </c>
      <c r="AS68" s="81">
        <v>61</v>
      </c>
      <c r="AT68" s="69">
        <f>'보험개발원 위험률(1세)'!D68</f>
        <v>3.826E-3</v>
      </c>
      <c r="AU68" s="69">
        <f>'보험개발원 위험률(1세)'!D432</f>
        <v>1.41E-3</v>
      </c>
      <c r="AV68" s="72">
        <f t="shared" si="66"/>
        <v>1.4046053400000001E-3</v>
      </c>
      <c r="AW68" s="75">
        <f t="shared" si="82"/>
        <v>93226.577834595897</v>
      </c>
      <c r="AX68" s="75">
        <f t="shared" si="67"/>
        <v>130.94654905639905</v>
      </c>
      <c r="AY68" s="75">
        <f t="shared" si="68"/>
        <v>26240.341036340888</v>
      </c>
      <c r="AZ68" s="75">
        <f t="shared" si="69"/>
        <v>36.099239121513769</v>
      </c>
      <c r="BA68" s="75">
        <f t="shared" si="70"/>
        <v>399231.12468196277</v>
      </c>
      <c r="BB68" s="75">
        <f t="shared" si="71"/>
        <v>723.43803704634536</v>
      </c>
      <c r="BD68" s="81">
        <v>61</v>
      </c>
      <c r="BE68" s="69">
        <f>'보험개발원 위험률(1세)'!E68</f>
        <v>1.5279999999999998E-3</v>
      </c>
      <c r="BF68" s="69">
        <f>'보험개발원 위험률(1세)'!E432</f>
        <v>2.544E-4</v>
      </c>
      <c r="BG68" s="72">
        <f t="shared" si="72"/>
        <v>2.5401127680000003E-4</v>
      </c>
      <c r="BH68" s="75">
        <f t="shared" si="83"/>
        <v>96906.264199677957</v>
      </c>
      <c r="BI68" s="75">
        <f t="shared" si="73"/>
        <v>24.615283899278332</v>
      </c>
      <c r="BJ68" s="75">
        <f t="shared" si="74"/>
        <v>27276.056680626774</v>
      </c>
      <c r="BK68" s="75">
        <f t="shared" si="75"/>
        <v>6.7859216292998816</v>
      </c>
      <c r="BL68" s="75">
        <f t="shared" si="76"/>
        <v>436656.51443915197</v>
      </c>
      <c r="BM68" s="75">
        <f t="shared" si="77"/>
        <v>272.46004684554805</v>
      </c>
    </row>
    <row r="69" spans="1:65" ht="18" customHeight="1">
      <c r="A69" s="66">
        <v>62</v>
      </c>
      <c r="B69" s="69">
        <f>'보험개발원 위험률(1세)'!D69</f>
        <v>4.2620000000000002E-3</v>
      </c>
      <c r="C69" s="69">
        <f>'보험개발원 위험률(1세)'!D271</f>
        <v>1.00248E-2</v>
      </c>
      <c r="D69" s="72">
        <f t="shared" si="42"/>
        <v>9.9820743023999996E-3</v>
      </c>
      <c r="E69" s="75">
        <f t="shared" si="78"/>
        <v>83488.522940818337</v>
      </c>
      <c r="F69" s="75">
        <f t="shared" si="43"/>
        <v>833.38863939287558</v>
      </c>
      <c r="G69" s="75">
        <f t="shared" si="44"/>
        <v>23016.048725686582</v>
      </c>
      <c r="H69" s="75">
        <f t="shared" si="45"/>
        <v>225.02243734325398</v>
      </c>
      <c r="I69" s="75">
        <f t="shared" si="46"/>
        <v>303442.34414382075</v>
      </c>
      <c r="J69" s="75">
        <f t="shared" si="47"/>
        <v>4971.3666348065008</v>
      </c>
      <c r="L69" s="66">
        <v>62</v>
      </c>
      <c r="M69" s="69">
        <f>'보험개발원 위험률(1세)'!E69</f>
        <v>1.6659999999999999E-3</v>
      </c>
      <c r="N69" s="69">
        <f>'보험개발원 위험률(1세)'!E271</f>
        <v>6.9289999999999994E-3</v>
      </c>
      <c r="O69" s="72">
        <f t="shared" si="48"/>
        <v>6.9174562859999995E-3</v>
      </c>
      <c r="P69" s="75">
        <f t="shared" si="79"/>
        <v>81422.453652685872</v>
      </c>
      <c r="Q69" s="75">
        <f t="shared" si="49"/>
        <v>563.23626384131546</v>
      </c>
      <c r="R69" s="75">
        <f t="shared" si="50"/>
        <v>22446.47640926161</v>
      </c>
      <c r="S69" s="75">
        <f t="shared" si="51"/>
        <v>152.07886320842059</v>
      </c>
      <c r="T69" s="75">
        <f t="shared" si="52"/>
        <v>324573.72959774919</v>
      </c>
      <c r="U69" s="75">
        <f t="shared" si="53"/>
        <v>2682.4875757990817</v>
      </c>
      <c r="W69" s="78">
        <v>62</v>
      </c>
      <c r="X69" s="69">
        <f>'보험개발원 위험률(1세)'!D69</f>
        <v>4.2620000000000002E-3</v>
      </c>
      <c r="Y69" s="69">
        <f>'보험개발원 위험률(1세)'!D352</f>
        <v>3.5883999999999998E-3</v>
      </c>
      <c r="Z69" s="72">
        <f t="shared" si="54"/>
        <v>3.5731062392E-3</v>
      </c>
      <c r="AA69" s="75">
        <f t="shared" si="80"/>
        <v>90432.3288861935</v>
      </c>
      <c r="AB69" s="75">
        <f t="shared" si="55"/>
        <v>323.12431856864436</v>
      </c>
      <c r="AC69" s="75">
        <f t="shared" si="56"/>
        <v>24930.311553090491</v>
      </c>
      <c r="AD69" s="75">
        <f t="shared" si="57"/>
        <v>87.246475764493113</v>
      </c>
      <c r="AE69" s="75">
        <f t="shared" si="58"/>
        <v>354519.40686888818</v>
      </c>
      <c r="AF69" s="75">
        <f t="shared" si="59"/>
        <v>1970.9741886705256</v>
      </c>
      <c r="AH69" s="78">
        <v>62</v>
      </c>
      <c r="AI69" s="69">
        <f>'보험개발원 위험률(1세)'!E69</f>
        <v>1.6659999999999999E-3</v>
      </c>
      <c r="AJ69" s="69">
        <f>'보험개발원 위험률(1세)'!E352</f>
        <v>2.0742E-3</v>
      </c>
      <c r="AK69" s="72">
        <f t="shared" si="60"/>
        <v>2.0707443828000003E-3</v>
      </c>
      <c r="AL69" s="75">
        <f t="shared" si="81"/>
        <v>94323.697758165101</v>
      </c>
      <c r="AM69" s="75">
        <f t="shared" si="61"/>
        <v>195.32026729764536</v>
      </c>
      <c r="AN69" s="75">
        <f t="shared" si="62"/>
        <v>26003.080987883422</v>
      </c>
      <c r="AO69" s="75">
        <f t="shared" si="63"/>
        <v>52.738231039327211</v>
      </c>
      <c r="AP69" s="75">
        <f t="shared" si="64"/>
        <v>390447.76793076022</v>
      </c>
      <c r="AQ69" s="75">
        <f t="shared" si="65"/>
        <v>1509.8200654874477</v>
      </c>
      <c r="AS69" s="81">
        <v>62</v>
      </c>
      <c r="AT69" s="69">
        <f>'보험개발원 위험률(1세)'!D69</f>
        <v>4.2620000000000002E-3</v>
      </c>
      <c r="AU69" s="69">
        <f>'보험개발원 위험률(1세)'!D433</f>
        <v>1.4659999999999999E-3</v>
      </c>
      <c r="AV69" s="72">
        <f t="shared" si="66"/>
        <v>1.4597519079999999E-3</v>
      </c>
      <c r="AW69" s="75">
        <f t="shared" si="82"/>
        <v>92738.946398744331</v>
      </c>
      <c r="AX69" s="75">
        <f t="shared" si="67"/>
        <v>135.37585395147676</v>
      </c>
      <c r="AY69" s="75">
        <f t="shared" si="68"/>
        <v>25566.198010179029</v>
      </c>
      <c r="AZ69" s="75">
        <f t="shared" si="69"/>
        <v>36.552699633363993</v>
      </c>
      <c r="BA69" s="75">
        <f t="shared" si="70"/>
        <v>372990.78364562191</v>
      </c>
      <c r="BB69" s="75">
        <f t="shared" si="71"/>
        <v>687.33879792483162</v>
      </c>
      <c r="BD69" s="81">
        <v>62</v>
      </c>
      <c r="BE69" s="69">
        <f>'보험개발원 위험률(1세)'!E69</f>
        <v>1.6659999999999999E-3</v>
      </c>
      <c r="BF69" s="69">
        <f>'보험개발원 위험률(1세)'!E433</f>
        <v>2.9279999999999996E-4</v>
      </c>
      <c r="BG69" s="72">
        <f t="shared" si="72"/>
        <v>2.9231219519999997E-4</v>
      </c>
      <c r="BH69" s="75">
        <f t="shared" si="83"/>
        <v>96733.576144081584</v>
      </c>
      <c r="BI69" s="75">
        <f t="shared" si="73"/>
        <v>28.276403992222836</v>
      </c>
      <c r="BJ69" s="75">
        <f t="shared" si="74"/>
        <v>26667.434319329353</v>
      </c>
      <c r="BK69" s="75">
        <f t="shared" si="75"/>
        <v>7.6348837083594319</v>
      </c>
      <c r="BL69" s="75">
        <f t="shared" si="76"/>
        <v>409380.45775852521</v>
      </c>
      <c r="BM69" s="75">
        <f t="shared" si="77"/>
        <v>265.67412521624817</v>
      </c>
    </row>
    <row r="70" spans="1:65" ht="18" customHeight="1">
      <c r="A70" s="66">
        <v>63</v>
      </c>
      <c r="B70" s="69">
        <f>'보험개발원 위험률(1세)'!D70</f>
        <v>4.6979999999999999E-3</v>
      </c>
      <c r="C70" s="69">
        <f>'보험개발원 위험률(1세)'!D272</f>
        <v>1.08862E-2</v>
      </c>
      <c r="D70" s="72">
        <f t="shared" si="42"/>
        <v>1.0835056632400001E-2</v>
      </c>
      <c r="E70" s="75">
        <f t="shared" si="78"/>
        <v>82299.30621665169</v>
      </c>
      <c r="F70" s="75">
        <f t="shared" si="43"/>
        <v>891.71764366465061</v>
      </c>
      <c r="G70" s="75">
        <f t="shared" si="44"/>
        <v>22221.553787943431</v>
      </c>
      <c r="H70" s="75">
        <f t="shared" si="45"/>
        <v>235.81958251938283</v>
      </c>
      <c r="I70" s="75">
        <f t="shared" si="46"/>
        <v>280426.29541813419</v>
      </c>
      <c r="J70" s="75">
        <f t="shared" si="47"/>
        <v>4746.3441974632469</v>
      </c>
      <c r="L70" s="66">
        <v>63</v>
      </c>
      <c r="M70" s="69">
        <f>'보험개발원 위험률(1세)'!E70</f>
        <v>1.804E-3</v>
      </c>
      <c r="N70" s="69">
        <f>'보험개발원 위험률(1세)'!E272</f>
        <v>7.0815000000000001E-3</v>
      </c>
      <c r="O70" s="72">
        <f t="shared" si="48"/>
        <v>7.0687249739999998E-3</v>
      </c>
      <c r="P70" s="75">
        <f t="shared" si="79"/>
        <v>80723.567581059178</v>
      </c>
      <c r="Q70" s="75">
        <f t="shared" si="49"/>
        <v>570.61269815060973</v>
      </c>
      <c r="R70" s="75">
        <f t="shared" si="50"/>
        <v>21796.090166726721</v>
      </c>
      <c r="S70" s="75">
        <f t="shared" si="51"/>
        <v>150.90163261223995</v>
      </c>
      <c r="T70" s="75">
        <f t="shared" si="52"/>
        <v>302127.25318848761</v>
      </c>
      <c r="U70" s="75">
        <f t="shared" si="53"/>
        <v>2530.4087125906613</v>
      </c>
      <c r="W70" s="78">
        <v>63</v>
      </c>
      <c r="X70" s="69">
        <f>'보험개발원 위험률(1세)'!D70</f>
        <v>4.6979999999999999E-3</v>
      </c>
      <c r="Y70" s="69">
        <f>'보험개발원 위험률(1세)'!D353</f>
        <v>3.8361000000000003E-3</v>
      </c>
      <c r="Z70" s="72">
        <f t="shared" si="54"/>
        <v>3.8180780022000005E-3</v>
      </c>
      <c r="AA70" s="75">
        <f t="shared" si="80"/>
        <v>89723.781981911903</v>
      </c>
      <c r="AB70" s="75">
        <f t="shared" si="55"/>
        <v>342.57239825932658</v>
      </c>
      <c r="AC70" s="75">
        <f t="shared" si="56"/>
        <v>24226.229102346399</v>
      </c>
      <c r="AD70" s="75">
        <f t="shared" si="57"/>
        <v>90.59513458562806</v>
      </c>
      <c r="AE70" s="75">
        <f t="shared" si="58"/>
        <v>329589.09531579772</v>
      </c>
      <c r="AF70" s="75">
        <f t="shared" si="59"/>
        <v>1883.7277129060324</v>
      </c>
      <c r="AH70" s="78">
        <v>63</v>
      </c>
      <c r="AI70" s="69">
        <f>'보험개발원 위험률(1세)'!E70</f>
        <v>1.804E-3</v>
      </c>
      <c r="AJ70" s="69">
        <f>'보험개발원 위험률(1세)'!E353</f>
        <v>2.2633000000000002E-3</v>
      </c>
      <c r="AK70" s="72">
        <f t="shared" si="60"/>
        <v>2.2592170068000002E-3</v>
      </c>
      <c r="AL70" s="75">
        <f t="shared" si="81"/>
        <v>93971.234210402356</v>
      </c>
      <c r="AM70" s="75">
        <f t="shared" si="61"/>
        <v>212.301410478127</v>
      </c>
      <c r="AN70" s="75">
        <f t="shared" si="62"/>
        <v>25373.079452562641</v>
      </c>
      <c r="AO70" s="75">
        <f t="shared" si="63"/>
        <v>56.144263089243054</v>
      </c>
      <c r="AP70" s="75">
        <f t="shared" si="64"/>
        <v>364444.68694287678</v>
      </c>
      <c r="AQ70" s="75">
        <f t="shared" si="65"/>
        <v>1457.0818344481204</v>
      </c>
      <c r="AS70" s="81">
        <v>63</v>
      </c>
      <c r="AT70" s="69">
        <f>'보험개발원 위험률(1세)'!D70</f>
        <v>4.6979999999999999E-3</v>
      </c>
      <c r="AU70" s="69">
        <f>'보험개발원 위험률(1세)'!D434</f>
        <v>1.5219999999999999E-3</v>
      </c>
      <c r="AV70" s="72">
        <f t="shared" si="66"/>
        <v>1.514849644E-3</v>
      </c>
      <c r="AW70" s="75">
        <f t="shared" si="82"/>
        <v>92208.317155241413</v>
      </c>
      <c r="AX70" s="75">
        <f t="shared" si="67"/>
        <v>139.68173641645654</v>
      </c>
      <c r="AY70" s="75">
        <f t="shared" si="68"/>
        <v>24897.075972511244</v>
      </c>
      <c r="AZ70" s="75">
        <f t="shared" si="69"/>
        <v>36.939595174926161</v>
      </c>
      <c r="BA70" s="75">
        <f t="shared" si="70"/>
        <v>347424.58563544287</v>
      </c>
      <c r="BB70" s="75">
        <f t="shared" si="71"/>
        <v>650.78609829146762</v>
      </c>
      <c r="BD70" s="81">
        <v>63</v>
      </c>
      <c r="BE70" s="69">
        <f>'보험개발원 위험률(1세)'!E70</f>
        <v>1.804E-3</v>
      </c>
      <c r="BF70" s="69">
        <f>'보험개발원 위험률(1세)'!E434</f>
        <v>3.3119999999999997E-4</v>
      </c>
      <c r="BG70" s="72">
        <f t="shared" si="72"/>
        <v>3.3060251519999995E-4</v>
      </c>
      <c r="BH70" s="75">
        <f t="shared" si="83"/>
        <v>96544.141602233329</v>
      </c>
      <c r="BI70" s="75">
        <f t="shared" si="73"/>
        <v>31.917736041523291</v>
      </c>
      <c r="BJ70" s="75">
        <f t="shared" si="74"/>
        <v>26067.787617519214</v>
      </c>
      <c r="BK70" s="75">
        <f t="shared" si="75"/>
        <v>8.4408189540169118</v>
      </c>
      <c r="BL70" s="75">
        <f t="shared" si="76"/>
        <v>382713.02343919588</v>
      </c>
      <c r="BM70" s="75">
        <f t="shared" si="77"/>
        <v>258.03924150788873</v>
      </c>
    </row>
    <row r="71" spans="1:65" ht="18" customHeight="1">
      <c r="A71" s="66">
        <v>64</v>
      </c>
      <c r="B71" s="69">
        <f>'보험개발원 위험률(1세)'!D71</f>
        <v>5.1339999999999997E-3</v>
      </c>
      <c r="C71" s="69">
        <f>'보험개발원 위험률(1세)'!D273</f>
        <v>1.17476E-2</v>
      </c>
      <c r="D71" s="72">
        <f t="shared" ref="D71:D87" si="84">(1-B71)*C71</f>
        <v>1.1687287821600001E-2</v>
      </c>
      <c r="E71" s="75">
        <f t="shared" si="78"/>
        <v>81020.946432381228</v>
      </c>
      <c r="F71" s="75">
        <f t="shared" ref="F71:F87" si="85">E71*D71</f>
        <v>946.91512053367512</v>
      </c>
      <c r="G71" s="75">
        <f t="shared" ref="G71:G87" si="86">$E$3^A71*E71</f>
        <v>21426.430102346119</v>
      </c>
      <c r="H71" s="75">
        <f t="shared" ref="H71:H87" si="87">$E$3^(A71+1)*F71</f>
        <v>245.26626405045397</v>
      </c>
      <c r="I71" s="75">
        <f t="shared" ref="I71:I86" si="88">G71+I72</f>
        <v>258204.74163019078</v>
      </c>
      <c r="J71" s="75">
        <f t="shared" ref="J71:J86" si="89">H71+J72</f>
        <v>4510.5246149438644</v>
      </c>
      <c r="L71" s="66">
        <v>64</v>
      </c>
      <c r="M71" s="69">
        <f>'보험개발원 위험률(1세)'!E71</f>
        <v>1.9419999999999997E-3</v>
      </c>
      <c r="N71" s="69">
        <f>'보험개발원 위험률(1세)'!E273</f>
        <v>7.234E-3</v>
      </c>
      <c r="O71" s="72">
        <f t="shared" ref="O71:O87" si="90">(1-M71)*N71</f>
        <v>7.2199515719999999E-3</v>
      </c>
      <c r="P71" s="75">
        <f t="shared" si="79"/>
        <v>80007.329566992339</v>
      </c>
      <c r="Q71" s="75">
        <f t="shared" ref="Q71:Q87" si="91">P71*O71</f>
        <v>577.64904487872843</v>
      </c>
      <c r="R71" s="75">
        <f t="shared" ref="R71:R87" si="92">$E$3^L71*P71</f>
        <v>21158.373607413174</v>
      </c>
      <c r="S71" s="75">
        <f t="shared" ref="S71:S87" si="93">$E$3^(L71+1)*Q71</f>
        <v>149.62040429755737</v>
      </c>
      <c r="T71" s="75">
        <f t="shared" ref="T71:T86" si="94">R71+T72</f>
        <v>280331.16302176088</v>
      </c>
      <c r="U71" s="75">
        <f t="shared" ref="U71:U86" si="95">S71+U72</f>
        <v>2379.5070799784212</v>
      </c>
      <c r="W71" s="78">
        <v>64</v>
      </c>
      <c r="X71" s="69">
        <f>'보험개발원 위험률(1세)'!D71</f>
        <v>5.1339999999999997E-3</v>
      </c>
      <c r="Y71" s="69">
        <f>'보험개발원 위험률(1세)'!D354</f>
        <v>4.0838000000000003E-3</v>
      </c>
      <c r="Z71" s="72">
        <f t="shared" ref="Z71:Z87" si="96">(1-X71)*Y71</f>
        <v>4.0628337708000003E-3</v>
      </c>
      <c r="AA71" s="75">
        <f t="shared" si="80"/>
        <v>88959.687255901546</v>
      </c>
      <c r="AB71" s="75">
        <f t="shared" ref="AB71:AB87" si="97">AA71*Z71</f>
        <v>361.42842162308318</v>
      </c>
      <c r="AC71" s="75">
        <f t="shared" ref="AC71:AC87" si="98">$E$3^W71*AA71</f>
        <v>23525.873306181828</v>
      </c>
      <c r="AD71" s="75">
        <f t="shared" ref="AD71:AD87" si="99">$E$3^(W71+1)*AB71</f>
        <v>93.61578115173144</v>
      </c>
      <c r="AE71" s="75">
        <f t="shared" ref="AE71:AE86" si="100">AC71+AE72</f>
        <v>305362.86621345131</v>
      </c>
      <c r="AF71" s="75">
        <f t="shared" ref="AF71:AF86" si="101">AD71+AF72</f>
        <v>1793.1325783204043</v>
      </c>
      <c r="AH71" s="78">
        <v>64</v>
      </c>
      <c r="AI71" s="69">
        <f>'보험개발원 위험률(1세)'!E71</f>
        <v>1.9419999999999997E-3</v>
      </c>
      <c r="AJ71" s="69">
        <f>'보험개발원 위험률(1세)'!E354</f>
        <v>2.4524E-3</v>
      </c>
      <c r="AK71" s="72">
        <f t="shared" ref="AK71:AK87" si="102">(1-AI71)*AJ71</f>
        <v>2.4476374392000001E-3</v>
      </c>
      <c r="AL71" s="75">
        <f t="shared" si="81"/>
        <v>93589.408693408666</v>
      </c>
      <c r="AM71" s="75">
        <f t="shared" ref="AM71:AM87" si="103">AL71*AK71</f>
        <v>229.07294063057702</v>
      </c>
      <c r="AN71" s="75">
        <f t="shared" ref="AN71:AN87" si="104">$E$3^AH71*AL71</f>
        <v>24750.22832969256</v>
      </c>
      <c r="AO71" s="75">
        <f t="shared" ref="AO71:AO87" si="105">$E$3^(AH71+1)*AM71</f>
        <v>59.333580302158666</v>
      </c>
      <c r="AP71" s="75">
        <f t="shared" ref="AP71:AP86" si="106">AN71+AP72</f>
        <v>339071.60749031411</v>
      </c>
      <c r="AQ71" s="75">
        <f t="shared" ref="AQ71:AQ86" si="107">AO71+AQ72</f>
        <v>1400.9375713588774</v>
      </c>
      <c r="AS71" s="81">
        <v>64</v>
      </c>
      <c r="AT71" s="69">
        <f>'보험개발원 위험률(1세)'!D71</f>
        <v>5.1339999999999997E-3</v>
      </c>
      <c r="AU71" s="69">
        <f>'보험개발원 위험률(1세)'!D435</f>
        <v>1.578E-3</v>
      </c>
      <c r="AV71" s="72">
        <f t="shared" ref="AV71:AV87" si="108">(1-AT71)*AU71</f>
        <v>1.5698985480000001E-3</v>
      </c>
      <c r="AW71" s="75">
        <f t="shared" si="82"/>
        <v>91635.440744829626</v>
      </c>
      <c r="AX71" s="75">
        <f t="shared" ref="AX71:AX87" si="109">AW71*AV71</f>
        <v>143.85834537064807</v>
      </c>
      <c r="AY71" s="75">
        <f t="shared" ref="AY71:AY87" si="110">$E$3^AS71*AW71</f>
        <v>24233.490874553168</v>
      </c>
      <c r="AZ71" s="75">
        <f t="shared" ref="AZ71:AZ87" si="111">$E$3^(AS71+1)*AX71</f>
        <v>37.261627949982639</v>
      </c>
      <c r="BA71" s="75">
        <f t="shared" ref="BA71:BA86" si="112">AY71+BA72</f>
        <v>322527.50966293161</v>
      </c>
      <c r="BB71" s="75">
        <f t="shared" ref="BB71:BB86" si="113">AZ71+BB72</f>
        <v>613.8465031165415</v>
      </c>
      <c r="BD71" s="81">
        <v>64</v>
      </c>
      <c r="BE71" s="69">
        <f>'보험개발원 위험률(1세)'!E71</f>
        <v>1.9419999999999997E-3</v>
      </c>
      <c r="BF71" s="69">
        <f>'보험개발원 위험률(1세)'!E435</f>
        <v>3.6959999999999998E-4</v>
      </c>
      <c r="BG71" s="72">
        <f t="shared" ref="BG71:BG87" si="114">(1-BE71)*BF71</f>
        <v>3.6888223679999997E-4</v>
      </c>
      <c r="BH71" s="75">
        <f t="shared" si="83"/>
        <v>96338.058234741373</v>
      </c>
      <c r="BI71" s="75">
        <f t="shared" ref="BI71:BI87" si="115">BH71*BG71</f>
        <v>35.537398410600055</v>
      </c>
      <c r="BJ71" s="75">
        <f t="shared" ref="BJ71:BJ87" si="116">$E$3^BD71*BH71</f>
        <v>25477.123655734729</v>
      </c>
      <c r="BK71" s="75">
        <f t="shared" ref="BK71:BK87" si="117">$E$3^(BD71+1)*BI71</f>
        <v>9.2047584342386095</v>
      </c>
      <c r="BL71" s="75">
        <f t="shared" ref="BL71:BL86" si="118">BJ71+BL72</f>
        <v>356645.23582167667</v>
      </c>
      <c r="BM71" s="75">
        <f t="shared" ref="BM71:BM86" si="119">BK71+BM72</f>
        <v>249.59842255387184</v>
      </c>
    </row>
    <row r="72" spans="1:65" ht="18" customHeight="1">
      <c r="A72" s="66">
        <v>65</v>
      </c>
      <c r="B72" s="69">
        <f>'보험개발원 위험률(1세)'!D72</f>
        <v>5.5700000000000003E-3</v>
      </c>
      <c r="C72" s="69">
        <f>'보험개발원 위험률(1세)'!D274</f>
        <v>1.2609E-2</v>
      </c>
      <c r="D72" s="72">
        <f t="shared" si="84"/>
        <v>1.253876787E-2</v>
      </c>
      <c r="E72" s="75">
        <f t="shared" ref="E72:E87" si="120">E71*(1-B71)*(1-C71)</f>
        <v>79658.069772863717</v>
      </c>
      <c r="F72" s="75">
        <f t="shared" si="85"/>
        <v>998.81404585420182</v>
      </c>
      <c r="G72" s="75">
        <f t="shared" si="86"/>
        <v>20632.72277630281</v>
      </c>
      <c r="H72" s="75">
        <f t="shared" si="87"/>
        <v>253.38777807847489</v>
      </c>
      <c r="I72" s="75">
        <f t="shared" si="88"/>
        <v>236778.31152784466</v>
      </c>
      <c r="J72" s="75">
        <f t="shared" si="89"/>
        <v>4265.2583508934104</v>
      </c>
      <c r="L72" s="66">
        <v>65</v>
      </c>
      <c r="M72" s="69">
        <f>'보험개발원 위험률(1세)'!E72</f>
        <v>2.0799999999999998E-3</v>
      </c>
      <c r="N72" s="69">
        <f>'보험개발원 위험률(1세)'!E274</f>
        <v>7.3864999999999998E-3</v>
      </c>
      <c r="O72" s="72">
        <f t="shared" si="90"/>
        <v>7.37113608E-3</v>
      </c>
      <c r="P72" s="75">
        <f t="shared" ref="P72:P87" si="121">P71*(1-M71)*(1-N71)</f>
        <v>79274.306288094522</v>
      </c>
      <c r="Q72" s="75">
        <f t="shared" si="91"/>
        <v>584.34169929714437</v>
      </c>
      <c r="R72" s="75">
        <f t="shared" si="92"/>
        <v>20533.321854142778</v>
      </c>
      <c r="S72" s="75">
        <f t="shared" si="93"/>
        <v>148.24085167612569</v>
      </c>
      <c r="T72" s="75">
        <f t="shared" si="94"/>
        <v>259172.78941434773</v>
      </c>
      <c r="U72" s="75">
        <f t="shared" si="95"/>
        <v>2229.8866756808638</v>
      </c>
      <c r="W72" s="78">
        <v>65</v>
      </c>
      <c r="X72" s="69">
        <f>'보험개발원 위험률(1세)'!D72</f>
        <v>5.5700000000000003E-3</v>
      </c>
      <c r="Y72" s="69">
        <f>'보험개발원 위험률(1세)'!D355</f>
        <v>4.3315000000000003E-3</v>
      </c>
      <c r="Z72" s="72">
        <f t="shared" si="96"/>
        <v>4.3073735450000006E-3</v>
      </c>
      <c r="AA72" s="75">
        <f t="shared" ref="AA72:AA87" si="122">AA71*(1-X71)*(1-Y71)</f>
        <v>88141.539799906677</v>
      </c>
      <c r="AB72" s="75">
        <f t="shared" si="97"/>
        <v>379.6585367496827</v>
      </c>
      <c r="AC72" s="75">
        <f t="shared" si="98"/>
        <v>22830.078119561196</v>
      </c>
      <c r="AD72" s="75">
        <f t="shared" si="99"/>
        <v>96.315058298218673</v>
      </c>
      <c r="AE72" s="75">
        <f t="shared" si="100"/>
        <v>281836.99290726951</v>
      </c>
      <c r="AF72" s="75">
        <f t="shared" si="101"/>
        <v>1699.5167971686728</v>
      </c>
      <c r="AH72" s="78">
        <v>65</v>
      </c>
      <c r="AI72" s="69">
        <f>'보험개발원 위험률(1세)'!E72</f>
        <v>2.0799999999999998E-3</v>
      </c>
      <c r="AJ72" s="69">
        <f>'보험개발원 위험률(1세)'!E355</f>
        <v>2.6414999999999998E-3</v>
      </c>
      <c r="AK72" s="72">
        <f t="shared" si="102"/>
        <v>2.6360056799999997E-3</v>
      </c>
      <c r="AL72" s="75">
        <f t="shared" ref="AL72:AL87" si="123">AL71*(1-AI71)*(1-AJ71)</f>
        <v>93178.585121095486</v>
      </c>
      <c r="AM72" s="75">
        <f t="shared" si="103"/>
        <v>245.61927963357115</v>
      </c>
      <c r="AN72" s="75">
        <f t="shared" si="104"/>
        <v>24134.753967470904</v>
      </c>
      <c r="AO72" s="75">
        <f t="shared" si="105"/>
        <v>62.310821296430788</v>
      </c>
      <c r="AP72" s="75">
        <f t="shared" si="106"/>
        <v>314321.37916062155</v>
      </c>
      <c r="AQ72" s="75">
        <f t="shared" si="107"/>
        <v>1341.6039910567188</v>
      </c>
      <c r="AS72" s="81">
        <v>65</v>
      </c>
      <c r="AT72" s="69">
        <f>'보험개발원 위험률(1세)'!D72</f>
        <v>5.5700000000000003E-3</v>
      </c>
      <c r="AU72" s="69">
        <f>'보험개발원 위험률(1세)'!D436</f>
        <v>1.634E-3</v>
      </c>
      <c r="AV72" s="72">
        <f t="shared" si="108"/>
        <v>1.6248986200000002E-3</v>
      </c>
      <c r="AW72" s="75">
        <f t="shared" ref="AW72:AW87" si="124">AW71*(1-AT71)*(1-AU71)</f>
        <v>91021.126046675025</v>
      </c>
      <c r="AX72" s="75">
        <f t="shared" si="109"/>
        <v>147.90010210408832</v>
      </c>
      <c r="AY72" s="75">
        <f t="shared" si="110"/>
        <v>23575.93732641164</v>
      </c>
      <c r="AZ72" s="75">
        <f t="shared" si="111"/>
        <v>37.520575932314173</v>
      </c>
      <c r="BA72" s="75">
        <f t="shared" si="112"/>
        <v>298294.01878837845</v>
      </c>
      <c r="BB72" s="75">
        <f t="shared" si="113"/>
        <v>576.58487516655885</v>
      </c>
      <c r="BD72" s="81">
        <v>65</v>
      </c>
      <c r="BE72" s="69">
        <f>'보험개발원 위험률(1세)'!E72</f>
        <v>2.0799999999999998E-3</v>
      </c>
      <c r="BF72" s="69">
        <f>'보험개발원 위험률(1세)'!E436</f>
        <v>4.0799999999999994E-4</v>
      </c>
      <c r="BG72" s="72">
        <f t="shared" si="114"/>
        <v>4.0715135999999994E-4</v>
      </c>
      <c r="BH72" s="75">
        <f t="shared" ref="BH72:BH87" si="125">BH71*(1-BE71)*(1-BF71)</f>
        <v>96115.432327238901</v>
      </c>
      <c r="BI72" s="75">
        <f t="shared" si="115"/>
        <v>39.133528989023276</v>
      </c>
      <c r="BJ72" s="75">
        <f t="shared" si="116"/>
        <v>24895.444684852046</v>
      </c>
      <c r="BK72" s="75">
        <f t="shared" si="117"/>
        <v>9.9277317935771592</v>
      </c>
      <c r="BL72" s="75">
        <f t="shared" si="118"/>
        <v>331168.11216594192</v>
      </c>
      <c r="BM72" s="75">
        <f t="shared" si="119"/>
        <v>240.39366411963323</v>
      </c>
    </row>
    <row r="73" spans="1:65" ht="18" customHeight="1">
      <c r="A73" s="66">
        <v>66</v>
      </c>
      <c r="B73" s="69">
        <f>'보험개발원 위험률(1세)'!D73</f>
        <v>6.326E-3</v>
      </c>
      <c r="C73" s="69">
        <f>'보험개발원 위험률(1세)'!D275</f>
        <v>1.34704E-2</v>
      </c>
      <c r="D73" s="72">
        <f t="shared" si="84"/>
        <v>1.3385186249599999E-2</v>
      </c>
      <c r="E73" s="75">
        <f t="shared" si="120"/>
        <v>78215.560278374658</v>
      </c>
      <c r="F73" s="75">
        <f t="shared" si="85"/>
        <v>1046.9298419428603</v>
      </c>
      <c r="G73" s="75">
        <f t="shared" si="86"/>
        <v>19842.399205700956</v>
      </c>
      <c r="H73" s="75">
        <f t="shared" si="87"/>
        <v>260.13144858689759</v>
      </c>
      <c r="I73" s="75">
        <f t="shared" si="88"/>
        <v>216145.58875154186</v>
      </c>
      <c r="J73" s="75">
        <f t="shared" si="89"/>
        <v>4011.8705728149353</v>
      </c>
      <c r="L73" s="66">
        <v>66</v>
      </c>
      <c r="M73" s="69">
        <f>'보험개발원 위험률(1세)'!E73</f>
        <v>2.3699999999999997E-3</v>
      </c>
      <c r="N73" s="69">
        <f>'보험개발원 위험률(1세)'!E275</f>
        <v>7.5389999999999997E-3</v>
      </c>
      <c r="O73" s="72">
        <f t="shared" si="90"/>
        <v>7.5211325700000001E-3</v>
      </c>
      <c r="P73" s="75">
        <f t="shared" si="121"/>
        <v>78525.074031718133</v>
      </c>
      <c r="Q73" s="75">
        <f t="shared" si="91"/>
        <v>590.5974918616165</v>
      </c>
      <c r="R73" s="75">
        <f t="shared" si="92"/>
        <v>19920.919329211396</v>
      </c>
      <c r="S73" s="75">
        <f t="shared" si="93"/>
        <v>146.74620488861351</v>
      </c>
      <c r="T73" s="75">
        <f t="shared" si="94"/>
        <v>238639.46756020497</v>
      </c>
      <c r="U73" s="75">
        <f t="shared" si="95"/>
        <v>2081.6458240047382</v>
      </c>
      <c r="W73" s="78">
        <v>66</v>
      </c>
      <c r="X73" s="69">
        <f>'보험개발원 위험률(1세)'!D73</f>
        <v>6.326E-3</v>
      </c>
      <c r="Y73" s="69">
        <f>'보험개발원 위험률(1세)'!D356</f>
        <v>4.5792000000000003E-3</v>
      </c>
      <c r="Z73" s="72">
        <f t="shared" si="96"/>
        <v>4.5502319808000003E-3</v>
      </c>
      <c r="AA73" s="75">
        <f t="shared" si="122"/>
        <v>87270.932886471506</v>
      </c>
      <c r="AB73" s="75">
        <f t="shared" si="97"/>
        <v>397.10298981427314</v>
      </c>
      <c r="AC73" s="75">
        <f t="shared" si="98"/>
        <v>22139.644377975274</v>
      </c>
      <c r="AD73" s="75">
        <f t="shared" si="99"/>
        <v>98.668479816064675</v>
      </c>
      <c r="AE73" s="75">
        <f t="shared" si="100"/>
        <v>259006.91478770832</v>
      </c>
      <c r="AF73" s="75">
        <f t="shared" si="101"/>
        <v>1603.2017388704542</v>
      </c>
      <c r="AH73" s="78">
        <v>66</v>
      </c>
      <c r="AI73" s="69">
        <f>'보험개발원 위험률(1세)'!E73</f>
        <v>2.3699999999999997E-3</v>
      </c>
      <c r="AJ73" s="69">
        <f>'보험개발원 위험률(1세)'!E356</f>
        <v>2.8306E-3</v>
      </c>
      <c r="AK73" s="72">
        <f t="shared" si="102"/>
        <v>2.8238914780000001E-3</v>
      </c>
      <c r="AL73" s="75">
        <f t="shared" si="123"/>
        <v>92739.154384410038</v>
      </c>
      <c r="AM73" s="75">
        <f t="shared" si="103"/>
        <v>261.88530774306184</v>
      </c>
      <c r="AN73" s="75">
        <f t="shared" si="104"/>
        <v>23526.870059426943</v>
      </c>
      <c r="AO73" s="75">
        <f t="shared" si="105"/>
        <v>65.070840220204815</v>
      </c>
      <c r="AP73" s="75">
        <f t="shared" si="106"/>
        <v>290186.62519315066</v>
      </c>
      <c r="AQ73" s="75">
        <f t="shared" si="107"/>
        <v>1279.293169760288</v>
      </c>
      <c r="AS73" s="81">
        <v>66</v>
      </c>
      <c r="AT73" s="69">
        <f>'보험개발원 위험률(1세)'!D73</f>
        <v>6.326E-3</v>
      </c>
      <c r="AU73" s="69">
        <f>'보험개발원 위험률(1세)'!D437</f>
        <v>1.6899999999999999E-3</v>
      </c>
      <c r="AV73" s="72">
        <f t="shared" si="108"/>
        <v>1.6793090599999997E-3</v>
      </c>
      <c r="AW73" s="75">
        <f t="shared" si="124"/>
        <v>90366.238272490955</v>
      </c>
      <c r="AX73" s="75">
        <f t="shared" si="109"/>
        <v>151.75284264911278</v>
      </c>
      <c r="AY73" s="75">
        <f t="shared" si="110"/>
        <v>22924.888195373784</v>
      </c>
      <c r="AZ73" s="75">
        <f t="shared" si="111"/>
        <v>37.706143433867034</v>
      </c>
      <c r="BA73" s="75">
        <f t="shared" si="112"/>
        <v>274718.08146196679</v>
      </c>
      <c r="BB73" s="75">
        <f t="shared" si="113"/>
        <v>539.06429923424469</v>
      </c>
      <c r="BD73" s="81">
        <v>66</v>
      </c>
      <c r="BE73" s="69">
        <f>'보험개발원 위험률(1세)'!E73</f>
        <v>2.3699999999999997E-3</v>
      </c>
      <c r="BF73" s="69">
        <f>'보험개발원 위험률(1세)'!E437</f>
        <v>4.4639999999999995E-4</v>
      </c>
      <c r="BG73" s="72">
        <f t="shared" si="114"/>
        <v>4.4534203199999997E-4</v>
      </c>
      <c r="BH73" s="75">
        <f t="shared" si="125"/>
        <v>95876.378699009219</v>
      </c>
      <c r="BI73" s="75">
        <f t="shared" si="115"/>
        <v>42.697781310618282</v>
      </c>
      <c r="BJ73" s="75">
        <f t="shared" si="116"/>
        <v>24322.748232856327</v>
      </c>
      <c r="BK73" s="75">
        <f t="shared" si="117"/>
        <v>10.609149972423747</v>
      </c>
      <c r="BL73" s="75">
        <f t="shared" si="118"/>
        <v>306272.66748108988</v>
      </c>
      <c r="BM73" s="75">
        <f t="shared" si="119"/>
        <v>230.46593232605608</v>
      </c>
    </row>
    <row r="74" spans="1:65" ht="18" customHeight="1">
      <c r="A74" s="66">
        <v>67</v>
      </c>
      <c r="B74" s="69">
        <f>'보험개발원 위험률(1세)'!D74</f>
        <v>7.0820000000000006E-3</v>
      </c>
      <c r="C74" s="69">
        <f>'보험개발원 위험률(1세)'!D276</f>
        <v>1.43318E-2</v>
      </c>
      <c r="D74" s="72">
        <f t="shared" si="84"/>
        <v>1.4230302192400001E-2</v>
      </c>
      <c r="E74" s="75">
        <f t="shared" si="120"/>
        <v>76673.838802110782</v>
      </c>
      <c r="F74" s="75">
        <f t="shared" si="85"/>
        <v>1091.0918964054013</v>
      </c>
      <c r="G74" s="75">
        <f t="shared" si="86"/>
        <v>19051.206639880969</v>
      </c>
      <c r="H74" s="75">
        <f t="shared" si="87"/>
        <v>265.52833263013088</v>
      </c>
      <c r="I74" s="75">
        <f t="shared" si="88"/>
        <v>196303.1895458409</v>
      </c>
      <c r="J74" s="75">
        <f t="shared" si="89"/>
        <v>3751.7391242280378</v>
      </c>
      <c r="L74" s="66">
        <v>67</v>
      </c>
      <c r="M74" s="69">
        <f>'보험개발원 위험률(1세)'!E74</f>
        <v>2.66E-3</v>
      </c>
      <c r="N74" s="69">
        <f>'보험개발원 위험률(1세)'!E276</f>
        <v>7.6915000000000004E-3</v>
      </c>
      <c r="O74" s="72">
        <f t="shared" si="90"/>
        <v>7.6710406100000007E-3</v>
      </c>
      <c r="P74" s="75">
        <f t="shared" si="121"/>
        <v>77748.372114401354</v>
      </c>
      <c r="Q74" s="75">
        <f t="shared" si="91"/>
        <v>596.41091985096443</v>
      </c>
      <c r="R74" s="75">
        <f t="shared" si="92"/>
        <v>19318.19674359441</v>
      </c>
      <c r="S74" s="75">
        <f t="shared" si="93"/>
        <v>145.14267554562443</v>
      </c>
      <c r="T74" s="75">
        <f t="shared" si="94"/>
        <v>218718.54823099356</v>
      </c>
      <c r="U74" s="75">
        <f t="shared" si="95"/>
        <v>1934.8996191161245</v>
      </c>
      <c r="W74" s="78">
        <v>67</v>
      </c>
      <c r="X74" s="69">
        <f>'보험개발원 위험률(1세)'!D74</f>
        <v>7.0820000000000006E-3</v>
      </c>
      <c r="Y74" s="69">
        <f>'보험개발원 위험률(1세)'!D357</f>
        <v>4.8269000000000003E-3</v>
      </c>
      <c r="Z74" s="72">
        <f t="shared" si="96"/>
        <v>4.7927158942E-3</v>
      </c>
      <c r="AA74" s="75">
        <f t="shared" si="122"/>
        <v>86321.753975217405</v>
      </c>
      <c r="AB74" s="75">
        <f t="shared" si="97"/>
        <v>413.71564229224651</v>
      </c>
      <c r="AC74" s="75">
        <f t="shared" si="98"/>
        <v>21448.431410135163</v>
      </c>
      <c r="AD74" s="75">
        <f t="shared" si="99"/>
        <v>100.68191785015998</v>
      </c>
      <c r="AE74" s="75">
        <f t="shared" si="100"/>
        <v>236867.27040973306</v>
      </c>
      <c r="AF74" s="75">
        <f t="shared" si="101"/>
        <v>1504.5332590543894</v>
      </c>
      <c r="AH74" s="78">
        <v>67</v>
      </c>
      <c r="AI74" s="69">
        <f>'보험개발원 위험률(1세)'!E74</f>
        <v>2.66E-3</v>
      </c>
      <c r="AJ74" s="69">
        <f>'보험개발원 위험률(1세)'!E357</f>
        <v>3.0197000000000002E-3</v>
      </c>
      <c r="AK74" s="72">
        <f t="shared" si="102"/>
        <v>3.0116675980000002E-3</v>
      </c>
      <c r="AL74" s="75">
        <f t="shared" si="123"/>
        <v>92257.477280775915</v>
      </c>
      <c r="AM74" s="75">
        <f t="shared" si="103"/>
        <v>277.84885499973399</v>
      </c>
      <c r="AN74" s="75">
        <f t="shared" si="104"/>
        <v>22923.285063194195</v>
      </c>
      <c r="AO74" s="75">
        <f t="shared" si="105"/>
        <v>67.617350503956274</v>
      </c>
      <c r="AP74" s="75">
        <f t="shared" si="106"/>
        <v>266659.75513372372</v>
      </c>
      <c r="AQ74" s="75">
        <f t="shared" si="107"/>
        <v>1214.2223295400831</v>
      </c>
      <c r="AS74" s="81">
        <v>67</v>
      </c>
      <c r="AT74" s="69">
        <f>'보험개발원 위험률(1세)'!D74</f>
        <v>7.0820000000000006E-3</v>
      </c>
      <c r="AU74" s="69">
        <f>'보험개발원 위험률(1세)'!D438</f>
        <v>1.7459999999999999E-3</v>
      </c>
      <c r="AV74" s="72">
        <f t="shared" si="108"/>
        <v>1.7336348279999999E-3</v>
      </c>
      <c r="AW74" s="75">
        <f t="shared" si="124"/>
        <v>89642.828606530064</v>
      </c>
      <c r="AX74" s="75">
        <f t="shared" si="109"/>
        <v>155.40792975271521</v>
      </c>
      <c r="AY74" s="75">
        <f t="shared" si="110"/>
        <v>22273.621332227107</v>
      </c>
      <c r="AZ74" s="75">
        <f t="shared" si="111"/>
        <v>37.820103513450213</v>
      </c>
      <c r="BA74" s="75">
        <f t="shared" si="112"/>
        <v>251793.19326659304</v>
      </c>
      <c r="BB74" s="75">
        <f t="shared" si="113"/>
        <v>501.35815580037763</v>
      </c>
      <c r="BD74" s="81">
        <v>67</v>
      </c>
      <c r="BE74" s="69">
        <f>'보험개발원 위험률(1세)'!E74</f>
        <v>2.66E-3</v>
      </c>
      <c r="BF74" s="69">
        <f>'보험개발원 위험률(1세)'!E438</f>
        <v>4.8479999999999997E-4</v>
      </c>
      <c r="BG74" s="72">
        <f t="shared" si="114"/>
        <v>4.8351043199999999E-4</v>
      </c>
      <c r="BH74" s="75">
        <f t="shared" si="125"/>
        <v>95606.45390018195</v>
      </c>
      <c r="BI74" s="75">
        <f t="shared" si="115"/>
        <v>46.226717827265055</v>
      </c>
      <c r="BJ74" s="75">
        <f t="shared" si="116"/>
        <v>23755.407813342423</v>
      </c>
      <c r="BK74" s="75">
        <f t="shared" si="117"/>
        <v>11.249742893403889</v>
      </c>
      <c r="BL74" s="75">
        <f t="shared" si="118"/>
        <v>281949.91924823355</v>
      </c>
      <c r="BM74" s="75">
        <f t="shared" si="119"/>
        <v>219.85678235363233</v>
      </c>
    </row>
    <row r="75" spans="1:65" ht="18" customHeight="1">
      <c r="A75" s="66">
        <v>68</v>
      </c>
      <c r="B75" s="69">
        <f>'보험개발원 위험률(1세)'!D75</f>
        <v>7.8380000000000012E-3</v>
      </c>
      <c r="C75" s="69">
        <f>'보험개발원 위험률(1세)'!D277</f>
        <v>1.51932E-2</v>
      </c>
      <c r="D75" s="72">
        <f t="shared" si="84"/>
        <v>1.50741156984E-2</v>
      </c>
      <c r="E75" s="75">
        <f t="shared" si="120"/>
        <v>75039.742779308828</v>
      </c>
      <c r="F75" s="75">
        <f t="shared" si="85"/>
        <v>1131.1577646334772</v>
      </c>
      <c r="G75" s="75">
        <f t="shared" si="86"/>
        <v>18261.686157533761</v>
      </c>
      <c r="H75" s="75">
        <f t="shared" si="87"/>
        <v>269.61681683303976</v>
      </c>
      <c r="I75" s="75">
        <f t="shared" si="88"/>
        <v>177251.98290595991</v>
      </c>
      <c r="J75" s="75">
        <f t="shared" si="89"/>
        <v>3486.2107915979068</v>
      </c>
      <c r="L75" s="66">
        <v>68</v>
      </c>
      <c r="M75" s="69">
        <f>'보험개발원 위험률(1세)'!E75</f>
        <v>2.9500000000000004E-3</v>
      </c>
      <c r="N75" s="69">
        <f>'보험개발원 위험률(1세)'!E277</f>
        <v>7.8440000000000003E-3</v>
      </c>
      <c r="O75" s="72">
        <f t="shared" si="90"/>
        <v>7.8208601999999999E-3</v>
      </c>
      <c r="P75" s="75">
        <f t="shared" si="121"/>
        <v>76945.150524726079</v>
      </c>
      <c r="Q75" s="75">
        <f t="shared" si="91"/>
        <v>601.77726532183931</v>
      </c>
      <c r="R75" s="75">
        <f t="shared" si="92"/>
        <v>18725.386550954328</v>
      </c>
      <c r="S75" s="75">
        <f t="shared" si="93"/>
        <v>143.43646464835845</v>
      </c>
      <c r="T75" s="75">
        <f t="shared" si="94"/>
        <v>199400.35148739917</v>
      </c>
      <c r="U75" s="75">
        <f t="shared" si="95"/>
        <v>1789.7569435705002</v>
      </c>
      <c r="W75" s="78">
        <v>68</v>
      </c>
      <c r="X75" s="69">
        <f>'보험개발원 위험률(1세)'!D75</f>
        <v>7.8380000000000012E-3</v>
      </c>
      <c r="Y75" s="69">
        <f>'보험개발원 위험률(1세)'!D358</f>
        <v>5.0746000000000003E-3</v>
      </c>
      <c r="Z75" s="72">
        <f t="shared" si="96"/>
        <v>5.0348252852000005E-3</v>
      </c>
      <c r="AA75" s="75">
        <f t="shared" si="122"/>
        <v>85296.70767127267</v>
      </c>
      <c r="AB75" s="75">
        <f t="shared" si="97"/>
        <v>429.45402052763649</v>
      </c>
      <c r="AC75" s="75">
        <f t="shared" si="98"/>
        <v>20757.823095752767</v>
      </c>
      <c r="AD75" s="75">
        <f t="shared" si="99"/>
        <v>102.36240214319744</v>
      </c>
      <c r="AE75" s="75">
        <f t="shared" si="100"/>
        <v>215418.83899959791</v>
      </c>
      <c r="AF75" s="75">
        <f t="shared" si="101"/>
        <v>1403.8513412042294</v>
      </c>
      <c r="AH75" s="78">
        <v>68</v>
      </c>
      <c r="AI75" s="69">
        <f>'보험개발원 위험률(1세)'!E75</f>
        <v>2.9500000000000004E-3</v>
      </c>
      <c r="AJ75" s="69">
        <f>'보험개발원 위험률(1세)'!E358</f>
        <v>3.2087999999999999E-3</v>
      </c>
      <c r="AK75" s="72">
        <f t="shared" si="102"/>
        <v>3.1993340399999997E-3</v>
      </c>
      <c r="AL75" s="75">
        <f t="shared" si="123"/>
        <v>91734.22353620932</v>
      </c>
      <c r="AM75" s="75">
        <f t="shared" si="103"/>
        <v>293.48842399236361</v>
      </c>
      <c r="AN75" s="75">
        <f t="shared" si="104"/>
        <v>22324.458188111228</v>
      </c>
      <c r="AO75" s="75">
        <f t="shared" si="105"/>
        <v>69.954357498316327</v>
      </c>
      <c r="AP75" s="75">
        <f t="shared" si="106"/>
        <v>243736.47007052955</v>
      </c>
      <c r="AQ75" s="75">
        <f t="shared" si="107"/>
        <v>1146.6049790361269</v>
      </c>
      <c r="AS75" s="81">
        <v>68</v>
      </c>
      <c r="AT75" s="69">
        <f>'보험개발원 위험률(1세)'!D75</f>
        <v>7.8380000000000012E-3</v>
      </c>
      <c r="AU75" s="69">
        <f>'보험개발원 위험률(1세)'!D439</f>
        <v>1.8019999999999998E-3</v>
      </c>
      <c r="AV75" s="72">
        <f t="shared" si="108"/>
        <v>1.7878759239999997E-3</v>
      </c>
      <c r="AW75" s="75">
        <f t="shared" si="124"/>
        <v>88852.570164585894</v>
      </c>
      <c r="AX75" s="75">
        <f t="shared" si="109"/>
        <v>158.85737098278381</v>
      </c>
      <c r="AY75" s="75">
        <f t="shared" si="110"/>
        <v>21623.178472345779</v>
      </c>
      <c r="AZ75" s="75">
        <f t="shared" si="111"/>
        <v>37.864407630814995</v>
      </c>
      <c r="BA75" s="75">
        <f t="shared" si="112"/>
        <v>229519.57193436593</v>
      </c>
      <c r="BB75" s="75">
        <f t="shared" si="113"/>
        <v>463.53805228692744</v>
      </c>
      <c r="BD75" s="81">
        <v>68</v>
      </c>
      <c r="BE75" s="69">
        <f>'보험개발원 위험률(1세)'!E75</f>
        <v>2.9500000000000004E-3</v>
      </c>
      <c r="BF75" s="69">
        <f>'보험개발원 위험률(1세)'!E439</f>
        <v>5.2319999999999992E-4</v>
      </c>
      <c r="BG75" s="72">
        <f t="shared" si="114"/>
        <v>5.2165655999999994E-4</v>
      </c>
      <c r="BH75" s="75">
        <f t="shared" si="125"/>
        <v>95305.914014980212</v>
      </c>
      <c r="BI75" s="75">
        <f t="shared" si="115"/>
        <v>49.716955252710356</v>
      </c>
      <c r="BJ75" s="75">
        <f t="shared" si="116"/>
        <v>23193.66546627304</v>
      </c>
      <c r="BK75" s="75">
        <f t="shared" si="117"/>
        <v>11.850272028331819</v>
      </c>
      <c r="BL75" s="75">
        <f t="shared" si="118"/>
        <v>258194.51143489112</v>
      </c>
      <c r="BM75" s="75">
        <f t="shared" si="119"/>
        <v>208.60703946022844</v>
      </c>
    </row>
    <row r="76" spans="1:65" ht="18" customHeight="1">
      <c r="A76" s="66">
        <v>69</v>
      </c>
      <c r="B76" s="69">
        <f>'보험개발원 위험률(1세)'!D76</f>
        <v>8.5940000000000009E-3</v>
      </c>
      <c r="C76" s="69">
        <f>'보험개발원 위험률(1세)'!D278</f>
        <v>1.6054600000000002E-2</v>
      </c>
      <c r="D76" s="72">
        <f t="shared" si="84"/>
        <v>1.5916626767600001E-2</v>
      </c>
      <c r="E76" s="75">
        <f t="shared" si="120"/>
        <v>73320.423510771128</v>
      </c>
      <c r="F76" s="75">
        <f t="shared" si="85"/>
        <v>1167.0138154633082</v>
      </c>
      <c r="G76" s="75">
        <f t="shared" si="86"/>
        <v>17476.270608662562</v>
      </c>
      <c r="H76" s="75">
        <f t="shared" si="87"/>
        <v>272.44199467939251</v>
      </c>
      <c r="I76" s="75">
        <f t="shared" si="88"/>
        <v>158990.29674842616</v>
      </c>
      <c r="J76" s="75">
        <f t="shared" si="89"/>
        <v>3216.5939747648672</v>
      </c>
      <c r="L76" s="66">
        <v>69</v>
      </c>
      <c r="M76" s="69">
        <f>'보험개발원 위험률(1세)'!E76</f>
        <v>3.2399999999999998E-3</v>
      </c>
      <c r="N76" s="69">
        <f>'보험개발원 위험률(1세)'!E278</f>
        <v>7.9965000000000001E-3</v>
      </c>
      <c r="O76" s="72">
        <f t="shared" si="90"/>
        <v>7.9705913399999995E-3</v>
      </c>
      <c r="P76" s="75">
        <f t="shared" si="121"/>
        <v>76116.385065356299</v>
      </c>
      <c r="Q76" s="75">
        <f t="shared" si="91"/>
        <v>606.6925996340342</v>
      </c>
      <c r="R76" s="75">
        <f t="shared" si="92"/>
        <v>18142.701302862919</v>
      </c>
      <c r="S76" s="75">
        <f t="shared" si="93"/>
        <v>141.633749156519</v>
      </c>
      <c r="T76" s="75">
        <f t="shared" si="94"/>
        <v>180674.96493644483</v>
      </c>
      <c r="U76" s="75">
        <f t="shared" si="95"/>
        <v>1646.3204789221418</v>
      </c>
      <c r="W76" s="78">
        <v>69</v>
      </c>
      <c r="X76" s="69">
        <f>'보험개발원 위험률(1세)'!D76</f>
        <v>8.5940000000000009E-3</v>
      </c>
      <c r="Y76" s="69">
        <f>'보험개발원 위험률(1세)'!D359</f>
        <v>5.3223000000000003E-3</v>
      </c>
      <c r="Z76" s="72">
        <f t="shared" si="96"/>
        <v>5.2765601538000001E-3</v>
      </c>
      <c r="AA76" s="75">
        <f t="shared" si="122"/>
        <v>84198.698056017587</v>
      </c>
      <c r="AB76" s="75">
        <f t="shared" si="97"/>
        <v>444.27949516421995</v>
      </c>
      <c r="AC76" s="75">
        <f t="shared" si="98"/>
        <v>20069.158928246867</v>
      </c>
      <c r="AD76" s="75">
        <f t="shared" si="99"/>
        <v>103.71804536833197</v>
      </c>
      <c r="AE76" s="75">
        <f t="shared" si="100"/>
        <v>194661.01590384514</v>
      </c>
      <c r="AF76" s="75">
        <f t="shared" si="101"/>
        <v>1301.4889390610319</v>
      </c>
      <c r="AH76" s="78">
        <v>69</v>
      </c>
      <c r="AI76" s="69">
        <f>'보험개발원 위험률(1세)'!E76</f>
        <v>3.2399999999999998E-3</v>
      </c>
      <c r="AJ76" s="69">
        <f>'보험개발원 위험률(1세)'!E359</f>
        <v>3.3978999999999997E-3</v>
      </c>
      <c r="AK76" s="72">
        <f t="shared" si="102"/>
        <v>3.3868908039999994E-3</v>
      </c>
      <c r="AL76" s="75">
        <f t="shared" si="123"/>
        <v>91170.119152785133</v>
      </c>
      <c r="AM76" s="75">
        <f t="shared" si="103"/>
        <v>308.78323815815219</v>
      </c>
      <c r="AN76" s="75">
        <f t="shared" si="104"/>
        <v>21730.830203183661</v>
      </c>
      <c r="AO76" s="75">
        <f t="shared" si="105"/>
        <v>72.086140037657387</v>
      </c>
      <c r="AP76" s="75">
        <f t="shared" si="106"/>
        <v>221412.01188241833</v>
      </c>
      <c r="AQ76" s="75">
        <f t="shared" si="107"/>
        <v>1076.6506215378106</v>
      </c>
      <c r="AS76" s="81">
        <v>69</v>
      </c>
      <c r="AT76" s="69">
        <f>'보험개발원 위험률(1세)'!D76</f>
        <v>8.5940000000000009E-3</v>
      </c>
      <c r="AU76" s="69">
        <f>'보험개발원 위험률(1세)'!D440</f>
        <v>1.8579999999999998E-3</v>
      </c>
      <c r="AV76" s="72">
        <f t="shared" si="108"/>
        <v>1.8420323479999999E-3</v>
      </c>
      <c r="AW76" s="75">
        <f t="shared" si="124"/>
        <v>87997.286348653099</v>
      </c>
      <c r="AX76" s="75">
        <f t="shared" si="109"/>
        <v>162.09384799043781</v>
      </c>
      <c r="AY76" s="75">
        <f t="shared" si="110"/>
        <v>20974.570459636117</v>
      </c>
      <c r="AZ76" s="75">
        <f t="shared" si="111"/>
        <v>37.841172646478903</v>
      </c>
      <c r="BA76" s="75">
        <f t="shared" si="112"/>
        <v>207896.39346202015</v>
      </c>
      <c r="BB76" s="75">
        <f t="shared" si="113"/>
        <v>425.67364465611246</v>
      </c>
      <c r="BD76" s="81">
        <v>69</v>
      </c>
      <c r="BE76" s="69">
        <f>'보험개발원 위험률(1세)'!E76</f>
        <v>3.2399999999999998E-3</v>
      </c>
      <c r="BF76" s="69">
        <f>'보험개발원 위험률(1세)'!E440</f>
        <v>5.6159999999999999E-4</v>
      </c>
      <c r="BG76" s="72">
        <f t="shared" si="114"/>
        <v>5.5978041600000003E-4</v>
      </c>
      <c r="BH76" s="75">
        <f t="shared" si="125"/>
        <v>94975.044613383317</v>
      </c>
      <c r="BI76" s="75">
        <f t="shared" si="115"/>
        <v>53.165169983298277</v>
      </c>
      <c r="BJ76" s="75">
        <f t="shared" si="116"/>
        <v>22637.752228605885</v>
      </c>
      <c r="BK76" s="75">
        <f t="shared" si="117"/>
        <v>12.411528266242833</v>
      </c>
      <c r="BL76" s="75">
        <f t="shared" si="118"/>
        <v>235000.84596861809</v>
      </c>
      <c r="BM76" s="75">
        <f t="shared" si="119"/>
        <v>196.75676743189661</v>
      </c>
    </row>
    <row r="77" spans="1:65" ht="18" customHeight="1">
      <c r="A77" s="66">
        <v>70</v>
      </c>
      <c r="B77" s="69">
        <f>'보험개발원 위험률(1세)'!D77</f>
        <v>9.3500000000000007E-3</v>
      </c>
      <c r="C77" s="69">
        <f>'보험개발원 위험률(1세)'!D279</f>
        <v>1.6916E-2</v>
      </c>
      <c r="D77" s="72">
        <f t="shared" si="84"/>
        <v>1.6757835400000001E-2</v>
      </c>
      <c r="E77" s="75">
        <f t="shared" si="120"/>
        <v>71523.293975656241</v>
      </c>
      <c r="F77" s="75">
        <f t="shared" si="85"/>
        <v>1198.5755877098588</v>
      </c>
      <c r="G77" s="75">
        <f t="shared" si="86"/>
        <v>16697.273518593589</v>
      </c>
      <c r="H77" s="75">
        <f t="shared" si="87"/>
        <v>274.05500612475049</v>
      </c>
      <c r="I77" s="75">
        <f t="shared" si="88"/>
        <v>141514.02613976359</v>
      </c>
      <c r="J77" s="75">
        <f t="shared" si="89"/>
        <v>2944.1519800854749</v>
      </c>
      <c r="L77" s="66">
        <v>70</v>
      </c>
      <c r="M77" s="69">
        <f>'보험개발원 위험률(1세)'!E77</f>
        <v>3.5300000000000002E-3</v>
      </c>
      <c r="N77" s="69">
        <f>'보험개발원 위험률(1세)'!E279</f>
        <v>8.149E-3</v>
      </c>
      <c r="O77" s="72">
        <f t="shared" si="90"/>
        <v>8.1202340299999995E-3</v>
      </c>
      <c r="P77" s="75">
        <f t="shared" si="121"/>
        <v>75263.075378110516</v>
      </c>
      <c r="Q77" s="75">
        <f t="shared" si="91"/>
        <v>611.1537858877881</v>
      </c>
      <c r="R77" s="75">
        <f t="shared" si="92"/>
        <v>17570.333881246661</v>
      </c>
      <c r="S77" s="75">
        <f t="shared" si="93"/>
        <v>139.74066905089239</v>
      </c>
      <c r="T77" s="75">
        <f t="shared" si="94"/>
        <v>162532.2636335819</v>
      </c>
      <c r="U77" s="75">
        <f t="shared" si="95"/>
        <v>1504.6867297656227</v>
      </c>
      <c r="W77" s="78">
        <v>70</v>
      </c>
      <c r="X77" s="69">
        <f>'보험개발원 위험률(1세)'!D77</f>
        <v>9.3500000000000007E-3</v>
      </c>
      <c r="Y77" s="69">
        <f>'보험개발원 위험률(1세)'!D360</f>
        <v>5.5700000000000003E-3</v>
      </c>
      <c r="Z77" s="72">
        <f t="shared" si="96"/>
        <v>5.5179205000000005E-3</v>
      </c>
      <c r="AA77" s="75">
        <f t="shared" si="122"/>
        <v>83030.814949759966</v>
      </c>
      <c r="AB77" s="75">
        <f t="shared" si="97"/>
        <v>458.15743594298704</v>
      </c>
      <c r="AC77" s="75">
        <f t="shared" si="98"/>
        <v>19383.730119585161</v>
      </c>
      <c r="AD77" s="75">
        <f t="shared" si="99"/>
        <v>104.75796453802786</v>
      </c>
      <c r="AE77" s="75">
        <f t="shared" si="100"/>
        <v>174591.85697559826</v>
      </c>
      <c r="AF77" s="75">
        <f t="shared" si="101"/>
        <v>1197.7708936926999</v>
      </c>
      <c r="AH77" s="78">
        <v>70</v>
      </c>
      <c r="AI77" s="69">
        <f>'보험개발원 위험률(1세)'!E77</f>
        <v>3.5300000000000002E-3</v>
      </c>
      <c r="AJ77" s="69">
        <f>'보험개발원 위험률(1세)'!E360</f>
        <v>3.5869999999999999E-3</v>
      </c>
      <c r="AK77" s="72">
        <f t="shared" si="102"/>
        <v>3.5743378899999998E-3</v>
      </c>
      <c r="AL77" s="75">
        <f t="shared" si="123"/>
        <v>90565.944728571951</v>
      </c>
      <c r="AM77" s="75">
        <f t="shared" si="103"/>
        <v>323.71328778698046</v>
      </c>
      <c r="AN77" s="75">
        <f t="shared" si="104"/>
        <v>21142.823079673748</v>
      </c>
      <c r="AO77" s="75">
        <f t="shared" si="105"/>
        <v>74.017231768113987</v>
      </c>
      <c r="AP77" s="75">
        <f t="shared" si="106"/>
        <v>199681.18167923467</v>
      </c>
      <c r="AQ77" s="75">
        <f t="shared" si="107"/>
        <v>1004.5644815001533</v>
      </c>
      <c r="AS77" s="81">
        <v>70</v>
      </c>
      <c r="AT77" s="69">
        <f>'보험개발원 위험률(1세)'!D77</f>
        <v>9.3500000000000007E-3</v>
      </c>
      <c r="AU77" s="69">
        <f>'보험개발원 위험률(1세)'!D441</f>
        <v>1.9139999999999999E-3</v>
      </c>
      <c r="AV77" s="72">
        <f t="shared" si="108"/>
        <v>1.8961041000000001E-3</v>
      </c>
      <c r="AW77" s="75">
        <f t="shared" si="124"/>
        <v>87078.943821782334</v>
      </c>
      <c r="AX77" s="75">
        <f t="shared" si="109"/>
        <v>165.11074240415115</v>
      </c>
      <c r="AY77" s="75">
        <f t="shared" si="110"/>
        <v>20328.774891120422</v>
      </c>
      <c r="AZ77" s="75">
        <f t="shared" si="111"/>
        <v>37.752667403555819</v>
      </c>
      <c r="BA77" s="75">
        <f t="shared" si="112"/>
        <v>186921.82300238402</v>
      </c>
      <c r="BB77" s="75">
        <f t="shared" si="113"/>
        <v>387.83247200963353</v>
      </c>
      <c r="BD77" s="81">
        <v>70</v>
      </c>
      <c r="BE77" s="69">
        <f>'보험개발원 위험률(1세)'!E77</f>
        <v>3.5300000000000002E-3</v>
      </c>
      <c r="BF77" s="69">
        <f>'보험개발원 위험률(1세)'!E441</f>
        <v>5.9999999999999995E-4</v>
      </c>
      <c r="BG77" s="72">
        <f t="shared" si="114"/>
        <v>5.9788199999999988E-4</v>
      </c>
      <c r="BH77" s="75">
        <f t="shared" si="125"/>
        <v>94614.160298852657</v>
      </c>
      <c r="BI77" s="75">
        <f t="shared" si="115"/>
        <v>56.568103387798615</v>
      </c>
      <c r="BJ77" s="75">
        <f t="shared" si="116"/>
        <v>22087.888091112018</v>
      </c>
      <c r="BK77" s="75">
        <f t="shared" si="117"/>
        <v>12.934329782262719</v>
      </c>
      <c r="BL77" s="75">
        <f t="shared" si="118"/>
        <v>212363.09374001221</v>
      </c>
      <c r="BM77" s="75">
        <f t="shared" si="119"/>
        <v>184.34523916565377</v>
      </c>
    </row>
    <row r="78" spans="1:65" ht="18" customHeight="1">
      <c r="A78" s="66">
        <v>71</v>
      </c>
      <c r="B78" s="69">
        <f>'보험개발원 위험률(1세)'!D78</f>
        <v>1.0894000000000001E-2</v>
      </c>
      <c r="C78" s="69">
        <f>'보험개발원 위험률(1세)'!D280</f>
        <v>1.79893E-2</v>
      </c>
      <c r="D78" s="72">
        <f t="shared" si="84"/>
        <v>1.77933245658E-2</v>
      </c>
      <c r="E78" s="75">
        <f t="shared" si="120"/>
        <v>69655.975589274007</v>
      </c>
      <c r="F78" s="75">
        <f t="shared" si="85"/>
        <v>1239.4113816073943</v>
      </c>
      <c r="G78" s="75">
        <f t="shared" si="86"/>
        <v>15926.879382900466</v>
      </c>
      <c r="H78" s="75">
        <f t="shared" si="87"/>
        <v>277.5633047799181</v>
      </c>
      <c r="I78" s="75">
        <f t="shared" si="88"/>
        <v>124816.75262117002</v>
      </c>
      <c r="J78" s="75">
        <f t="shared" si="89"/>
        <v>2670.0969739607244</v>
      </c>
      <c r="L78" s="66">
        <v>71</v>
      </c>
      <c r="M78" s="69">
        <f>'보험개발원 위험률(1세)'!E78</f>
        <v>4.2820000000000002E-3</v>
      </c>
      <c r="N78" s="69">
        <f>'보험개발원 위험률(1세)'!E280</f>
        <v>8.4489999999999999E-3</v>
      </c>
      <c r="O78" s="72">
        <f t="shared" si="90"/>
        <v>8.4128213820000002E-3</v>
      </c>
      <c r="P78" s="75">
        <f t="shared" si="121"/>
        <v>74386.242936137991</v>
      </c>
      <c r="Q78" s="75">
        <f t="shared" si="91"/>
        <v>625.79817509978818</v>
      </c>
      <c r="R78" s="75">
        <f t="shared" si="92"/>
        <v>17008.457766449461</v>
      </c>
      <c r="S78" s="75">
        <f t="shared" si="93"/>
        <v>140.14605011991185</v>
      </c>
      <c r="T78" s="75">
        <f t="shared" si="94"/>
        <v>144961.92975233524</v>
      </c>
      <c r="U78" s="75">
        <f t="shared" si="95"/>
        <v>1364.9460607147303</v>
      </c>
      <c r="W78" s="78">
        <v>71</v>
      </c>
      <c r="X78" s="69">
        <f>'보험개발원 위험률(1세)'!D78</f>
        <v>1.0894000000000001E-2</v>
      </c>
      <c r="Y78" s="69">
        <f>'보험개발원 위험률(1세)'!D361</f>
        <v>5.9151000000000004E-3</v>
      </c>
      <c r="Z78" s="72">
        <f t="shared" si="96"/>
        <v>5.8506609006000005E-3</v>
      </c>
      <c r="AA78" s="75">
        <f t="shared" si="122"/>
        <v>81796.319394036735</v>
      </c>
      <c r="AB78" s="75">
        <f t="shared" si="97"/>
        <v>478.56252769168026</v>
      </c>
      <c r="AC78" s="75">
        <f t="shared" si="98"/>
        <v>18702.776063833222</v>
      </c>
      <c r="AD78" s="75">
        <f t="shared" si="99"/>
        <v>107.17296831473713</v>
      </c>
      <c r="AE78" s="75">
        <f t="shared" si="100"/>
        <v>155208.12685601308</v>
      </c>
      <c r="AF78" s="75">
        <f t="shared" si="101"/>
        <v>1093.0129291546721</v>
      </c>
      <c r="AH78" s="78">
        <v>71</v>
      </c>
      <c r="AI78" s="69">
        <f>'보험개발원 위험률(1세)'!E78</f>
        <v>4.2820000000000002E-3</v>
      </c>
      <c r="AJ78" s="69">
        <f>'보험개발원 위험률(1세)'!E361</f>
        <v>3.9293999999999996E-3</v>
      </c>
      <c r="AK78" s="72">
        <f t="shared" si="102"/>
        <v>3.9125743091999992E-3</v>
      </c>
      <c r="AL78" s="75">
        <f t="shared" si="123"/>
        <v>89922.533655893101</v>
      </c>
      <c r="AM78" s="75">
        <f t="shared" si="103"/>
        <v>351.82859500021965</v>
      </c>
      <c r="AN78" s="75">
        <f t="shared" si="104"/>
        <v>20560.839687137373</v>
      </c>
      <c r="AO78" s="75">
        <f t="shared" si="105"/>
        <v>78.791197977936761</v>
      </c>
      <c r="AP78" s="75">
        <f t="shared" si="106"/>
        <v>178538.35859956092</v>
      </c>
      <c r="AQ78" s="75">
        <f t="shared" si="107"/>
        <v>930.54724973203929</v>
      </c>
      <c r="AS78" s="81">
        <v>71</v>
      </c>
      <c r="AT78" s="69">
        <f>'보험개발원 위험률(1세)'!D78</f>
        <v>1.0894000000000001E-2</v>
      </c>
      <c r="AU78" s="69">
        <f>'보험개발원 위험률(1세)'!D442</f>
        <v>1.9671999999999997E-3</v>
      </c>
      <c r="AV78" s="72">
        <f t="shared" si="108"/>
        <v>1.9457693231999997E-3</v>
      </c>
      <c r="AW78" s="75">
        <f t="shared" si="124"/>
        <v>86099.644954644522</v>
      </c>
      <c r="AX78" s="75">
        <f t="shared" si="109"/>
        <v>167.53004789115894</v>
      </c>
      <c r="AY78" s="75">
        <f t="shared" si="110"/>
        <v>19686.733959323625</v>
      </c>
      <c r="AZ78" s="75">
        <f t="shared" si="111"/>
        <v>37.517965731686168</v>
      </c>
      <c r="BA78" s="75">
        <f t="shared" si="112"/>
        <v>166593.0481112636</v>
      </c>
      <c r="BB78" s="75">
        <f t="shared" si="113"/>
        <v>350.07980460607774</v>
      </c>
      <c r="BD78" s="81">
        <v>71</v>
      </c>
      <c r="BE78" s="69">
        <f>'보험개발원 위험률(1세)'!E78</f>
        <v>4.2820000000000002E-3</v>
      </c>
      <c r="BF78" s="69">
        <f>'보험개발원 위험률(1세)'!E442</f>
        <v>6.6259999999999995E-4</v>
      </c>
      <c r="BG78" s="72">
        <f t="shared" si="114"/>
        <v>6.5976274679999992E-4</v>
      </c>
      <c r="BH78" s="75">
        <f t="shared" si="125"/>
        <v>94223.604209609897</v>
      </c>
      <c r="BI78" s="75">
        <f t="shared" si="115"/>
        <v>62.16522392672826</v>
      </c>
      <c r="BJ78" s="75">
        <f t="shared" si="116"/>
        <v>21544.281973988938</v>
      </c>
      <c r="BK78" s="75">
        <f t="shared" si="117"/>
        <v>13.921757740443354</v>
      </c>
      <c r="BL78" s="75">
        <f t="shared" si="118"/>
        <v>190275.20564890018</v>
      </c>
      <c r="BM78" s="75">
        <f t="shared" si="119"/>
        <v>171.41090938339104</v>
      </c>
    </row>
    <row r="79" spans="1:65" ht="18" customHeight="1">
      <c r="A79" s="66">
        <v>72</v>
      </c>
      <c r="B79" s="69">
        <f>'보험개발원 위험률(1세)'!D79</f>
        <v>1.2437999999999999E-2</v>
      </c>
      <c r="C79" s="69">
        <f>'보험개발원 위험률(1세)'!D281</f>
        <v>1.9062599999999999E-2</v>
      </c>
      <c r="D79" s="72">
        <f t="shared" si="84"/>
        <v>1.8825499381200001E-2</v>
      </c>
      <c r="E79" s="75">
        <f t="shared" si="120"/>
        <v>67657.732009597064</v>
      </c>
      <c r="F79" s="75">
        <f t="shared" si="85"/>
        <v>1273.690592080065</v>
      </c>
      <c r="G79" s="75">
        <f t="shared" si="86"/>
        <v>15151.792188758915</v>
      </c>
      <c r="H79" s="75">
        <f t="shared" si="87"/>
        <v>279.37321691826833</v>
      </c>
      <c r="I79" s="75">
        <f t="shared" si="88"/>
        <v>108889.87323826955</v>
      </c>
      <c r="J79" s="75">
        <f t="shared" si="89"/>
        <v>2392.5336691808061</v>
      </c>
      <c r="L79" s="66">
        <v>72</v>
      </c>
      <c r="M79" s="69">
        <f>'보험개발원 위험률(1세)'!E79</f>
        <v>5.0340000000000003E-3</v>
      </c>
      <c r="N79" s="69">
        <f>'보험개발원 위험률(1세)'!E281</f>
        <v>8.7489999999999998E-3</v>
      </c>
      <c r="O79" s="72">
        <f t="shared" si="90"/>
        <v>8.7049575339999997E-3</v>
      </c>
      <c r="P79" s="75">
        <f t="shared" si="121"/>
        <v>73441.922868785667</v>
      </c>
      <c r="Q79" s="75">
        <f t="shared" si="91"/>
        <v>639.3088197880827</v>
      </c>
      <c r="R79" s="75">
        <f t="shared" si="92"/>
        <v>16447.148318433981</v>
      </c>
      <c r="S79" s="75">
        <f t="shared" si="93"/>
        <v>140.2269614763637</v>
      </c>
      <c r="T79" s="75">
        <f t="shared" si="94"/>
        <v>127953.47198588579</v>
      </c>
      <c r="U79" s="75">
        <f t="shared" si="95"/>
        <v>1224.8000105948183</v>
      </c>
      <c r="W79" s="78">
        <v>72</v>
      </c>
      <c r="X79" s="69">
        <f>'보험개발원 위험률(1세)'!D79</f>
        <v>1.2437999999999999E-2</v>
      </c>
      <c r="Y79" s="69">
        <f>'보험개발원 위험률(1세)'!D362</f>
        <v>6.2602000000000005E-3</v>
      </c>
      <c r="Z79" s="72">
        <f t="shared" si="96"/>
        <v>6.182335632400001E-3</v>
      </c>
      <c r="AA79" s="75">
        <f t="shared" si="122"/>
        <v>80426.667762866418</v>
      </c>
      <c r="AB79" s="75">
        <f t="shared" si="97"/>
        <v>497.22465390556556</v>
      </c>
      <c r="AC79" s="75">
        <f t="shared" si="98"/>
        <v>18011.365740200272</v>
      </c>
      <c r="AD79" s="75">
        <f t="shared" si="99"/>
        <v>109.06200607622799</v>
      </c>
      <c r="AE79" s="75">
        <f t="shared" si="100"/>
        <v>136505.35079217987</v>
      </c>
      <c r="AF79" s="75">
        <f t="shared" si="101"/>
        <v>985.83996083993497</v>
      </c>
      <c r="AH79" s="78">
        <v>72</v>
      </c>
      <c r="AI79" s="69">
        <f>'보험개발원 위험률(1세)'!E79</f>
        <v>5.0340000000000003E-3</v>
      </c>
      <c r="AJ79" s="69">
        <f>'보험개발원 위험률(1세)'!E362</f>
        <v>4.2718000000000001E-3</v>
      </c>
      <c r="AK79" s="72">
        <f t="shared" si="102"/>
        <v>4.2502957588000006E-3</v>
      </c>
      <c r="AL79" s="75">
        <f t="shared" si="123"/>
        <v>89185.656771778347</v>
      </c>
      <c r="AM79" s="75">
        <f t="shared" si="103"/>
        <v>379.06541872288204</v>
      </c>
      <c r="AN79" s="75">
        <f t="shared" si="104"/>
        <v>19972.921017102424</v>
      </c>
      <c r="AO79" s="75">
        <f t="shared" si="105"/>
        <v>83.144781087010614</v>
      </c>
      <c r="AP79" s="75">
        <f t="shared" si="106"/>
        <v>157977.51891242355</v>
      </c>
      <c r="AQ79" s="75">
        <f t="shared" si="107"/>
        <v>851.75605175410249</v>
      </c>
      <c r="AS79" s="81">
        <v>72</v>
      </c>
      <c r="AT79" s="69">
        <f>'보험개발원 위험률(1세)'!D79</f>
        <v>1.2437999999999999E-2</v>
      </c>
      <c r="AU79" s="69">
        <f>'보험개발원 위험률(1세)'!D443</f>
        <v>2.0203999999999999E-3</v>
      </c>
      <c r="AV79" s="72">
        <f t="shared" si="108"/>
        <v>1.9952702648E-3</v>
      </c>
      <c r="AW79" s="75">
        <f t="shared" si="124"/>
        <v>84994.145374617481</v>
      </c>
      <c r="AX79" s="75">
        <f t="shared" si="109"/>
        <v>169.58629094806273</v>
      </c>
      <c r="AY79" s="75">
        <f t="shared" si="110"/>
        <v>19034.241759606957</v>
      </c>
      <c r="AZ79" s="75">
        <f t="shared" si="111"/>
        <v>37.197313022485993</v>
      </c>
      <c r="BA79" s="75">
        <f t="shared" si="112"/>
        <v>146906.31415193999</v>
      </c>
      <c r="BB79" s="75">
        <f t="shared" si="113"/>
        <v>312.56183887439158</v>
      </c>
      <c r="BD79" s="81">
        <v>72</v>
      </c>
      <c r="BE79" s="69">
        <f>'보험개발원 위험률(1세)'!E79</f>
        <v>5.0340000000000003E-3</v>
      </c>
      <c r="BF79" s="69">
        <f>'보험개발원 위험률(1세)'!E443</f>
        <v>7.2519999999999995E-4</v>
      </c>
      <c r="BG79" s="72">
        <f t="shared" si="114"/>
        <v>7.2154934319999993E-4</v>
      </c>
      <c r="BH79" s="75">
        <f t="shared" si="125"/>
        <v>93757.973512457625</v>
      </c>
      <c r="BI79" s="75">
        <f t="shared" si="115"/>
        <v>67.651004207676792</v>
      </c>
      <c r="BJ79" s="75">
        <f t="shared" si="116"/>
        <v>20996.880748210897</v>
      </c>
      <c r="BK79" s="75">
        <f t="shared" si="117"/>
        <v>14.838673372301956</v>
      </c>
      <c r="BL79" s="75">
        <f t="shared" si="118"/>
        <v>168730.92367491126</v>
      </c>
      <c r="BM79" s="75">
        <f t="shared" si="119"/>
        <v>157.48915164294769</v>
      </c>
    </row>
    <row r="80" spans="1:65" ht="18" customHeight="1">
      <c r="A80" s="66">
        <v>73</v>
      </c>
      <c r="B80" s="69">
        <f>'보험개발원 위험률(1세)'!D80</f>
        <v>1.3982E-2</v>
      </c>
      <c r="C80" s="69">
        <f>'보험개발원 위험률(1세)'!D282</f>
        <v>2.0135900000000002E-2</v>
      </c>
      <c r="D80" s="72">
        <f t="shared" si="84"/>
        <v>1.9854359846200001E-2</v>
      </c>
      <c r="E80" s="75">
        <f t="shared" si="120"/>
        <v>65542.514546781633</v>
      </c>
      <c r="F80" s="75">
        <f t="shared" si="85"/>
        <v>1301.3046690366007</v>
      </c>
      <c r="G80" s="75">
        <f t="shared" si="86"/>
        <v>14376.194067621529</v>
      </c>
      <c r="H80" s="75">
        <f t="shared" si="87"/>
        <v>279.55938319036591</v>
      </c>
      <c r="I80" s="75">
        <f t="shared" si="88"/>
        <v>93738.081049510627</v>
      </c>
      <c r="J80" s="75">
        <f t="shared" si="89"/>
        <v>2113.160452262538</v>
      </c>
      <c r="L80" s="66">
        <v>73</v>
      </c>
      <c r="M80" s="69">
        <f>'보험개발원 위험률(1세)'!E80</f>
        <v>5.7859999999999995E-3</v>
      </c>
      <c r="N80" s="69">
        <f>'보험개발원 위험률(1세)'!E282</f>
        <v>9.0489999999999998E-3</v>
      </c>
      <c r="O80" s="72">
        <f t="shared" si="90"/>
        <v>8.9966424859999998E-3</v>
      </c>
      <c r="P80" s="75">
        <f t="shared" si="121"/>
        <v>72432.907409276115</v>
      </c>
      <c r="Q80" s="75">
        <f t="shared" si="91"/>
        <v>651.65297218279773</v>
      </c>
      <c r="R80" s="75">
        <f t="shared" si="92"/>
        <v>15887.543238130871</v>
      </c>
      <c r="S80" s="75">
        <f t="shared" si="93"/>
        <v>139.99465866241943</v>
      </c>
      <c r="T80" s="75">
        <f t="shared" si="94"/>
        <v>111506.3236674518</v>
      </c>
      <c r="U80" s="75">
        <f t="shared" si="95"/>
        <v>1084.5730491184547</v>
      </c>
      <c r="W80" s="78">
        <v>73</v>
      </c>
      <c r="X80" s="69">
        <f>'보험개발원 위험률(1세)'!D80</f>
        <v>1.3982E-2</v>
      </c>
      <c r="Y80" s="69">
        <f>'보험개발원 위험률(1세)'!D363</f>
        <v>6.6052999999999997E-3</v>
      </c>
      <c r="Z80" s="72">
        <f t="shared" si="96"/>
        <v>6.5129446953999994E-3</v>
      </c>
      <c r="AA80" s="75">
        <f t="shared" si="122"/>
        <v>78929.096215326324</v>
      </c>
      <c r="AB80" s="75">
        <f t="shared" si="97"/>
        <v>514.06083850832579</v>
      </c>
      <c r="AC80" s="75">
        <f t="shared" si="98"/>
        <v>17312.427095905812</v>
      </c>
      <c r="AD80" s="75">
        <f t="shared" si="99"/>
        <v>110.4357298910666</v>
      </c>
      <c r="AE80" s="75">
        <f t="shared" si="100"/>
        <v>118493.9850519796</v>
      </c>
      <c r="AF80" s="75">
        <f t="shared" si="101"/>
        <v>876.77795476370693</v>
      </c>
      <c r="AH80" s="78">
        <v>73</v>
      </c>
      <c r="AI80" s="69">
        <f>'보험개발원 위험률(1세)'!E80</f>
        <v>5.7859999999999995E-3</v>
      </c>
      <c r="AJ80" s="69">
        <f>'보험개발원 위험률(1세)'!E363</f>
        <v>4.6141999999999997E-3</v>
      </c>
      <c r="AK80" s="72">
        <f t="shared" si="102"/>
        <v>4.5875022388E-3</v>
      </c>
      <c r="AL80" s="75">
        <f t="shared" si="123"/>
        <v>88357.630756866332</v>
      </c>
      <c r="AM80" s="75">
        <f t="shared" si="103"/>
        <v>405.34082891218804</v>
      </c>
      <c r="AN80" s="75">
        <f t="shared" si="104"/>
        <v>19380.496093254158</v>
      </c>
      <c r="AO80" s="75">
        <f t="shared" si="105"/>
        <v>87.079401779488862</v>
      </c>
      <c r="AP80" s="75">
        <f t="shared" si="106"/>
        <v>138004.59789532112</v>
      </c>
      <c r="AQ80" s="75">
        <f t="shared" si="107"/>
        <v>768.61127066709184</v>
      </c>
      <c r="AS80" s="81">
        <v>73</v>
      </c>
      <c r="AT80" s="69">
        <f>'보험개발원 위험률(1세)'!D80</f>
        <v>1.3982E-2</v>
      </c>
      <c r="AU80" s="69">
        <f>'보험개발원 위험률(1세)'!D444</f>
        <v>2.0736000000000001E-3</v>
      </c>
      <c r="AV80" s="72">
        <f t="shared" si="108"/>
        <v>2.0446069248000001E-3</v>
      </c>
      <c r="AW80" s="75">
        <f t="shared" si="124"/>
        <v>83767.401903499936</v>
      </c>
      <c r="AX80" s="75">
        <f t="shared" si="109"/>
        <v>171.27141000440068</v>
      </c>
      <c r="AY80" s="75">
        <f t="shared" si="110"/>
        <v>18373.668368271316</v>
      </c>
      <c r="AZ80" s="75">
        <f t="shared" si="111"/>
        <v>36.794250322964011</v>
      </c>
      <c r="BA80" s="75">
        <f t="shared" si="112"/>
        <v>127872.07239233304</v>
      </c>
      <c r="BB80" s="75">
        <f t="shared" si="113"/>
        <v>275.36452585190557</v>
      </c>
      <c r="BD80" s="81">
        <v>73</v>
      </c>
      <c r="BE80" s="69">
        <f>'보험개발원 위험률(1세)'!E80</f>
        <v>5.7859999999999995E-3</v>
      </c>
      <c r="BF80" s="69">
        <f>'보험개발원 위험률(1세)'!E444</f>
        <v>7.8779999999999996E-4</v>
      </c>
      <c r="BG80" s="72">
        <f t="shared" si="114"/>
        <v>7.8324178920000001E-4</v>
      </c>
      <c r="BH80" s="75">
        <f t="shared" si="125"/>
        <v>93218.34486958824</v>
      </c>
      <c r="BI80" s="75">
        <f t="shared" si="115"/>
        <v>73.012503221918934</v>
      </c>
      <c r="BJ80" s="75">
        <f t="shared" si="116"/>
        <v>20446.652463282357</v>
      </c>
      <c r="BK80" s="75">
        <f t="shared" si="117"/>
        <v>15.685281741911716</v>
      </c>
      <c r="BL80" s="75">
        <f t="shared" si="118"/>
        <v>147734.04292670038</v>
      </c>
      <c r="BM80" s="75">
        <f t="shared" si="119"/>
        <v>142.65047827064572</v>
      </c>
    </row>
    <row r="81" spans="1:65" ht="18" customHeight="1">
      <c r="A81" s="66">
        <v>74</v>
      </c>
      <c r="B81" s="69">
        <f>'보험개발원 위험률(1세)'!D81</f>
        <v>1.5525999999999998E-2</v>
      </c>
      <c r="C81" s="69">
        <f>'보험개발원 위험률(1세)'!D283</f>
        <v>2.1209200000000001E-2</v>
      </c>
      <c r="D81" s="72">
        <f t="shared" si="84"/>
        <v>2.0879905960799999E-2</v>
      </c>
      <c r="E81" s="75">
        <f t="shared" si="120"/>
        <v>63324.794439351928</v>
      </c>
      <c r="F81" s="75">
        <f t="shared" si="85"/>
        <v>1322.215752880659</v>
      </c>
      <c r="G81" s="75">
        <f t="shared" si="86"/>
        <v>13604.070511195576</v>
      </c>
      <c r="H81" s="75">
        <f t="shared" si="87"/>
        <v>278.20931729466798</v>
      </c>
      <c r="I81" s="75">
        <f t="shared" si="88"/>
        <v>79361.886981889096</v>
      </c>
      <c r="J81" s="75">
        <f t="shared" si="89"/>
        <v>1833.6010690721721</v>
      </c>
      <c r="L81" s="66">
        <v>74</v>
      </c>
      <c r="M81" s="69">
        <f>'보험개발원 위험률(1세)'!E81</f>
        <v>6.5379999999999995E-3</v>
      </c>
      <c r="N81" s="69">
        <f>'보험개발원 위험률(1세)'!E283</f>
        <v>9.3489999999999997E-3</v>
      </c>
      <c r="O81" s="72">
        <f t="shared" si="90"/>
        <v>9.2878762379999986E-3</v>
      </c>
      <c r="P81" s="75">
        <f t="shared" si="121"/>
        <v>71362.157634823248</v>
      </c>
      <c r="Q81" s="75">
        <f t="shared" si="91"/>
        <v>662.80288818888505</v>
      </c>
      <c r="R81" s="75">
        <f t="shared" si="92"/>
        <v>15330.737871166228</v>
      </c>
      <c r="S81" s="75">
        <f t="shared" si="93"/>
        <v>139.46130850598578</v>
      </c>
      <c r="T81" s="75">
        <f t="shared" si="94"/>
        <v>95618.780429320919</v>
      </c>
      <c r="U81" s="75">
        <f t="shared" si="95"/>
        <v>944.57839045603521</v>
      </c>
      <c r="W81" s="78">
        <v>74</v>
      </c>
      <c r="X81" s="69">
        <f>'보험개발원 위험률(1세)'!D81</f>
        <v>1.5525999999999998E-2</v>
      </c>
      <c r="Y81" s="69">
        <f>'보험개발원 위험률(1세)'!D364</f>
        <v>6.9503999999999998E-3</v>
      </c>
      <c r="Z81" s="72">
        <f t="shared" si="96"/>
        <v>6.8424880895999992E-3</v>
      </c>
      <c r="AA81" s="75">
        <f t="shared" si="122"/>
        <v>77311.448753535296</v>
      </c>
      <c r="AB81" s="75">
        <f t="shared" si="97"/>
        <v>529.00266728578595</v>
      </c>
      <c r="AC81" s="75">
        <f t="shared" si="98"/>
        <v>16608.824544595573</v>
      </c>
      <c r="AD81" s="75">
        <f t="shared" si="99"/>
        <v>111.30821168330198</v>
      </c>
      <c r="AE81" s="75">
        <f t="shared" si="100"/>
        <v>101181.5579560738</v>
      </c>
      <c r="AF81" s="75">
        <f t="shared" si="101"/>
        <v>766.34222487264037</v>
      </c>
      <c r="AH81" s="78">
        <v>74</v>
      </c>
      <c r="AI81" s="69">
        <f>'보험개발원 위험률(1세)'!E81</f>
        <v>6.5379999999999995E-3</v>
      </c>
      <c r="AJ81" s="69">
        <f>'보험개발원 위험률(1세)'!E364</f>
        <v>4.9566000000000002E-3</v>
      </c>
      <c r="AK81" s="72">
        <f t="shared" si="102"/>
        <v>4.9241937492000001E-3</v>
      </c>
      <c r="AL81" s="75">
        <f t="shared" si="123"/>
        <v>87441.052676394916</v>
      </c>
      <c r="AM81" s="75">
        <f t="shared" si="103"/>
        <v>430.57668501257177</v>
      </c>
      <c r="AN81" s="75">
        <f t="shared" si="104"/>
        <v>18784.968142646165</v>
      </c>
      <c r="AO81" s="75">
        <f t="shared" si="105"/>
        <v>90.598259262428385</v>
      </c>
      <c r="AP81" s="75">
        <f t="shared" si="106"/>
        <v>118624.10180206696</v>
      </c>
      <c r="AQ81" s="75">
        <f t="shared" si="107"/>
        <v>681.53186888760297</v>
      </c>
      <c r="AS81" s="81">
        <v>74</v>
      </c>
      <c r="AT81" s="69">
        <f>'보험개발원 위험률(1세)'!D81</f>
        <v>1.5525999999999998E-2</v>
      </c>
      <c r="AU81" s="69">
        <f>'보험개발원 위험률(1세)'!D445</f>
        <v>2.1267999999999999E-3</v>
      </c>
      <c r="AV81" s="72">
        <f t="shared" si="108"/>
        <v>2.0937793031999999E-3</v>
      </c>
      <c r="AW81" s="75">
        <f t="shared" si="124"/>
        <v>82424.894680080804</v>
      </c>
      <c r="AX81" s="75">
        <f t="shared" si="109"/>
        <v>172.57953854959297</v>
      </c>
      <c r="AY81" s="75">
        <f t="shared" si="110"/>
        <v>17707.346530427425</v>
      </c>
      <c r="AZ81" s="75">
        <f t="shared" si="111"/>
        <v>36.312708795298015</v>
      </c>
      <c r="BA81" s="75">
        <f t="shared" si="112"/>
        <v>109498.40402406172</v>
      </c>
      <c r="BB81" s="75">
        <f t="shared" si="113"/>
        <v>238.57027552894158</v>
      </c>
      <c r="BD81" s="81">
        <v>74</v>
      </c>
      <c r="BE81" s="69">
        <f>'보험개발원 위험률(1세)'!E81</f>
        <v>6.5379999999999995E-3</v>
      </c>
      <c r="BF81" s="69">
        <f>'보험개발원 위험률(1세)'!E445</f>
        <v>8.5040000000000007E-4</v>
      </c>
      <c r="BG81" s="72">
        <f t="shared" si="114"/>
        <v>8.4484008480000005E-4</v>
      </c>
      <c r="BH81" s="75">
        <f t="shared" si="125"/>
        <v>92605.971022950878</v>
      </c>
      <c r="BI81" s="75">
        <f t="shared" si="115"/>
        <v>78.237236412016173</v>
      </c>
      <c r="BJ81" s="75">
        <f t="shared" si="116"/>
        <v>19894.547952469453</v>
      </c>
      <c r="BK81" s="75">
        <f t="shared" si="117"/>
        <v>16.462009382195848</v>
      </c>
      <c r="BL81" s="75">
        <f t="shared" si="118"/>
        <v>127287.39046341804</v>
      </c>
      <c r="BM81" s="75">
        <f t="shared" si="119"/>
        <v>126.965196528734</v>
      </c>
    </row>
    <row r="82" spans="1:65" ht="18" customHeight="1">
      <c r="A82" s="66">
        <v>75</v>
      </c>
      <c r="B82" s="69">
        <f>'보험개발원 위험률(1세)'!D82</f>
        <v>1.7069999999999998E-2</v>
      </c>
      <c r="C82" s="69">
        <f>'보험개발원 위험률(1세)'!D284</f>
        <v>2.22825E-2</v>
      </c>
      <c r="D82" s="72">
        <f t="shared" si="84"/>
        <v>2.1902137725E-2</v>
      </c>
      <c r="E82" s="75">
        <f t="shared" si="120"/>
        <v>61019.397928005885</v>
      </c>
      <c r="F82" s="75">
        <f t="shared" si="85"/>
        <v>1336.4552573157646</v>
      </c>
      <c r="G82" s="75">
        <f t="shared" si="86"/>
        <v>12839.179235534668</v>
      </c>
      <c r="H82" s="75">
        <f t="shared" si="87"/>
        <v>275.4216179163962</v>
      </c>
      <c r="I82" s="75">
        <f t="shared" si="88"/>
        <v>65757.81647069352</v>
      </c>
      <c r="J82" s="75">
        <f t="shared" si="89"/>
        <v>1555.3917517775042</v>
      </c>
      <c r="L82" s="66">
        <v>75</v>
      </c>
      <c r="M82" s="69">
        <f>'보험개발원 위험률(1세)'!E82</f>
        <v>7.2899999999999996E-3</v>
      </c>
      <c r="N82" s="69">
        <f>'보험개발원 위험률(1세)'!E284</f>
        <v>9.6489999999999996E-3</v>
      </c>
      <c r="O82" s="72">
        <f t="shared" si="90"/>
        <v>9.5786587899999998E-3</v>
      </c>
      <c r="P82" s="75">
        <f t="shared" si="121"/>
        <v>70232.788960017875</v>
      </c>
      <c r="Q82" s="75">
        <f t="shared" si="91"/>
        <v>672.73592131809016</v>
      </c>
      <c r="R82" s="75">
        <f t="shared" si="92"/>
        <v>14777.782087149782</v>
      </c>
      <c r="S82" s="75">
        <f t="shared" si="93"/>
        <v>138.63989450125547</v>
      </c>
      <c r="T82" s="75">
        <f t="shared" si="94"/>
        <v>80288.042558154688</v>
      </c>
      <c r="U82" s="75">
        <f t="shared" si="95"/>
        <v>805.1170819500494</v>
      </c>
      <c r="W82" s="78">
        <v>75</v>
      </c>
      <c r="X82" s="69">
        <f>'보험개발원 위험률(1세)'!D82</f>
        <v>1.7069999999999998E-2</v>
      </c>
      <c r="Y82" s="69">
        <f>'보험개발원 위험률(1세)'!D365</f>
        <v>7.2954999999999999E-3</v>
      </c>
      <c r="Z82" s="72">
        <f t="shared" si="96"/>
        <v>7.1709658149999994E-3</v>
      </c>
      <c r="AA82" s="75">
        <f t="shared" si="122"/>
        <v>75582.108532902115</v>
      </c>
      <c r="AB82" s="75">
        <f t="shared" si="97"/>
        <v>541.99671651506083</v>
      </c>
      <c r="AC82" s="75">
        <f t="shared" si="98"/>
        <v>15903.340108312956</v>
      </c>
      <c r="AD82" s="75">
        <f t="shared" si="99"/>
        <v>111.69667802255691</v>
      </c>
      <c r="AE82" s="75">
        <f t="shared" si="100"/>
        <v>84572.733411478228</v>
      </c>
      <c r="AF82" s="75">
        <f t="shared" si="101"/>
        <v>655.03401318933834</v>
      </c>
      <c r="AH82" s="78">
        <v>75</v>
      </c>
      <c r="AI82" s="69">
        <f>'보험개발원 위험률(1세)'!E82</f>
        <v>7.2899999999999996E-3</v>
      </c>
      <c r="AJ82" s="69">
        <f>'보험개발원 위험률(1세)'!E365</f>
        <v>5.2989999999999999E-3</v>
      </c>
      <c r="AK82" s="72">
        <f t="shared" si="102"/>
        <v>5.26037029E-3</v>
      </c>
      <c r="AL82" s="75">
        <f t="shared" si="123"/>
        <v>86438.786388984081</v>
      </c>
      <c r="AM82" s="75">
        <f t="shared" si="103"/>
        <v>454.70002382426827</v>
      </c>
      <c r="AN82" s="75">
        <f t="shared" si="104"/>
        <v>18187.709302862495</v>
      </c>
      <c r="AO82" s="75">
        <f t="shared" si="105"/>
        <v>93.706254319230652</v>
      </c>
      <c r="AP82" s="75">
        <f t="shared" si="106"/>
        <v>99839.133659420797</v>
      </c>
      <c r="AQ82" s="75">
        <f t="shared" si="107"/>
        <v>590.93360962517454</v>
      </c>
      <c r="AS82" s="81">
        <v>75</v>
      </c>
      <c r="AT82" s="69">
        <f>'보험개발원 위험률(1세)'!D82</f>
        <v>1.7069999999999998E-2</v>
      </c>
      <c r="AU82" s="69">
        <f>'보험개발원 위험률(1세)'!D446</f>
        <v>2.1799999999999996E-3</v>
      </c>
      <c r="AV82" s="72">
        <f t="shared" si="108"/>
        <v>2.1427873999999994E-3</v>
      </c>
      <c r="AW82" s="75">
        <f t="shared" si="124"/>
        <v>80972.586226728279</v>
      </c>
      <c r="AX82" s="75">
        <f t="shared" si="109"/>
        <v>173.50703751204685</v>
      </c>
      <c r="AY82" s="75">
        <f t="shared" si="110"/>
        <v>17037.558268869747</v>
      </c>
      <c r="AZ82" s="75">
        <f t="shared" si="111"/>
        <v>35.756968839666897</v>
      </c>
      <c r="BA82" s="75">
        <f t="shared" si="112"/>
        <v>91791.057493634289</v>
      </c>
      <c r="BB82" s="75">
        <f t="shared" si="113"/>
        <v>202.25756673364356</v>
      </c>
      <c r="BD82" s="81">
        <v>75</v>
      </c>
      <c r="BE82" s="69">
        <f>'보험개발원 위험률(1세)'!E82</f>
        <v>7.2899999999999996E-3</v>
      </c>
      <c r="BF82" s="69">
        <f>'보험개발원 위험률(1세)'!E446</f>
        <v>9.1299999999999997E-4</v>
      </c>
      <c r="BG82" s="72">
        <f t="shared" si="114"/>
        <v>9.0634422999999996E-4</v>
      </c>
      <c r="BH82" s="75">
        <f t="shared" si="125"/>
        <v>91922.275947990798</v>
      </c>
      <c r="BI82" s="75">
        <f t="shared" si="115"/>
        <v>83.313224413929234</v>
      </c>
      <c r="BJ82" s="75">
        <f t="shared" si="116"/>
        <v>19341.498223679711</v>
      </c>
      <c r="BK82" s="75">
        <f t="shared" si="117"/>
        <v>17.169495900673219</v>
      </c>
      <c r="BL82" s="75">
        <f t="shared" si="118"/>
        <v>107392.84251094858</v>
      </c>
      <c r="BM82" s="75">
        <f t="shared" si="119"/>
        <v>110.50318714653815</v>
      </c>
    </row>
    <row r="83" spans="1:65" ht="18" customHeight="1">
      <c r="A83" s="66">
        <v>76</v>
      </c>
      <c r="B83" s="69">
        <f>'보험개발원 위험률(1세)'!D83</f>
        <v>2.0055999999999997E-2</v>
      </c>
      <c r="C83" s="69">
        <f>'보험개발원 위험률(1세)'!D285</f>
        <v>2.3355799999999999E-2</v>
      </c>
      <c r="D83" s="72">
        <f t="shared" si="84"/>
        <v>2.28873760752E-2</v>
      </c>
      <c r="E83" s="75">
        <f t="shared" si="120"/>
        <v>58641.341548059056</v>
      </c>
      <c r="F83" s="75">
        <f t="shared" si="85"/>
        <v>1342.1464375646785</v>
      </c>
      <c r="G83" s="75">
        <f t="shared" si="86"/>
        <v>12085.023480990647</v>
      </c>
      <c r="H83" s="75">
        <f t="shared" si="87"/>
        <v>270.90546257302208</v>
      </c>
      <c r="I83" s="75">
        <f t="shared" si="88"/>
        <v>52918.637235158858</v>
      </c>
      <c r="J83" s="75">
        <f t="shared" si="89"/>
        <v>1279.970133861108</v>
      </c>
      <c r="L83" s="66">
        <v>76</v>
      </c>
      <c r="M83" s="69">
        <f>'보험개발원 위험률(1세)'!E83</f>
        <v>9.1800000000000007E-3</v>
      </c>
      <c r="N83" s="69">
        <f>'보험개발원 위험률(1세)'!E285</f>
        <v>9.9489999999999995E-3</v>
      </c>
      <c r="O83" s="72">
        <f t="shared" si="90"/>
        <v>9.8576681799999993E-3</v>
      </c>
      <c r="P83" s="75">
        <f t="shared" si="121"/>
        <v>69048.056007181251</v>
      </c>
      <c r="Q83" s="75">
        <f t="shared" si="91"/>
        <v>680.65282459284845</v>
      </c>
      <c r="R83" s="75">
        <f t="shared" si="92"/>
        <v>14229.677496032007</v>
      </c>
      <c r="S83" s="75">
        <f t="shared" si="93"/>
        <v>137.38632621380685</v>
      </c>
      <c r="T83" s="75">
        <f t="shared" si="94"/>
        <v>65510.260471004905</v>
      </c>
      <c r="U83" s="75">
        <f t="shared" si="95"/>
        <v>666.47718744879398</v>
      </c>
      <c r="W83" s="78">
        <v>76</v>
      </c>
      <c r="X83" s="69">
        <f>'보험개발원 위험률(1세)'!D83</f>
        <v>2.0055999999999997E-2</v>
      </c>
      <c r="Y83" s="69">
        <f>'보험개발원 위험률(1세)'!D366</f>
        <v>7.6406E-3</v>
      </c>
      <c r="Z83" s="72">
        <f t="shared" si="96"/>
        <v>7.4873601264E-3</v>
      </c>
      <c r="AA83" s="75">
        <f t="shared" si="122"/>
        <v>73749.925223730417</v>
      </c>
      <c r="AB83" s="75">
        <f t="shared" si="97"/>
        <v>552.19224944514076</v>
      </c>
      <c r="AC83" s="75">
        <f t="shared" si="98"/>
        <v>15198.656008230191</v>
      </c>
      <c r="AD83" s="75">
        <f t="shared" si="99"/>
        <v>111.45720956992412</v>
      </c>
      <c r="AE83" s="75">
        <f t="shared" si="100"/>
        <v>68669.39330316527</v>
      </c>
      <c r="AF83" s="75">
        <f t="shared" si="101"/>
        <v>543.33733516678149</v>
      </c>
      <c r="AH83" s="78">
        <v>76</v>
      </c>
      <c r="AI83" s="69">
        <f>'보험개발원 위험률(1세)'!E83</f>
        <v>9.1800000000000007E-3</v>
      </c>
      <c r="AJ83" s="69">
        <f>'보험개발원 위험률(1세)'!E366</f>
        <v>5.6413999999999995E-3</v>
      </c>
      <c r="AK83" s="72">
        <f t="shared" si="102"/>
        <v>5.5896119480000001E-3</v>
      </c>
      <c r="AL83" s="75">
        <f t="shared" si="123"/>
        <v>85353.947612384116</v>
      </c>
      <c r="AM83" s="75">
        <f t="shared" si="103"/>
        <v>477.09544538314833</v>
      </c>
      <c r="AN83" s="75">
        <f t="shared" si="104"/>
        <v>17590.055647781286</v>
      </c>
      <c r="AO83" s="75">
        <f t="shared" si="105"/>
        <v>96.29929991657508</v>
      </c>
      <c r="AP83" s="75">
        <f t="shared" si="106"/>
        <v>81651.424356558302</v>
      </c>
      <c r="AQ83" s="75">
        <f t="shared" si="107"/>
        <v>497.22735530594395</v>
      </c>
      <c r="AS83" s="81">
        <v>76</v>
      </c>
      <c r="AT83" s="69">
        <f>'보험개발원 위험률(1세)'!D83</f>
        <v>2.0055999999999997E-2</v>
      </c>
      <c r="AU83" s="69">
        <f>'보험개발원 위험률(1세)'!D447</f>
        <v>2.2331999999999999E-3</v>
      </c>
      <c r="AV83" s="72">
        <f t="shared" si="108"/>
        <v>2.1884109408E-3</v>
      </c>
      <c r="AW83" s="75">
        <f t="shared" si="124"/>
        <v>79416.87714232599</v>
      </c>
      <c r="AX83" s="75">
        <f t="shared" si="109"/>
        <v>173.79676282243562</v>
      </c>
      <c r="AY83" s="75">
        <f t="shared" si="110"/>
        <v>16366.522315411208</v>
      </c>
      <c r="AZ83" s="75">
        <f t="shared" si="111"/>
        <v>35.079996569924816</v>
      </c>
      <c r="BA83" s="75">
        <f t="shared" si="112"/>
        <v>74753.499224764542</v>
      </c>
      <c r="BB83" s="75">
        <f t="shared" si="113"/>
        <v>166.50059789397667</v>
      </c>
      <c r="BD83" s="81">
        <v>76</v>
      </c>
      <c r="BE83" s="69">
        <f>'보험개발원 위험률(1세)'!E83</f>
        <v>9.1800000000000007E-3</v>
      </c>
      <c r="BF83" s="69">
        <f>'보험개발원 위험률(1세)'!E447</f>
        <v>9.7560000000000008E-4</v>
      </c>
      <c r="BG83" s="72">
        <f t="shared" si="114"/>
        <v>9.6664399200000015E-4</v>
      </c>
      <c r="BH83" s="75">
        <f t="shared" si="125"/>
        <v>91168.849331916019</v>
      </c>
      <c r="BI83" s="75">
        <f t="shared" si="115"/>
        <v>88.127820464249851</v>
      </c>
      <c r="BJ83" s="75">
        <f t="shared" si="116"/>
        <v>18788.411994431441</v>
      </c>
      <c r="BK83" s="75">
        <f t="shared" si="117"/>
        <v>17.788154332652198</v>
      </c>
      <c r="BL83" s="75">
        <f t="shared" si="118"/>
        <v>88051.344287268876</v>
      </c>
      <c r="BM83" s="75">
        <f t="shared" si="119"/>
        <v>93.333691245864927</v>
      </c>
    </row>
    <row r="84" spans="1:65" ht="18" customHeight="1">
      <c r="A84" s="66">
        <v>77</v>
      </c>
      <c r="B84" s="69">
        <f>'보험개발원 위험률(1세)'!D84</f>
        <v>2.3042E-2</v>
      </c>
      <c r="C84" s="69">
        <f>'보험개발원 위험률(1세)'!D286</f>
        <v>2.4429100000000002E-2</v>
      </c>
      <c r="D84" s="72">
        <f t="shared" si="84"/>
        <v>2.3866204677800002E-2</v>
      </c>
      <c r="E84" s="75">
        <f t="shared" si="120"/>
        <v>56123.084364406503</v>
      </c>
      <c r="F84" s="75">
        <f t="shared" si="85"/>
        <v>1339.4450185903627</v>
      </c>
      <c r="G84" s="75">
        <f t="shared" si="86"/>
        <v>11328.160404278984</v>
      </c>
      <c r="H84" s="75">
        <f t="shared" si="87"/>
        <v>264.79940727862089</v>
      </c>
      <c r="I84" s="75">
        <f t="shared" si="88"/>
        <v>40833.613754168211</v>
      </c>
      <c r="J84" s="75">
        <f t="shared" si="89"/>
        <v>1009.0646712880859</v>
      </c>
      <c r="L84" s="66">
        <v>77</v>
      </c>
      <c r="M84" s="69">
        <f>'보험개발원 위험률(1세)'!E84</f>
        <v>1.107E-2</v>
      </c>
      <c r="N84" s="69">
        <f>'보험개발원 위험률(1세)'!E286</f>
        <v>1.0248999999999999E-2</v>
      </c>
      <c r="O84" s="72">
        <f t="shared" si="90"/>
        <v>1.0135543569999999E-2</v>
      </c>
      <c r="P84" s="75">
        <f t="shared" si="121"/>
        <v>67733.542028442476</v>
      </c>
      <c r="Q84" s="75">
        <f t="shared" si="91"/>
        <v>686.5162663797048</v>
      </c>
      <c r="R84" s="75">
        <f t="shared" si="92"/>
        <v>13671.672495155863</v>
      </c>
      <c r="S84" s="75">
        <f t="shared" si="93"/>
        <v>135.71971816789704</v>
      </c>
      <c r="T84" s="75">
        <f t="shared" si="94"/>
        <v>51280.582974972895</v>
      </c>
      <c r="U84" s="75">
        <f t="shared" si="95"/>
        <v>529.09086123498707</v>
      </c>
      <c r="W84" s="78">
        <v>77</v>
      </c>
      <c r="X84" s="69">
        <f>'보험개발원 위험률(1세)'!D84</f>
        <v>2.3042E-2</v>
      </c>
      <c r="Y84" s="69">
        <f>'보험개발원 위험률(1세)'!D367</f>
        <v>7.9857000000000001E-3</v>
      </c>
      <c r="Z84" s="72">
        <f t="shared" si="96"/>
        <v>7.8016935006E-3</v>
      </c>
      <c r="AA84" s="75">
        <f t="shared" si="122"/>
        <v>71718.604473998144</v>
      </c>
      <c r="AB84" s="75">
        <f t="shared" si="97"/>
        <v>559.52657039689336</v>
      </c>
      <c r="AC84" s="75">
        <f t="shared" si="98"/>
        <v>14476.037171751454</v>
      </c>
      <c r="AD84" s="75">
        <f t="shared" si="99"/>
        <v>110.61469649098663</v>
      </c>
      <c r="AE84" s="75">
        <f t="shared" si="100"/>
        <v>53470.737294935083</v>
      </c>
      <c r="AF84" s="75">
        <f t="shared" si="101"/>
        <v>431.8801255968574</v>
      </c>
      <c r="AH84" s="78">
        <v>77</v>
      </c>
      <c r="AI84" s="69">
        <f>'보험개발원 위험률(1세)'!E84</f>
        <v>1.107E-2</v>
      </c>
      <c r="AJ84" s="69">
        <f>'보험개발원 위험률(1세)'!E367</f>
        <v>5.9838000000000001E-3</v>
      </c>
      <c r="AK84" s="72">
        <f t="shared" si="102"/>
        <v>5.9175593339999997E-3</v>
      </c>
      <c r="AL84" s="75">
        <f t="shared" si="123"/>
        <v>84093.302927919285</v>
      </c>
      <c r="AM84" s="75">
        <f t="shared" si="103"/>
        <v>497.6271096679983</v>
      </c>
      <c r="AN84" s="75">
        <f t="shared" si="104"/>
        <v>16973.807396395525</v>
      </c>
      <c r="AO84" s="75">
        <f t="shared" si="105"/>
        <v>98.377583145992759</v>
      </c>
      <c r="AP84" s="75">
        <f t="shared" si="106"/>
        <v>64061.368708777009</v>
      </c>
      <c r="AQ84" s="75">
        <f t="shared" si="107"/>
        <v>400.92805538936886</v>
      </c>
      <c r="AS84" s="81">
        <v>77</v>
      </c>
      <c r="AT84" s="69">
        <f>'보험개발원 위험률(1세)'!D84</f>
        <v>2.3042E-2</v>
      </c>
      <c r="AU84" s="69">
        <f>'보험개발원 위험률(1세)'!D448</f>
        <v>2.2864000000000001E-3</v>
      </c>
      <c r="AV84" s="72">
        <f t="shared" si="108"/>
        <v>2.2337167711999999E-3</v>
      </c>
      <c r="AW84" s="75">
        <f t="shared" si="124"/>
        <v>77650.295491537065</v>
      </c>
      <c r="AX84" s="75">
        <f t="shared" si="109"/>
        <v>173.44876732808208</v>
      </c>
      <c r="AY84" s="75">
        <f t="shared" si="110"/>
        <v>15673.318969006295</v>
      </c>
      <c r="AZ84" s="75">
        <f t="shared" si="111"/>
        <v>34.289672322660593</v>
      </c>
      <c r="BA84" s="75">
        <f t="shared" si="112"/>
        <v>58386.976909353332</v>
      </c>
      <c r="BB84" s="75">
        <f t="shared" si="113"/>
        <v>131.42060132405186</v>
      </c>
      <c r="BD84" s="81">
        <v>77</v>
      </c>
      <c r="BE84" s="69">
        <f>'보험개발원 위험률(1세)'!E84</f>
        <v>1.107E-2</v>
      </c>
      <c r="BF84" s="69">
        <f>'보험개발원 위험률(1세)'!E448</f>
        <v>1.0382E-3</v>
      </c>
      <c r="BG84" s="72">
        <f t="shared" si="114"/>
        <v>1.0267071259999999E-3</v>
      </c>
      <c r="BH84" s="75">
        <f t="shared" si="125"/>
        <v>90243.791474584796</v>
      </c>
      <c r="BI84" s="75">
        <f t="shared" si="115"/>
        <v>92.653943784214249</v>
      </c>
      <c r="BJ84" s="75">
        <f t="shared" si="116"/>
        <v>18215.252367041063</v>
      </c>
      <c r="BK84" s="75">
        <f t="shared" si="117"/>
        <v>18.317070917854487</v>
      </c>
      <c r="BL84" s="75">
        <f t="shared" si="118"/>
        <v>69262.932292837431</v>
      </c>
      <c r="BM84" s="75">
        <f t="shared" si="119"/>
        <v>75.545536913212729</v>
      </c>
    </row>
    <row r="85" spans="1:65" ht="18" customHeight="1">
      <c r="A85" s="66">
        <v>78</v>
      </c>
      <c r="B85" s="69">
        <f>'보험개발원 위험률(1세)'!D85</f>
        <v>2.6028000000000003E-2</v>
      </c>
      <c r="C85" s="69">
        <f>'보험개발원 위험률(1세)'!D287</f>
        <v>2.5502400000000001E-2</v>
      </c>
      <c r="D85" s="72">
        <f t="shared" si="84"/>
        <v>2.4838623532799999E-2</v>
      </c>
      <c r="E85" s="75">
        <f t="shared" si="120"/>
        <v>53490.451235891487</v>
      </c>
      <c r="F85" s="75">
        <f t="shared" si="85"/>
        <v>1328.629180847905</v>
      </c>
      <c r="G85" s="75">
        <f t="shared" si="86"/>
        <v>10574.707872098061</v>
      </c>
      <c r="H85" s="75">
        <f t="shared" si="87"/>
        <v>257.25875397098952</v>
      </c>
      <c r="I85" s="75">
        <f t="shared" si="88"/>
        <v>29505.453349889231</v>
      </c>
      <c r="J85" s="75">
        <f t="shared" si="89"/>
        <v>744.265264009465</v>
      </c>
      <c r="L85" s="66">
        <v>78</v>
      </c>
      <c r="M85" s="69">
        <f>'보험개발원 위험률(1세)'!E85</f>
        <v>1.2960000000000001E-2</v>
      </c>
      <c r="N85" s="69">
        <f>'보험개발원 위험률(1세)'!E287</f>
        <v>1.0548999999999999E-2</v>
      </c>
      <c r="O85" s="72">
        <f t="shared" si="90"/>
        <v>1.041228496E-2</v>
      </c>
      <c r="P85" s="75">
        <f t="shared" si="121"/>
        <v>66297.215451807919</v>
      </c>
      <c r="Q85" s="75">
        <f t="shared" si="91"/>
        <v>690.3054993387392</v>
      </c>
      <c r="R85" s="75">
        <f t="shared" si="92"/>
        <v>13106.520321630822</v>
      </c>
      <c r="S85" s="75">
        <f t="shared" si="93"/>
        <v>133.66192401846325</v>
      </c>
      <c r="T85" s="75">
        <f t="shared" si="94"/>
        <v>37608.91047981703</v>
      </c>
      <c r="U85" s="75">
        <f t="shared" si="95"/>
        <v>393.37114306709003</v>
      </c>
      <c r="W85" s="78">
        <v>78</v>
      </c>
      <c r="X85" s="69">
        <f>'보험개발원 위험률(1세)'!D85</f>
        <v>2.6028000000000003E-2</v>
      </c>
      <c r="Y85" s="69">
        <f>'보험개발원 위험률(1세)'!D368</f>
        <v>8.3307999999999993E-3</v>
      </c>
      <c r="Z85" s="72">
        <f t="shared" si="96"/>
        <v>8.1139659375999984E-3</v>
      </c>
      <c r="AA85" s="75">
        <f t="shared" si="122"/>
        <v>69506.537819311387</v>
      </c>
      <c r="AB85" s="75">
        <f t="shared" si="97"/>
        <v>563.97368030639871</v>
      </c>
      <c r="AC85" s="75">
        <f t="shared" si="98"/>
        <v>13740.982094145606</v>
      </c>
      <c r="AD85" s="75">
        <f t="shared" si="99"/>
        <v>109.20064707254551</v>
      </c>
      <c r="AE85" s="75">
        <f t="shared" si="100"/>
        <v>38994.700123183633</v>
      </c>
      <c r="AF85" s="75">
        <f t="shared" si="101"/>
        <v>321.26542910587074</v>
      </c>
      <c r="AH85" s="78">
        <v>78</v>
      </c>
      <c r="AI85" s="69">
        <f>'보험개발원 위험률(1세)'!E85</f>
        <v>1.2960000000000001E-2</v>
      </c>
      <c r="AJ85" s="69">
        <f>'보험개발원 위험률(1세)'!E368</f>
        <v>6.3261999999999997E-3</v>
      </c>
      <c r="AK85" s="72">
        <f t="shared" si="102"/>
        <v>6.2442124479999998E-3</v>
      </c>
      <c r="AL85" s="75">
        <f t="shared" si="123"/>
        <v>82664.762954839214</v>
      </c>
      <c r="AM85" s="75">
        <f t="shared" si="103"/>
        <v>516.17634185357622</v>
      </c>
      <c r="AN85" s="75">
        <f t="shared" si="104"/>
        <v>16342.276039300072</v>
      </c>
      <c r="AO85" s="75">
        <f t="shared" si="105"/>
        <v>99.945782050195533</v>
      </c>
      <c r="AP85" s="75">
        <f t="shared" si="106"/>
        <v>47087.561312381484</v>
      </c>
      <c r="AQ85" s="75">
        <f t="shared" si="107"/>
        <v>302.55047224337608</v>
      </c>
      <c r="AS85" s="81">
        <v>78</v>
      </c>
      <c r="AT85" s="69">
        <f>'보험개발원 위험률(1세)'!D85</f>
        <v>2.6028000000000003E-2</v>
      </c>
      <c r="AU85" s="69">
        <f>'보험개발원 위험률(1세)'!D449</f>
        <v>2.3395999999999998E-3</v>
      </c>
      <c r="AV85" s="72">
        <f t="shared" si="108"/>
        <v>2.2787048911999995E-3</v>
      </c>
      <c r="AW85" s="75">
        <f t="shared" si="124"/>
        <v>75687.628615492984</v>
      </c>
      <c r="AX85" s="75">
        <f t="shared" si="109"/>
        <v>172.46976952945292</v>
      </c>
      <c r="AY85" s="75">
        <f t="shared" si="110"/>
        <v>14962.942799099921</v>
      </c>
      <c r="AZ85" s="75">
        <f t="shared" si="111"/>
        <v>33.394839317389625</v>
      </c>
      <c r="BA85" s="75">
        <f t="shared" si="112"/>
        <v>42713.657940347039</v>
      </c>
      <c r="BB85" s="75">
        <f t="shared" si="113"/>
        <v>97.130929001391252</v>
      </c>
      <c r="BD85" s="81">
        <v>78</v>
      </c>
      <c r="BE85" s="69">
        <f>'보험개발원 위험률(1세)'!E85</f>
        <v>1.2960000000000001E-2</v>
      </c>
      <c r="BF85" s="69">
        <f>'보험개발원 위험률(1세)'!E449</f>
        <v>1.1008000000000001E-3</v>
      </c>
      <c r="BG85" s="72">
        <f t="shared" si="114"/>
        <v>1.0865336320000001E-3</v>
      </c>
      <c r="BH85" s="75">
        <f t="shared" si="125"/>
        <v>89152.138759176931</v>
      </c>
      <c r="BI85" s="75">
        <f t="shared" si="115"/>
        <v>96.866797126576486</v>
      </c>
      <c r="BJ85" s="75">
        <f t="shared" si="116"/>
        <v>17624.787261440542</v>
      </c>
      <c r="BK85" s="75">
        <f t="shared" si="117"/>
        <v>18.756047126738814</v>
      </c>
      <c r="BL85" s="75">
        <f t="shared" si="118"/>
        <v>51047.679925796365</v>
      </c>
      <c r="BM85" s="75">
        <f t="shared" si="119"/>
        <v>57.228465995358242</v>
      </c>
    </row>
    <row r="86" spans="1:65" ht="18" customHeight="1">
      <c r="A86" s="66">
        <v>79</v>
      </c>
      <c r="B86" s="69">
        <f>'보험개발원 위험률(1세)'!D86</f>
        <v>2.9013999999999998E-2</v>
      </c>
      <c r="C86" s="69">
        <f>'보험개발원 위험률(1세)'!D288</f>
        <v>2.6575700000000001E-2</v>
      </c>
      <c r="D86" s="72">
        <f t="shared" si="84"/>
        <v>2.5804632640200002E-2</v>
      </c>
      <c r="E86" s="75">
        <f t="shared" si="120"/>
        <v>50769.572590275791</v>
      </c>
      <c r="F86" s="75">
        <f t="shared" si="85"/>
        <v>1310.0901699920341</v>
      </c>
      <c r="G86" s="75">
        <f t="shared" si="86"/>
        <v>9830.3704092053977</v>
      </c>
      <c r="H86" s="75">
        <f t="shared" si="87"/>
        <v>248.45161324842101</v>
      </c>
      <c r="I86" s="75">
        <f t="shared" si="88"/>
        <v>18930.74547779117</v>
      </c>
      <c r="J86" s="75">
        <f t="shared" si="89"/>
        <v>487.00651003847543</v>
      </c>
      <c r="L86" s="66">
        <v>79</v>
      </c>
      <c r="M86" s="69">
        <f>'보험개발원 위험률(1세)'!E86</f>
        <v>1.4850000000000002E-2</v>
      </c>
      <c r="N86" s="69">
        <f>'보험개발원 위험률(1세)'!E288</f>
        <v>1.0848999999999999E-2</v>
      </c>
      <c r="O86" s="72">
        <f t="shared" si="90"/>
        <v>1.0687892349999999E-2</v>
      </c>
      <c r="P86" s="75">
        <f t="shared" si="121"/>
        <v>64747.698040213749</v>
      </c>
      <c r="Q86" s="75">
        <f t="shared" si="91"/>
        <v>692.01642656411047</v>
      </c>
      <c r="R86" s="75">
        <f t="shared" si="92"/>
        <v>12536.915762820408</v>
      </c>
      <c r="S86" s="75">
        <f t="shared" si="93"/>
        <v>131.23722436243159</v>
      </c>
      <c r="T86" s="75">
        <f t="shared" si="94"/>
        <v>24502.390158186208</v>
      </c>
      <c r="U86" s="75">
        <f t="shared" si="95"/>
        <v>259.70921904862678</v>
      </c>
      <c r="W86" s="78">
        <v>79</v>
      </c>
      <c r="X86" s="69">
        <f>'보험개발원 위험률(1세)'!D86</f>
        <v>2.9013999999999998E-2</v>
      </c>
      <c r="Y86" s="69">
        <f>'보험개발원 위험률(1세)'!D369</f>
        <v>8.6759000000000003E-3</v>
      </c>
      <c r="Z86" s="72">
        <f t="shared" si="96"/>
        <v>8.4241774373999996E-3</v>
      </c>
      <c r="AA86" s="75">
        <f t="shared" si="122"/>
        <v>67133.447972643946</v>
      </c>
      <c r="AB86" s="75">
        <f t="shared" si="97"/>
        <v>565.54407770601392</v>
      </c>
      <c r="AC86" s="75">
        <f t="shared" si="98"/>
        <v>12998.861852632826</v>
      </c>
      <c r="AD86" s="75">
        <f t="shared" si="99"/>
        <v>107.25241795379924</v>
      </c>
      <c r="AE86" s="75">
        <f t="shared" si="100"/>
        <v>25253.718029038027</v>
      </c>
      <c r="AF86" s="75">
        <f t="shared" si="101"/>
        <v>212.06478203332523</v>
      </c>
      <c r="AH86" s="78">
        <v>79</v>
      </c>
      <c r="AI86" s="69">
        <f>'보험개발원 위험률(1세)'!E86</f>
        <v>1.4850000000000002E-2</v>
      </c>
      <c r="AJ86" s="69">
        <f>'보험개발원 위험률(1세)'!E369</f>
        <v>6.6686000000000002E-3</v>
      </c>
      <c r="AK86" s="72">
        <f t="shared" si="102"/>
        <v>6.5695712900000003E-3</v>
      </c>
      <c r="AL86" s="75">
        <f t="shared" si="123"/>
        <v>81077.251285090926</v>
      </c>
      <c r="AM86" s="75">
        <f t="shared" si="103"/>
        <v>532.64278231464903</v>
      </c>
      <c r="AN86" s="75">
        <f t="shared" si="104"/>
        <v>15698.76150671645</v>
      </c>
      <c r="AO86" s="75">
        <f t="shared" si="105"/>
        <v>101.01286276501619</v>
      </c>
      <c r="AP86" s="75">
        <f t="shared" si="106"/>
        <v>30745.285273081412</v>
      </c>
      <c r="AQ86" s="75">
        <f t="shared" si="107"/>
        <v>202.60469019318055</v>
      </c>
      <c r="AS86" s="81">
        <v>79</v>
      </c>
      <c r="AT86" s="69">
        <f>'보험개발원 위험률(1세)'!D86</f>
        <v>2.9013999999999998E-2</v>
      </c>
      <c r="AU86" s="69">
        <f>'보험개발원 위험률(1세)'!D450</f>
        <v>2.3927999999999996E-3</v>
      </c>
      <c r="AV86" s="72">
        <f t="shared" si="108"/>
        <v>2.3233753007999998E-3</v>
      </c>
      <c r="AW86" s="75">
        <f t="shared" si="124"/>
        <v>73545.161248359465</v>
      </c>
      <c r="AX86" s="75">
        <f t="shared" si="109"/>
        <v>170.87301113779168</v>
      </c>
      <c r="AY86" s="75">
        <f t="shared" si="110"/>
        <v>14240.343969619875</v>
      </c>
      <c r="AZ86" s="75">
        <f t="shared" si="111"/>
        <v>32.405155194819827</v>
      </c>
      <c r="BA86" s="75">
        <f t="shared" si="112"/>
        <v>27750.715141247114</v>
      </c>
      <c r="BB86" s="75">
        <f t="shared" si="113"/>
        <v>63.736089684001634</v>
      </c>
      <c r="BD86" s="81">
        <v>79</v>
      </c>
      <c r="BE86" s="69">
        <f>'보험개발원 위험률(1세)'!E86</f>
        <v>1.4850000000000002E-2</v>
      </c>
      <c r="BF86" s="69">
        <f>'보험개발원 위험률(1세)'!E450</f>
        <v>1.1634000000000002E-3</v>
      </c>
      <c r="BG86" s="72">
        <f t="shared" si="114"/>
        <v>1.1461235100000001E-3</v>
      </c>
      <c r="BH86" s="75">
        <f t="shared" si="125"/>
        <v>87899.860243731411</v>
      </c>
      <c r="BI86" s="75">
        <f t="shared" si="115"/>
        <v>100.74409635105491</v>
      </c>
      <c r="BJ86" s="75">
        <f t="shared" si="116"/>
        <v>17019.804206088025</v>
      </c>
      <c r="BK86" s="75">
        <f t="shared" si="117"/>
        <v>19.105580544754527</v>
      </c>
      <c r="BL86" s="75">
        <f t="shared" si="118"/>
        <v>33422.892664355822</v>
      </c>
      <c r="BM86" s="75">
        <f t="shared" si="119"/>
        <v>38.472418868619428</v>
      </c>
    </row>
    <row r="87" spans="1:65" ht="18" customHeight="1">
      <c r="A87" s="67">
        <v>80</v>
      </c>
      <c r="B87" s="70">
        <f>'보험개발원 위험률(1세)'!D87</f>
        <v>3.2000000000000001E-2</v>
      </c>
      <c r="C87" s="70">
        <f>'보험개발원 위험률(1세)'!D289</f>
        <v>2.7649E-2</v>
      </c>
      <c r="D87" s="73">
        <f t="shared" si="84"/>
        <v>2.6764231999999999E-2</v>
      </c>
      <c r="E87" s="76">
        <f t="shared" si="120"/>
        <v>47986.454041149496</v>
      </c>
      <c r="F87" s="76">
        <f t="shared" si="85"/>
        <v>1284.3205888146626</v>
      </c>
      <c r="G87" s="76">
        <f t="shared" si="86"/>
        <v>9100.3750685857722</v>
      </c>
      <c r="H87" s="76">
        <f t="shared" si="87"/>
        <v>238.55489679005441</v>
      </c>
      <c r="I87" s="76">
        <f>G87</f>
        <v>9100.3750685857722</v>
      </c>
      <c r="J87" s="76">
        <f>H87</f>
        <v>238.55489679005441</v>
      </c>
      <c r="L87" s="67">
        <v>80</v>
      </c>
      <c r="M87" s="70">
        <f>'보험개발원 위험률(1세)'!E87</f>
        <v>1.6740000000000001E-2</v>
      </c>
      <c r="N87" s="70">
        <f>'보험개발원 위험률(1세)'!E289</f>
        <v>1.1148999999999999E-2</v>
      </c>
      <c r="O87" s="73">
        <f t="shared" si="90"/>
        <v>1.0962365739999999E-2</v>
      </c>
      <c r="P87" s="76">
        <f t="shared" si="121"/>
        <v>63094.178297752464</v>
      </c>
      <c r="Q87" s="76">
        <f t="shared" si="91"/>
        <v>691.66145856473304</v>
      </c>
      <c r="R87" s="76">
        <f t="shared" si="92"/>
        <v>11965.474395365802</v>
      </c>
      <c r="S87" s="76">
        <f t="shared" si="93"/>
        <v>128.47199468619516</v>
      </c>
      <c r="T87" s="76">
        <f>R87</f>
        <v>11965.474395365802</v>
      </c>
      <c r="U87" s="76">
        <f>S87</f>
        <v>128.47199468619516</v>
      </c>
      <c r="W87" s="79">
        <v>80</v>
      </c>
      <c r="X87" s="70">
        <f>'보험개발원 위험률(1세)'!D87</f>
        <v>3.2000000000000001E-2</v>
      </c>
      <c r="Y87" s="70">
        <f>'보험개발원 위험률(1세)'!D370</f>
        <v>9.0209999999999995E-3</v>
      </c>
      <c r="Z87" s="73">
        <f t="shared" si="96"/>
        <v>8.7323279999999993E-3</v>
      </c>
      <c r="AA87" s="76">
        <f t="shared" si="122"/>
        <v>64620.094035459639</v>
      </c>
      <c r="AB87" s="76">
        <f t="shared" si="97"/>
        <v>564.28385650847713</v>
      </c>
      <c r="AC87" s="76">
        <f t="shared" si="98"/>
        <v>12254.856176405199</v>
      </c>
      <c r="AD87" s="76">
        <f t="shared" si="99"/>
        <v>104.81236407952601</v>
      </c>
      <c r="AE87" s="76">
        <f>AC87</f>
        <v>12254.856176405199</v>
      </c>
      <c r="AF87" s="76">
        <f>AD87</f>
        <v>104.81236407952601</v>
      </c>
      <c r="AH87" s="79">
        <v>80</v>
      </c>
      <c r="AI87" s="70">
        <f>'보험개발원 위험률(1세)'!E87</f>
        <v>1.6740000000000001E-2</v>
      </c>
      <c r="AJ87" s="70">
        <f>'보험개발원 위험률(1세)'!E370</f>
        <v>7.0109999999999999E-3</v>
      </c>
      <c r="AK87" s="73">
        <f t="shared" si="102"/>
        <v>6.8936358600000004E-3</v>
      </c>
      <c r="AL87" s="76">
        <f t="shared" si="123"/>
        <v>79340.611321192671</v>
      </c>
      <c r="AM87" s="76">
        <f t="shared" si="103"/>
        <v>546.94528335809582</v>
      </c>
      <c r="AN87" s="76">
        <f t="shared" si="104"/>
        <v>15046.523766364962</v>
      </c>
      <c r="AO87" s="76">
        <f t="shared" si="105"/>
        <v>101.59182742816434</v>
      </c>
      <c r="AP87" s="76">
        <f>AN87</f>
        <v>15046.523766364962</v>
      </c>
      <c r="AQ87" s="76">
        <f>AO87</f>
        <v>101.59182742816434</v>
      </c>
      <c r="AS87" s="82">
        <v>80</v>
      </c>
      <c r="AT87" s="70">
        <f>'보험개발원 위험률(1세)'!D87</f>
        <v>3.2000000000000001E-2</v>
      </c>
      <c r="AU87" s="70">
        <f>'보험개발원 위험률(1세)'!D451</f>
        <v>2.4459999999999998E-3</v>
      </c>
      <c r="AV87" s="73">
        <f t="shared" si="108"/>
        <v>2.3677279999999999E-3</v>
      </c>
      <c r="AW87" s="76">
        <f t="shared" si="124"/>
        <v>71240.448928761776</v>
      </c>
      <c r="AX87" s="76">
        <f t="shared" si="109"/>
        <v>168.67800566119925</v>
      </c>
      <c r="AY87" s="76">
        <f t="shared" si="110"/>
        <v>13510.371171627241</v>
      </c>
      <c r="AZ87" s="76">
        <f t="shared" si="111"/>
        <v>31.330934489181807</v>
      </c>
      <c r="BA87" s="76">
        <f>AY87</f>
        <v>13510.371171627241</v>
      </c>
      <c r="BB87" s="76">
        <f>AZ87</f>
        <v>31.330934489181807</v>
      </c>
      <c r="BD87" s="82">
        <v>80</v>
      </c>
      <c r="BE87" s="70">
        <f>'보험개발원 위험률(1세)'!E87</f>
        <v>1.6740000000000001E-2</v>
      </c>
      <c r="BF87" s="70">
        <f>'보험개발원 위험률(1세)'!E451</f>
        <v>1.2260000000000001E-3</v>
      </c>
      <c r="BG87" s="73">
        <f t="shared" si="114"/>
        <v>1.20547676E-3</v>
      </c>
      <c r="BH87" s="76">
        <f t="shared" si="125"/>
        <v>86493.803222760936</v>
      </c>
      <c r="BI87" s="76">
        <f t="shared" si="115"/>
        <v>104.26626966905141</v>
      </c>
      <c r="BJ87" s="76">
        <f t="shared" si="116"/>
        <v>16403.088458267797</v>
      </c>
      <c r="BK87" s="76">
        <f t="shared" si="117"/>
        <v>19.366838323864897</v>
      </c>
      <c r="BL87" s="76">
        <f>BJ87</f>
        <v>16403.088458267797</v>
      </c>
      <c r="BM87" s="76">
        <f>BK87</f>
        <v>19.366838323864897</v>
      </c>
    </row>
  </sheetData>
  <mergeCells count="8">
    <mergeCell ref="AH5:AQ5"/>
    <mergeCell ref="AS5:BB5"/>
    <mergeCell ref="BD5:BM5"/>
    <mergeCell ref="A1:Q2"/>
    <mergeCell ref="A4:Q4"/>
    <mergeCell ref="A5:J5"/>
    <mergeCell ref="L5:U5"/>
    <mergeCell ref="W5:AF5"/>
  </mergeCells>
  <phoneticPr fontId="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showGridLines="0" workbookViewId="0">
      <selection sqref="A1:M2"/>
    </sheetView>
  </sheetViews>
  <sheetFormatPr defaultRowHeight="13.8"/>
  <cols>
    <col min="1" max="1" width="15" customWidth="1"/>
    <col min="2" max="2" width="8" customWidth="1"/>
    <col min="3" max="3" width="14" customWidth="1"/>
    <col min="4" max="4" width="16" customWidth="1"/>
    <col min="5" max="7" width="17" customWidth="1"/>
    <col min="8" max="8" width="42" customWidth="1"/>
    <col min="9" max="9" width="3" customWidth="1"/>
    <col min="10" max="10" width="15" customWidth="1"/>
    <col min="11" max="11" width="17" customWidth="1"/>
    <col min="12" max="12" width="20" customWidth="1"/>
    <col min="13" max="13" width="13" customWidth="1"/>
  </cols>
  <sheetData>
    <row r="1" spans="1:13" ht="28.05" customHeight="1">
      <c r="A1" s="145" t="s">
        <v>775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28.05" customHeight="1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</row>
    <row r="3" spans="1:13" ht="25.95" customHeight="1">
      <c r="A3" s="146" t="s">
        <v>776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</row>
    <row r="4" spans="1:13" ht="34.049999999999997" customHeight="1">
      <c r="A4" s="147" t="s">
        <v>777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</row>
    <row r="5" spans="1:13" ht="31.95" customHeight="1">
      <c r="A5" s="83" t="s">
        <v>778</v>
      </c>
      <c r="B5" s="83" t="s">
        <v>540</v>
      </c>
      <c r="C5" s="83" t="s">
        <v>779</v>
      </c>
      <c r="D5" s="83" t="s">
        <v>780</v>
      </c>
      <c r="E5" s="83" t="s">
        <v>781</v>
      </c>
      <c r="F5" s="83" t="s">
        <v>782</v>
      </c>
      <c r="G5" s="83" t="s">
        <v>783</v>
      </c>
      <c r="H5" s="83" t="s">
        <v>547</v>
      </c>
      <c r="J5" s="102" t="s">
        <v>778</v>
      </c>
      <c r="K5" s="102" t="s">
        <v>783</v>
      </c>
      <c r="L5" s="102" t="s">
        <v>784</v>
      </c>
      <c r="M5" s="102" t="s">
        <v>785</v>
      </c>
    </row>
    <row r="6" spans="1:13" ht="21" customHeight="1">
      <c r="A6" s="87" t="s">
        <v>786</v>
      </c>
      <c r="B6" s="90">
        <v>2021</v>
      </c>
      <c r="C6" s="93">
        <v>1327385</v>
      </c>
      <c r="D6" s="93">
        <v>29928</v>
      </c>
      <c r="E6" s="93">
        <f t="shared" ref="E6:E20" si="0">D6*1000</f>
        <v>29928000</v>
      </c>
      <c r="F6" s="96">
        <f t="shared" ref="F6:F20" si="1">E6/C6</f>
        <v>22.546585956598875</v>
      </c>
      <c r="G6" s="84" t="s">
        <v>786</v>
      </c>
      <c r="H6" s="99" t="s">
        <v>787</v>
      </c>
      <c r="J6" s="103" t="s">
        <v>786</v>
      </c>
      <c r="K6" s="103" t="s">
        <v>786</v>
      </c>
      <c r="L6" s="104">
        <f>AVERAGE(F6:F10)</f>
        <v>22.352186625917053</v>
      </c>
      <c r="M6" s="103" t="s">
        <v>788</v>
      </c>
    </row>
    <row r="7" spans="1:13" ht="21" customHeight="1">
      <c r="A7" s="88" t="s">
        <v>786</v>
      </c>
      <c r="B7" s="91">
        <v>2022</v>
      </c>
      <c r="C7" s="94">
        <v>1385235</v>
      </c>
      <c r="D7" s="94">
        <v>29946</v>
      </c>
      <c r="E7" s="94">
        <f t="shared" si="0"/>
        <v>29946000</v>
      </c>
      <c r="F7" s="97">
        <f t="shared" si="1"/>
        <v>21.617992614971467</v>
      </c>
      <c r="G7" s="85" t="s">
        <v>786</v>
      </c>
      <c r="H7" s="100" t="s">
        <v>787</v>
      </c>
      <c r="J7" s="103" t="s">
        <v>789</v>
      </c>
      <c r="K7" s="103" t="s">
        <v>790</v>
      </c>
      <c r="L7" s="104">
        <f>AVERAGE(F11:F15)</f>
        <v>15.260767935658269</v>
      </c>
      <c r="M7" s="103" t="s">
        <v>788</v>
      </c>
    </row>
    <row r="8" spans="1:13" ht="21" customHeight="1">
      <c r="A8" s="88" t="s">
        <v>786</v>
      </c>
      <c r="B8" s="91">
        <v>2023</v>
      </c>
      <c r="C8" s="94">
        <v>1477790</v>
      </c>
      <c r="D8" s="94">
        <v>33868</v>
      </c>
      <c r="E8" s="94">
        <f t="shared" si="0"/>
        <v>33868000</v>
      </c>
      <c r="F8" s="97">
        <f t="shared" si="1"/>
        <v>22.918005941304244</v>
      </c>
      <c r="G8" s="85" t="s">
        <v>786</v>
      </c>
      <c r="H8" s="100" t="s">
        <v>787</v>
      </c>
      <c r="J8" s="103" t="s">
        <v>791</v>
      </c>
      <c r="K8" s="103" t="s">
        <v>792</v>
      </c>
      <c r="L8" s="104">
        <f>AVERAGE(F16:F20)</f>
        <v>6.8325163691731401</v>
      </c>
      <c r="M8" s="103" t="s">
        <v>788</v>
      </c>
    </row>
    <row r="9" spans="1:13" ht="21" customHeight="1">
      <c r="A9" s="88" t="s">
        <v>786</v>
      </c>
      <c r="B9" s="91">
        <v>2024</v>
      </c>
      <c r="C9" s="94">
        <v>1530613</v>
      </c>
      <c r="D9" s="94">
        <v>34550</v>
      </c>
      <c r="E9" s="94">
        <f t="shared" si="0"/>
        <v>34550000</v>
      </c>
      <c r="F9" s="97">
        <f t="shared" si="1"/>
        <v>22.572655530823273</v>
      </c>
      <c r="G9" s="85" t="s">
        <v>786</v>
      </c>
      <c r="H9" s="100" t="s">
        <v>787</v>
      </c>
    </row>
    <row r="10" spans="1:13" ht="21" customHeight="1">
      <c r="A10" s="88" t="s">
        <v>786</v>
      </c>
      <c r="B10" s="91">
        <v>2025</v>
      </c>
      <c r="C10" s="94">
        <v>1686941</v>
      </c>
      <c r="D10" s="94">
        <v>37291</v>
      </c>
      <c r="E10" s="94">
        <f t="shared" si="0"/>
        <v>37291000</v>
      </c>
      <c r="F10" s="97">
        <f t="shared" si="1"/>
        <v>22.105693085887413</v>
      </c>
      <c r="G10" s="85" t="s">
        <v>786</v>
      </c>
      <c r="H10" s="100" t="s">
        <v>787</v>
      </c>
    </row>
    <row r="11" spans="1:13" ht="21" customHeight="1">
      <c r="A11" s="88" t="s">
        <v>789</v>
      </c>
      <c r="B11" s="91">
        <v>2021</v>
      </c>
      <c r="C11" s="94">
        <v>70552</v>
      </c>
      <c r="D11" s="94">
        <v>1114</v>
      </c>
      <c r="E11" s="94">
        <f t="shared" si="0"/>
        <v>1114000</v>
      </c>
      <c r="F11" s="97">
        <f t="shared" si="1"/>
        <v>15.789772083002608</v>
      </c>
      <c r="G11" s="85" t="s">
        <v>790</v>
      </c>
      <c r="H11" s="100" t="s">
        <v>787</v>
      </c>
    </row>
    <row r="12" spans="1:13" ht="21" customHeight="1">
      <c r="A12" s="88" t="s">
        <v>789</v>
      </c>
      <c r="B12" s="91">
        <v>2022</v>
      </c>
      <c r="C12" s="94">
        <v>64899</v>
      </c>
      <c r="D12" s="94">
        <v>1031</v>
      </c>
      <c r="E12" s="94">
        <f t="shared" si="0"/>
        <v>1031000</v>
      </c>
      <c r="F12" s="97">
        <f t="shared" si="1"/>
        <v>15.886223208369929</v>
      </c>
      <c r="G12" s="85" t="s">
        <v>790</v>
      </c>
      <c r="H12" s="100" t="s">
        <v>787</v>
      </c>
    </row>
    <row r="13" spans="1:13" ht="21" customHeight="1">
      <c r="A13" s="88" t="s">
        <v>789</v>
      </c>
      <c r="B13" s="91">
        <v>2023</v>
      </c>
      <c r="C13" s="94">
        <v>80403</v>
      </c>
      <c r="D13" s="94">
        <v>1211</v>
      </c>
      <c r="E13" s="94">
        <f t="shared" si="0"/>
        <v>1211000</v>
      </c>
      <c r="F13" s="97">
        <f t="shared" si="1"/>
        <v>15.061627053716901</v>
      </c>
      <c r="G13" s="85" t="s">
        <v>790</v>
      </c>
      <c r="H13" s="100" t="s">
        <v>787</v>
      </c>
    </row>
    <row r="14" spans="1:13" ht="21" customHeight="1">
      <c r="A14" s="88" t="s">
        <v>789</v>
      </c>
      <c r="B14" s="91">
        <v>2024</v>
      </c>
      <c r="C14" s="94">
        <v>73901</v>
      </c>
      <c r="D14" s="94">
        <v>1109</v>
      </c>
      <c r="E14" s="94">
        <f t="shared" si="0"/>
        <v>1109000</v>
      </c>
      <c r="F14" s="97">
        <f t="shared" si="1"/>
        <v>15.006562834061786</v>
      </c>
      <c r="G14" s="85" t="s">
        <v>790</v>
      </c>
      <c r="H14" s="100" t="s">
        <v>787</v>
      </c>
    </row>
    <row r="15" spans="1:13" ht="21" customHeight="1">
      <c r="A15" s="88" t="s">
        <v>789</v>
      </c>
      <c r="B15" s="91">
        <v>2025</v>
      </c>
      <c r="C15" s="94">
        <v>77337</v>
      </c>
      <c r="D15" s="94">
        <v>1126</v>
      </c>
      <c r="E15" s="94">
        <f t="shared" si="0"/>
        <v>1126000</v>
      </c>
      <c r="F15" s="97">
        <f t="shared" si="1"/>
        <v>14.559654499140127</v>
      </c>
      <c r="G15" s="85" t="s">
        <v>790</v>
      </c>
      <c r="H15" s="100" t="s">
        <v>787</v>
      </c>
    </row>
    <row r="16" spans="1:13" ht="21" customHeight="1">
      <c r="A16" s="88" t="s">
        <v>791</v>
      </c>
      <c r="B16" s="91">
        <v>2021</v>
      </c>
      <c r="C16" s="94">
        <v>106570</v>
      </c>
      <c r="D16" s="94">
        <v>769</v>
      </c>
      <c r="E16" s="94">
        <f t="shared" si="0"/>
        <v>769000</v>
      </c>
      <c r="F16" s="97">
        <f t="shared" si="1"/>
        <v>7.2159144224453406</v>
      </c>
      <c r="G16" s="85" t="s">
        <v>792</v>
      </c>
      <c r="H16" s="100" t="s">
        <v>787</v>
      </c>
    </row>
    <row r="17" spans="1:8" ht="21" customHeight="1">
      <c r="A17" s="88" t="s">
        <v>791</v>
      </c>
      <c r="B17" s="91">
        <v>2022</v>
      </c>
      <c r="C17" s="94">
        <v>102622</v>
      </c>
      <c r="D17" s="94">
        <v>734</v>
      </c>
      <c r="E17" s="94">
        <f t="shared" si="0"/>
        <v>734000</v>
      </c>
      <c r="F17" s="97">
        <f t="shared" si="1"/>
        <v>7.152462434955468</v>
      </c>
      <c r="G17" s="85" t="s">
        <v>792</v>
      </c>
      <c r="H17" s="100" t="s">
        <v>787</v>
      </c>
    </row>
    <row r="18" spans="1:8" ht="21" customHeight="1">
      <c r="A18" s="88" t="s">
        <v>791</v>
      </c>
      <c r="B18" s="91">
        <v>2023</v>
      </c>
      <c r="C18" s="94">
        <v>123482</v>
      </c>
      <c r="D18" s="94">
        <v>867</v>
      </c>
      <c r="E18" s="94">
        <f t="shared" si="0"/>
        <v>867000</v>
      </c>
      <c r="F18" s="97">
        <f t="shared" si="1"/>
        <v>7.0212662574302325</v>
      </c>
      <c r="G18" s="85" t="s">
        <v>792</v>
      </c>
      <c r="H18" s="100" t="s">
        <v>787</v>
      </c>
    </row>
    <row r="19" spans="1:8" ht="21" customHeight="1">
      <c r="A19" s="88" t="s">
        <v>791</v>
      </c>
      <c r="B19" s="91">
        <v>2024</v>
      </c>
      <c r="C19" s="94">
        <v>116117</v>
      </c>
      <c r="D19" s="94">
        <v>755</v>
      </c>
      <c r="E19" s="94">
        <f t="shared" si="0"/>
        <v>755000</v>
      </c>
      <c r="F19" s="97">
        <f t="shared" si="1"/>
        <v>6.5020625748167795</v>
      </c>
      <c r="G19" s="85" t="s">
        <v>792</v>
      </c>
      <c r="H19" s="100" t="s">
        <v>787</v>
      </c>
    </row>
    <row r="20" spans="1:8" ht="21" customHeight="1">
      <c r="A20" s="89" t="s">
        <v>791</v>
      </c>
      <c r="B20" s="92">
        <v>2025</v>
      </c>
      <c r="C20" s="95">
        <v>124544</v>
      </c>
      <c r="D20" s="95">
        <v>781</v>
      </c>
      <c r="E20" s="95">
        <f t="shared" si="0"/>
        <v>781000</v>
      </c>
      <c r="F20" s="98">
        <f t="shared" si="1"/>
        <v>6.2708761562178825</v>
      </c>
      <c r="G20" s="86" t="s">
        <v>792</v>
      </c>
      <c r="H20" s="101" t="s">
        <v>787</v>
      </c>
    </row>
  </sheetData>
  <mergeCells count="3">
    <mergeCell ref="A1:M2"/>
    <mergeCell ref="A3:M3"/>
    <mergeCell ref="A4:M4"/>
  </mergeCells>
  <phoneticPr fontId="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87"/>
  <sheetViews>
    <sheetView showGridLines="0" tabSelected="1" workbookViewId="0">
      <selection activeCell="A4" sqref="A4:AC4"/>
    </sheetView>
  </sheetViews>
  <sheetFormatPr defaultRowHeight="13.8"/>
  <cols>
    <col min="1" max="1" width="9" customWidth="1"/>
    <col min="2" max="2" width="10" customWidth="1"/>
    <col min="3" max="4" width="17" customWidth="1"/>
    <col min="5" max="5" width="3" customWidth="1"/>
    <col min="6" max="6" width="9" customWidth="1"/>
    <col min="7" max="7" width="10" customWidth="1"/>
    <col min="8" max="9" width="17" customWidth="1"/>
    <col min="10" max="10" width="3" customWidth="1"/>
    <col min="11" max="11" width="9" customWidth="1"/>
    <col min="12" max="12" width="10" customWidth="1"/>
    <col min="13" max="14" width="17" customWidth="1"/>
    <col min="15" max="15" width="3" customWidth="1"/>
    <col min="16" max="16" width="9" customWidth="1"/>
    <col min="17" max="17" width="10" customWidth="1"/>
    <col min="18" max="19" width="17" customWidth="1"/>
    <col min="20" max="20" width="3" customWidth="1"/>
    <col min="21" max="21" width="9" customWidth="1"/>
    <col min="22" max="22" width="10" customWidth="1"/>
    <col min="23" max="24" width="17" customWidth="1"/>
    <col min="25" max="25" width="3" customWidth="1"/>
    <col min="26" max="26" width="9" customWidth="1"/>
    <col min="27" max="27" width="10" customWidth="1"/>
    <col min="28" max="29" width="17" customWidth="1"/>
  </cols>
  <sheetData>
    <row r="1" spans="1:29" ht="28.05" customHeight="1">
      <c r="A1" s="145" t="s">
        <v>793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</row>
    <row r="2" spans="1:29" ht="28.05" customHeight="1">
      <c r="A2" s="145"/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</row>
    <row r="3" spans="1:29" ht="25.05" customHeight="1">
      <c r="A3" s="105" t="s">
        <v>794</v>
      </c>
      <c r="B3" s="108">
        <v>1</v>
      </c>
      <c r="C3" s="106"/>
      <c r="D3" s="106" t="s">
        <v>795</v>
      </c>
      <c r="E3" s="109">
        <f>계리기호!B3</f>
        <v>2.1000000000000001E-2</v>
      </c>
      <c r="F3" s="106"/>
      <c r="G3" s="106" t="s">
        <v>796</v>
      </c>
      <c r="H3" s="110">
        <f>AVERAGE('시도 요약'!R6:R22)</f>
        <v>0.24196532084926869</v>
      </c>
      <c r="I3" s="106"/>
      <c r="J3" s="106" t="s">
        <v>797</v>
      </c>
      <c r="K3" s="106" t="s">
        <v>798</v>
      </c>
      <c r="L3" s="106"/>
      <c r="M3" s="106" t="s">
        <v>799</v>
      </c>
      <c r="N3" s="106" t="s">
        <v>800</v>
      </c>
      <c r="O3" s="106"/>
      <c r="P3" s="106" t="s">
        <v>801</v>
      </c>
      <c r="Q3" s="106" t="s">
        <v>802</v>
      </c>
      <c r="R3" s="107"/>
    </row>
    <row r="4" spans="1:29" ht="37.950000000000003" customHeight="1">
      <c r="A4" s="148" t="s">
        <v>803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</row>
    <row r="5" spans="1:29" ht="24" customHeight="1">
      <c r="A5" s="149" t="s">
        <v>804</v>
      </c>
      <c r="B5" s="149"/>
      <c r="C5" s="149"/>
      <c r="D5" s="149"/>
      <c r="F5" s="149" t="s">
        <v>805</v>
      </c>
      <c r="G5" s="149"/>
      <c r="H5" s="149"/>
      <c r="I5" s="149"/>
      <c r="K5" s="150" t="s">
        <v>806</v>
      </c>
      <c r="L5" s="150"/>
      <c r="M5" s="150"/>
      <c r="N5" s="150"/>
      <c r="P5" s="150" t="s">
        <v>807</v>
      </c>
      <c r="Q5" s="150"/>
      <c r="R5" s="150"/>
      <c r="S5" s="150"/>
      <c r="U5" s="151" t="s">
        <v>808</v>
      </c>
      <c r="V5" s="151"/>
      <c r="W5" s="151"/>
      <c r="X5" s="151"/>
      <c r="Z5" s="151" t="s">
        <v>809</v>
      </c>
      <c r="AA5" s="151"/>
      <c r="AB5" s="151"/>
      <c r="AC5" s="151"/>
    </row>
    <row r="6" spans="1:29" ht="31.95" customHeight="1">
      <c r="A6" s="83" t="s">
        <v>810</v>
      </c>
      <c r="B6" s="83" t="s">
        <v>811</v>
      </c>
      <c r="C6" s="83" t="s">
        <v>812</v>
      </c>
      <c r="D6" s="83" t="s">
        <v>813</v>
      </c>
      <c r="F6" s="83" t="s">
        <v>810</v>
      </c>
      <c r="G6" s="83" t="s">
        <v>811</v>
      </c>
      <c r="H6" s="83" t="s">
        <v>812</v>
      </c>
      <c r="I6" s="83" t="s">
        <v>813</v>
      </c>
      <c r="K6" s="83" t="s">
        <v>810</v>
      </c>
      <c r="L6" s="83" t="s">
        <v>811</v>
      </c>
      <c r="M6" s="83" t="s">
        <v>812</v>
      </c>
      <c r="N6" s="83" t="s">
        <v>813</v>
      </c>
      <c r="P6" s="83" t="s">
        <v>810</v>
      </c>
      <c r="Q6" s="83" t="s">
        <v>811</v>
      </c>
      <c r="R6" s="83" t="s">
        <v>812</v>
      </c>
      <c r="S6" s="83" t="s">
        <v>813</v>
      </c>
      <c r="U6" s="83" t="s">
        <v>810</v>
      </c>
      <c r="V6" s="83" t="s">
        <v>811</v>
      </c>
      <c r="W6" s="83" t="s">
        <v>812</v>
      </c>
      <c r="X6" s="83" t="s">
        <v>813</v>
      </c>
      <c r="Z6" s="83" t="s">
        <v>810</v>
      </c>
      <c r="AA6" s="83" t="s">
        <v>811</v>
      </c>
      <c r="AB6" s="83" t="s">
        <v>812</v>
      </c>
      <c r="AC6" s="83" t="s">
        <v>813</v>
      </c>
    </row>
    <row r="7" spans="1:29" ht="18" customHeight="1">
      <c r="A7" s="111" t="s">
        <v>814</v>
      </c>
      <c r="B7" s="114">
        <v>0</v>
      </c>
      <c r="C7" s="117" t="s">
        <v>786</v>
      </c>
      <c r="D7" s="120">
        <f>$B$3*$H$3*'NHIS 내원횟수'!$L$6*(계리기호!J7-계리기호!J$87)/(계리기호!I7-계리기호!I27)</f>
        <v>3.0023847712913488E-2</v>
      </c>
      <c r="F7" s="111" t="s">
        <v>815</v>
      </c>
      <c r="G7" s="114">
        <v>0</v>
      </c>
      <c r="H7" s="117" t="s">
        <v>786</v>
      </c>
      <c r="I7" s="120">
        <f>$B$3*$H$3*'NHIS 내원횟수'!$L$6*(계리기호!U7-계리기호!U$87)/(계리기호!T7-계리기호!T27)</f>
        <v>2.9360702945131361E-2</v>
      </c>
      <c r="K7" s="123" t="s">
        <v>814</v>
      </c>
      <c r="L7" s="114">
        <v>0</v>
      </c>
      <c r="M7" s="126" t="s">
        <v>790</v>
      </c>
      <c r="N7" s="120">
        <f>$B$3*$H$3*'NHIS 내원횟수'!$L$7*(계리기호!AF7-계리기호!AF$87)/(계리기호!AE7-계리기호!AE27)</f>
        <v>7.9317922481730568E-3</v>
      </c>
      <c r="P7" s="123" t="s">
        <v>815</v>
      </c>
      <c r="Q7" s="114">
        <v>0</v>
      </c>
      <c r="R7" s="126" t="s">
        <v>790</v>
      </c>
      <c r="S7" s="120">
        <f>$B$3*$H$3*'NHIS 내원횟수'!$L$7*(계리기호!AQ7-계리기호!AQ$87)/(계리기호!AP7-계리기호!AP27)</f>
        <v>5.5340537591875971E-3</v>
      </c>
      <c r="U7" s="129" t="s">
        <v>814</v>
      </c>
      <c r="V7" s="114">
        <v>0</v>
      </c>
      <c r="W7" s="132" t="s">
        <v>792</v>
      </c>
      <c r="X7" s="120">
        <f>$B$3*$H$3*'NHIS 내원횟수'!$L$8*(계리기호!BB7-계리기호!BB$87)/(계리기호!BA7-계리기호!BA27)</f>
        <v>1.3896584537452874E-3</v>
      </c>
      <c r="Z7" s="129" t="s">
        <v>815</v>
      </c>
      <c r="AA7" s="114">
        <v>0</v>
      </c>
      <c r="AB7" s="132" t="s">
        <v>792</v>
      </c>
      <c r="AC7" s="120">
        <f>$B$3*$H$3*'NHIS 내원횟수'!$L$8*(계리기호!BM7-계리기호!BM$87)/(계리기호!BL7-계리기호!BL27)</f>
        <v>3.5396490381618586E-4</v>
      </c>
    </row>
    <row r="8" spans="1:29" ht="18" customHeight="1">
      <c r="A8" s="112" t="s">
        <v>814</v>
      </c>
      <c r="B8" s="115">
        <v>1</v>
      </c>
      <c r="C8" s="118" t="s">
        <v>786</v>
      </c>
      <c r="D8" s="121">
        <f>$B$3*$H$3*'NHIS 내원횟수'!$L$6*(계리기호!J8-계리기호!J$87)/(계리기호!I8-계리기호!I28)</f>
        <v>3.0535164793549768E-2</v>
      </c>
      <c r="F8" s="112" t="s">
        <v>815</v>
      </c>
      <c r="G8" s="115">
        <v>1</v>
      </c>
      <c r="H8" s="118" t="s">
        <v>786</v>
      </c>
      <c r="I8" s="121">
        <f>$B$3*$H$3*'NHIS 내원횟수'!$L$6*(계리기호!U8-계리기호!U$87)/(계리기호!T8-계리기호!T28)</f>
        <v>2.9867199197852929E-2</v>
      </c>
      <c r="K8" s="124" t="s">
        <v>814</v>
      </c>
      <c r="L8" s="115">
        <v>1</v>
      </c>
      <c r="M8" s="127" t="s">
        <v>790</v>
      </c>
      <c r="N8" s="121">
        <f>$B$3*$H$3*'NHIS 내원횟수'!$L$7*(계리기호!AF8-계리기호!AF$87)/(계리기호!AE8-계리기호!AE28)</f>
        <v>8.0373079998402683E-3</v>
      </c>
      <c r="P8" s="124" t="s">
        <v>815</v>
      </c>
      <c r="Q8" s="115">
        <v>1</v>
      </c>
      <c r="R8" s="127" t="s">
        <v>790</v>
      </c>
      <c r="S8" s="121">
        <f>$B$3*$H$3*'NHIS 내원횟수'!$L$7*(계리기호!AQ8-계리기호!AQ$87)/(계리기호!AP8-계리기호!AP28)</f>
        <v>5.6076994596324647E-3</v>
      </c>
      <c r="U8" s="130" t="s">
        <v>814</v>
      </c>
      <c r="V8" s="115">
        <v>1</v>
      </c>
      <c r="W8" s="133" t="s">
        <v>792</v>
      </c>
      <c r="X8" s="121">
        <f>$B$3*$H$3*'NHIS 내원횟수'!$L$8*(계리기호!BB8-계리기호!BB$87)/(계리기호!BA8-계리기호!BA28)</f>
        <v>1.4191448707500623E-3</v>
      </c>
      <c r="Z8" s="130" t="s">
        <v>815</v>
      </c>
      <c r="AA8" s="115">
        <v>1</v>
      </c>
      <c r="AB8" s="133" t="s">
        <v>792</v>
      </c>
      <c r="AC8" s="121">
        <f>$B$3*$H$3*'NHIS 내원횟수'!$L$8*(계리기호!BM8-계리기호!BM$87)/(계리기호!BL8-계리기호!BL28)</f>
        <v>3.6121172917786485E-4</v>
      </c>
    </row>
    <row r="9" spans="1:29" ht="18" customHeight="1">
      <c r="A9" s="112" t="s">
        <v>814</v>
      </c>
      <c r="B9" s="115">
        <v>2</v>
      </c>
      <c r="C9" s="118" t="s">
        <v>786</v>
      </c>
      <c r="D9" s="121">
        <f>$B$3*$H$3*'NHIS 내원횟수'!$L$6*(계리기호!J9-계리기호!J$87)/(계리기호!I9-계리기호!I29)</f>
        <v>3.1063964503271278E-2</v>
      </c>
      <c r="F9" s="112" t="s">
        <v>815</v>
      </c>
      <c r="G9" s="115">
        <v>2</v>
      </c>
      <c r="H9" s="118" t="s">
        <v>786</v>
      </c>
      <c r="I9" s="121">
        <f>$B$3*$H$3*'NHIS 내원횟수'!$L$6*(계리기호!U9-계리기호!U$87)/(계리기호!T9-계리기호!T29)</f>
        <v>3.039029877447931E-2</v>
      </c>
      <c r="K9" s="124" t="s">
        <v>814</v>
      </c>
      <c r="L9" s="115">
        <v>2</v>
      </c>
      <c r="M9" s="127" t="s">
        <v>790</v>
      </c>
      <c r="N9" s="121">
        <f>$B$3*$H$3*'NHIS 내원횟수'!$L$7*(계리기호!AF9-계리기호!AF$87)/(계리기호!AE9-계리기호!AE29)</f>
        <v>8.1502720690824169E-3</v>
      </c>
      <c r="P9" s="124" t="s">
        <v>815</v>
      </c>
      <c r="Q9" s="115">
        <v>2</v>
      </c>
      <c r="R9" s="127" t="s">
        <v>790</v>
      </c>
      <c r="S9" s="121">
        <f>$B$3*$H$3*'NHIS 내원횟수'!$L$7*(계리기호!AQ9-계리기호!AQ$87)/(계리기호!AP9-계리기호!AP29)</f>
        <v>5.6864365992936403E-3</v>
      </c>
      <c r="U9" s="130" t="s">
        <v>814</v>
      </c>
      <c r="V9" s="115">
        <v>2</v>
      </c>
      <c r="W9" s="133" t="s">
        <v>792</v>
      </c>
      <c r="X9" s="121">
        <f>$B$3*$H$3*'NHIS 내원횟수'!$L$8*(계리기호!BB9-계리기호!BB$87)/(계리기호!BA9-계리기호!BA29)</f>
        <v>1.4491397427635769E-3</v>
      </c>
      <c r="Z9" s="130" t="s">
        <v>815</v>
      </c>
      <c r="AA9" s="115">
        <v>2</v>
      </c>
      <c r="AB9" s="133" t="s">
        <v>792</v>
      </c>
      <c r="AC9" s="121">
        <f>$B$3*$H$3*'NHIS 내원횟수'!$L$8*(계리기호!BM9-계리기호!BM$87)/(계리기호!BL9-계리기호!BL29)</f>
        <v>3.6860574261194892E-4</v>
      </c>
    </row>
    <row r="10" spans="1:29" ht="18" customHeight="1">
      <c r="A10" s="112" t="s">
        <v>814</v>
      </c>
      <c r="B10" s="115">
        <v>3</v>
      </c>
      <c r="C10" s="118" t="s">
        <v>786</v>
      </c>
      <c r="D10" s="121">
        <f>$B$3*$H$3*'NHIS 내원횟수'!$L$6*(계리기호!J10-계리기호!J$87)/(계리기호!I10-계리기호!I30)</f>
        <v>3.1611191167595407E-2</v>
      </c>
      <c r="F10" s="112" t="s">
        <v>815</v>
      </c>
      <c r="G10" s="115">
        <v>3</v>
      </c>
      <c r="H10" s="118" t="s">
        <v>786</v>
      </c>
      <c r="I10" s="121">
        <f>$B$3*$H$3*'NHIS 내원횟수'!$L$6*(계리기호!U10-계리기호!U$87)/(계리기호!T10-계리기호!T30)</f>
        <v>3.0930999026066969E-2</v>
      </c>
      <c r="K10" s="124" t="s">
        <v>814</v>
      </c>
      <c r="L10" s="115">
        <v>3</v>
      </c>
      <c r="M10" s="127" t="s">
        <v>790</v>
      </c>
      <c r="N10" s="121">
        <f>$B$3*$H$3*'NHIS 내원횟수'!$L$7*(계리기호!AF10-계리기호!AF$87)/(계리기호!AE10-계리기호!AE30)</f>
        <v>8.2709639129004073E-3</v>
      </c>
      <c r="P10" s="124" t="s">
        <v>815</v>
      </c>
      <c r="Q10" s="115">
        <v>3</v>
      </c>
      <c r="R10" s="127" t="s">
        <v>790</v>
      </c>
      <c r="S10" s="121">
        <f>$B$3*$H$3*'NHIS 내원횟수'!$L$7*(계리기호!AQ10-계리기호!AQ$87)/(계리기호!AP10-계리기호!AP30)</f>
        <v>5.7704468162681228E-3</v>
      </c>
      <c r="U10" s="130" t="s">
        <v>814</v>
      </c>
      <c r="V10" s="115">
        <v>3</v>
      </c>
      <c r="W10" s="133" t="s">
        <v>792</v>
      </c>
      <c r="X10" s="121">
        <f>$B$3*$H$3*'NHIS 내원횟수'!$L$8*(계리기호!BB10-계리기호!BB$87)/(계리기호!BA10-계리기호!BA30)</f>
        <v>1.4796764591000814E-3</v>
      </c>
      <c r="Z10" s="130" t="s">
        <v>815</v>
      </c>
      <c r="AA10" s="115">
        <v>3</v>
      </c>
      <c r="AB10" s="133" t="s">
        <v>792</v>
      </c>
      <c r="AC10" s="121">
        <f>$B$3*$H$3*'NHIS 내원횟수'!$L$8*(계리기호!BM10-계리기호!BM$87)/(계리기호!BL10-계리기호!BL30)</f>
        <v>3.7615501206559774E-4</v>
      </c>
    </row>
    <row r="11" spans="1:29" ht="18" customHeight="1">
      <c r="A11" s="112" t="s">
        <v>814</v>
      </c>
      <c r="B11" s="115">
        <v>4</v>
      </c>
      <c r="C11" s="118" t="s">
        <v>786</v>
      </c>
      <c r="D11" s="121">
        <f>$B$3*$H$3*'NHIS 내원횟수'!$L$6*(계리기호!J11-계리기호!J$87)/(계리기호!I11-계리기호!I31)</f>
        <v>3.2177860409657005E-2</v>
      </c>
      <c r="F11" s="112" t="s">
        <v>815</v>
      </c>
      <c r="G11" s="115">
        <v>4</v>
      </c>
      <c r="H11" s="118" t="s">
        <v>786</v>
      </c>
      <c r="I11" s="121">
        <f>$B$3*$H$3*'NHIS 내원횟수'!$L$6*(계리기호!U11-계리기호!U$87)/(계리기호!T11-계리기호!T31)</f>
        <v>3.1490373628918482E-2</v>
      </c>
      <c r="K11" s="124" t="s">
        <v>814</v>
      </c>
      <c r="L11" s="115">
        <v>4</v>
      </c>
      <c r="M11" s="127" t="s">
        <v>790</v>
      </c>
      <c r="N11" s="121">
        <f>$B$3*$H$3*'NHIS 내원횟수'!$L$7*(계리기호!AF11-계리기호!AF$87)/(계리기호!AE11-계리기호!AE31)</f>
        <v>8.3996810286389653E-3</v>
      </c>
      <c r="P11" s="124" t="s">
        <v>815</v>
      </c>
      <c r="Q11" s="115">
        <v>4</v>
      </c>
      <c r="R11" s="127" t="s">
        <v>790</v>
      </c>
      <c r="S11" s="121">
        <f>$B$3*$H$3*'NHIS 내원횟수'!$L$7*(계리기호!AQ11-계리기호!AQ$87)/(계리기호!AP11-계리기호!AP31)</f>
        <v>5.8599229766151317E-3</v>
      </c>
      <c r="U11" s="130" t="s">
        <v>814</v>
      </c>
      <c r="V11" s="115">
        <v>4</v>
      </c>
      <c r="W11" s="133" t="s">
        <v>792</v>
      </c>
      <c r="X11" s="121">
        <f>$B$3*$H$3*'NHIS 내원횟수'!$L$8*(계리기호!BB11-계리기호!BB$87)/(계리기호!BA11-계리기호!BA31)</f>
        <v>1.5107912153020317E-3</v>
      </c>
      <c r="Z11" s="130" t="s">
        <v>815</v>
      </c>
      <c r="AA11" s="115">
        <v>4</v>
      </c>
      <c r="AB11" s="133" t="s">
        <v>792</v>
      </c>
      <c r="AC11" s="121">
        <f>$B$3*$H$3*'NHIS 내원횟수'!$L$8*(계리기호!BM11-계리기호!BM$87)/(계리기호!BL11-계리기호!BL31)</f>
        <v>3.8386824482518507E-4</v>
      </c>
    </row>
    <row r="12" spans="1:29" ht="18" customHeight="1">
      <c r="A12" s="112" t="s">
        <v>814</v>
      </c>
      <c r="B12" s="115">
        <v>5</v>
      </c>
      <c r="C12" s="118" t="s">
        <v>786</v>
      </c>
      <c r="D12" s="121">
        <f>$B$3*$H$3*'NHIS 내원횟수'!$L$6*(계리기호!J12-계리기호!J$87)/(계리기호!I12-계리기호!I32)</f>
        <v>3.2765065274545285E-2</v>
      </c>
      <c r="F12" s="112" t="s">
        <v>815</v>
      </c>
      <c r="G12" s="115">
        <v>5</v>
      </c>
      <c r="H12" s="118" t="s">
        <v>786</v>
      </c>
      <c r="I12" s="121">
        <f>$B$3*$H$3*'NHIS 내원횟수'!$L$6*(계리기호!U12-계리기호!U$87)/(계리기호!T12-계리기호!T32)</f>
        <v>3.2069578998683505E-2</v>
      </c>
      <c r="K12" s="124" t="s">
        <v>814</v>
      </c>
      <c r="L12" s="115">
        <v>5</v>
      </c>
      <c r="M12" s="127" t="s">
        <v>790</v>
      </c>
      <c r="N12" s="121">
        <f>$B$3*$H$3*'NHIS 내원횟수'!$L$7*(계리기호!AF12-계리기호!AF$87)/(계리기호!AE12-계리기호!AE32)</f>
        <v>8.5367409948754469E-3</v>
      </c>
      <c r="P12" s="124" t="s">
        <v>815</v>
      </c>
      <c r="Q12" s="115">
        <v>5</v>
      </c>
      <c r="R12" s="127" t="s">
        <v>790</v>
      </c>
      <c r="S12" s="121">
        <f>$B$3*$H$3*'NHIS 내원횟수'!$L$7*(계리기호!AQ12-계리기호!AQ$87)/(계리기호!AP12-계리기호!AP32)</f>
        <v>5.9550704057986176E-3</v>
      </c>
      <c r="U12" s="130" t="s">
        <v>814</v>
      </c>
      <c r="V12" s="115">
        <v>5</v>
      </c>
      <c r="W12" s="133" t="s">
        <v>792</v>
      </c>
      <c r="X12" s="121">
        <f>$B$3*$H$3*'NHIS 내원횟수'!$L$8*(계리기호!BB12-계리기호!BB$87)/(계리기호!BA12-계리기호!BA32)</f>
        <v>1.5425231934196859E-3</v>
      </c>
      <c r="Z12" s="130" t="s">
        <v>815</v>
      </c>
      <c r="AA12" s="115">
        <v>5</v>
      </c>
      <c r="AB12" s="133" t="s">
        <v>792</v>
      </c>
      <c r="AC12" s="121">
        <f>$B$3*$H$3*'NHIS 내원횟수'!$L$8*(계리기호!BM12-계리기호!BM$87)/(계리기호!BL12-계리기호!BL32)</f>
        <v>3.9175483081666304E-4</v>
      </c>
    </row>
    <row r="13" spans="1:29" ht="18" customHeight="1">
      <c r="A13" s="112" t="s">
        <v>814</v>
      </c>
      <c r="B13" s="115">
        <v>6</v>
      </c>
      <c r="C13" s="118" t="s">
        <v>786</v>
      </c>
      <c r="D13" s="121">
        <f>$B$3*$H$3*'NHIS 내원횟수'!$L$6*(계리기호!J13-계리기호!J$87)/(계리기호!I13-계리기호!I33)</f>
        <v>3.3373983051254219E-2</v>
      </c>
      <c r="F13" s="112" t="s">
        <v>815</v>
      </c>
      <c r="G13" s="115">
        <v>6</v>
      </c>
      <c r="H13" s="118" t="s">
        <v>786</v>
      </c>
      <c r="I13" s="121">
        <f>$B$3*$H$3*'NHIS 내원횟수'!$L$6*(계리기호!U13-계리기호!U$87)/(계리기호!T13-계리기호!T33)</f>
        <v>3.2669861482897668E-2</v>
      </c>
      <c r="K13" s="124" t="s">
        <v>814</v>
      </c>
      <c r="L13" s="115">
        <v>6</v>
      </c>
      <c r="M13" s="127" t="s">
        <v>790</v>
      </c>
      <c r="N13" s="121">
        <f>$B$3*$H$3*'NHIS 내원횟수'!$L$7*(계리기호!AF13-계리기호!AF$87)/(계리기호!AE13-계리기호!AE33)</f>
        <v>8.6824837081883374E-3</v>
      </c>
      <c r="P13" s="124" t="s">
        <v>815</v>
      </c>
      <c r="Q13" s="115">
        <v>6</v>
      </c>
      <c r="R13" s="127" t="s">
        <v>790</v>
      </c>
      <c r="S13" s="121">
        <f>$B$3*$H$3*'NHIS 내원횟수'!$L$7*(계리기호!AQ13-계리기호!AQ$87)/(계리기호!AP13-계리기호!AP33)</f>
        <v>6.0561082334923255E-3</v>
      </c>
      <c r="U13" s="130" t="s">
        <v>814</v>
      </c>
      <c r="V13" s="115">
        <v>6</v>
      </c>
      <c r="W13" s="133" t="s">
        <v>792</v>
      </c>
      <c r="X13" s="121">
        <f>$B$3*$H$3*'NHIS 내원횟수'!$L$8*(계리기호!BB13-계리기호!BB$87)/(계리기호!BA13-계리기호!BA33)</f>
        <v>1.5749147631019848E-3</v>
      </c>
      <c r="Z13" s="130" t="s">
        <v>815</v>
      </c>
      <c r="AA13" s="115">
        <v>6</v>
      </c>
      <c r="AB13" s="133" t="s">
        <v>792</v>
      </c>
      <c r="AC13" s="121">
        <f>$B$3*$H$3*'NHIS 내원횟수'!$L$8*(계리기호!BM13-계리기호!BM$87)/(계리기호!BL13-계리기호!BL33)</f>
        <v>3.9982489046608706E-4</v>
      </c>
    </row>
    <row r="14" spans="1:29" ht="18" customHeight="1">
      <c r="A14" s="112" t="s">
        <v>814</v>
      </c>
      <c r="B14" s="115">
        <v>7</v>
      </c>
      <c r="C14" s="118" t="s">
        <v>786</v>
      </c>
      <c r="D14" s="121">
        <f>$B$3*$H$3*'NHIS 내원횟수'!$L$6*(계리기호!J14-계리기호!J$87)/(계리기호!I14-계리기호!I34)</f>
        <v>3.4005908177636428E-2</v>
      </c>
      <c r="F14" s="112" t="s">
        <v>815</v>
      </c>
      <c r="G14" s="115">
        <v>7</v>
      </c>
      <c r="H14" s="118" t="s">
        <v>786</v>
      </c>
      <c r="I14" s="121">
        <f>$B$3*$H$3*'NHIS 내원횟수'!$L$6*(계리기호!U14-계리기호!U$87)/(계리기호!T14-계리기호!T34)</f>
        <v>3.3292588274954737E-2</v>
      </c>
      <c r="K14" s="124" t="s">
        <v>814</v>
      </c>
      <c r="L14" s="115">
        <v>7</v>
      </c>
      <c r="M14" s="127" t="s">
        <v>790</v>
      </c>
      <c r="N14" s="121">
        <f>$B$3*$H$3*'NHIS 내원횟수'!$L$7*(계리기호!AF14-계리기호!AF$87)/(계리기호!AE14-계리기호!AE34)</f>
        <v>8.8372827842869255E-3</v>
      </c>
      <c r="P14" s="124" t="s">
        <v>815</v>
      </c>
      <c r="Q14" s="115">
        <v>7</v>
      </c>
      <c r="R14" s="127" t="s">
        <v>790</v>
      </c>
      <c r="S14" s="121">
        <f>$B$3*$H$3*'NHIS 내원횟수'!$L$7*(계리기호!AQ14-계리기호!AQ$87)/(계리기호!AP14-계리기호!AP34)</f>
        <v>6.1632767756351339E-3</v>
      </c>
      <c r="U14" s="130" t="s">
        <v>814</v>
      </c>
      <c r="V14" s="115">
        <v>7</v>
      </c>
      <c r="W14" s="133" t="s">
        <v>792</v>
      </c>
      <c r="X14" s="121">
        <f>$B$3*$H$3*'NHIS 내원횟수'!$L$8*(계리기호!BB14-계리기호!BB$87)/(계리기호!BA14-계리기호!BA34)</f>
        <v>1.6080117849950177E-3</v>
      </c>
      <c r="Z14" s="130" t="s">
        <v>815</v>
      </c>
      <c r="AA14" s="115">
        <v>7</v>
      </c>
      <c r="AB14" s="133" t="s">
        <v>792</v>
      </c>
      <c r="AC14" s="121">
        <f>$B$3*$H$3*'NHIS 내원횟수'!$L$8*(계리기호!BM14-계리기호!BM$87)/(계리기호!BL14-계리기호!BL34)</f>
        <v>4.0808937815457855E-4</v>
      </c>
    </row>
    <row r="15" spans="1:29" ht="18" customHeight="1">
      <c r="A15" s="112" t="s">
        <v>814</v>
      </c>
      <c r="B15" s="115">
        <v>8</v>
      </c>
      <c r="C15" s="118" t="s">
        <v>786</v>
      </c>
      <c r="D15" s="121">
        <f>$B$3*$H$3*'NHIS 내원횟수'!$L$6*(계리기호!J15-계리기호!J$87)/(계리기호!I15-계리기호!I35)</f>
        <v>3.4661565277354124E-2</v>
      </c>
      <c r="F15" s="112" t="s">
        <v>815</v>
      </c>
      <c r="G15" s="115">
        <v>8</v>
      </c>
      <c r="H15" s="118" t="s">
        <v>786</v>
      </c>
      <c r="I15" s="121">
        <f>$B$3*$H$3*'NHIS 내원횟수'!$L$6*(계리기호!U15-계리기호!U$87)/(계리기호!T15-계리기호!T35)</f>
        <v>3.3938633025311388E-2</v>
      </c>
      <c r="K15" s="124" t="s">
        <v>814</v>
      </c>
      <c r="L15" s="115">
        <v>8</v>
      </c>
      <c r="M15" s="127" t="s">
        <v>790</v>
      </c>
      <c r="N15" s="121">
        <f>$B$3*$H$3*'NHIS 내원횟수'!$L$7*(계리기호!AF15-계리기호!AF$87)/(계리기호!AE15-계리기호!AE35)</f>
        <v>9.0013624038922744E-3</v>
      </c>
      <c r="P15" s="124" t="s">
        <v>815</v>
      </c>
      <c r="Q15" s="115">
        <v>8</v>
      </c>
      <c r="R15" s="127" t="s">
        <v>790</v>
      </c>
      <c r="S15" s="121">
        <f>$B$3*$H$3*'NHIS 내원횟수'!$L$7*(계리기호!AQ15-계리기호!AQ$87)/(계리기호!AP15-계리기호!AP35)</f>
        <v>6.2767203623297057E-3</v>
      </c>
      <c r="U15" s="130" t="s">
        <v>814</v>
      </c>
      <c r="V15" s="115">
        <v>8</v>
      </c>
      <c r="W15" s="133" t="s">
        <v>792</v>
      </c>
      <c r="X15" s="121">
        <f>$B$3*$H$3*'NHIS 내원횟수'!$L$8*(계리기호!BB15-계리기호!BB$87)/(계리기호!BA15-계리기호!BA35)</f>
        <v>1.6418324699494094E-3</v>
      </c>
      <c r="Z15" s="130" t="s">
        <v>815</v>
      </c>
      <c r="AA15" s="115">
        <v>8</v>
      </c>
      <c r="AB15" s="133" t="s">
        <v>792</v>
      </c>
      <c r="AC15" s="121">
        <f>$B$3*$H$3*'NHIS 내원횟수'!$L$8*(계리기호!BM15-계리기호!BM$87)/(계리기호!BL15-계리기호!BL35)</f>
        <v>4.1655279833049675E-4</v>
      </c>
    </row>
    <row r="16" spans="1:29" ht="18" customHeight="1">
      <c r="A16" s="112" t="s">
        <v>814</v>
      </c>
      <c r="B16" s="115">
        <v>9</v>
      </c>
      <c r="C16" s="118" t="s">
        <v>786</v>
      </c>
      <c r="D16" s="121">
        <f>$B$3*$H$3*'NHIS 내원횟수'!$L$6*(계리기호!J16-계리기호!J$87)/(계리기호!I16-계리기호!I36)</f>
        <v>3.5341713639900824E-2</v>
      </c>
      <c r="F16" s="112" t="s">
        <v>815</v>
      </c>
      <c r="G16" s="115">
        <v>9</v>
      </c>
      <c r="H16" s="118" t="s">
        <v>786</v>
      </c>
      <c r="I16" s="121">
        <f>$B$3*$H$3*'NHIS 내원횟수'!$L$6*(계리기호!U16-계리기호!U$87)/(계리기호!T16-계리기호!T36)</f>
        <v>3.4608919310648266E-2</v>
      </c>
      <c r="K16" s="124" t="s">
        <v>814</v>
      </c>
      <c r="L16" s="115">
        <v>9</v>
      </c>
      <c r="M16" s="127" t="s">
        <v>790</v>
      </c>
      <c r="N16" s="121">
        <f>$B$3*$H$3*'NHIS 내원횟수'!$L$7*(계리기호!AF16-계리기호!AF$87)/(계리기호!AE16-계리기호!AE36)</f>
        <v>9.1749548250000222E-3</v>
      </c>
      <c r="P16" s="124" t="s">
        <v>815</v>
      </c>
      <c r="Q16" s="115">
        <v>9</v>
      </c>
      <c r="R16" s="127" t="s">
        <v>790</v>
      </c>
      <c r="S16" s="121">
        <f>$B$3*$H$3*'NHIS 내원횟수'!$L$7*(계리기호!AQ16-계리기호!AQ$87)/(계리기호!AP16-계리기호!AP36)</f>
        <v>6.3965878790982747E-3</v>
      </c>
      <c r="U16" s="130" t="s">
        <v>814</v>
      </c>
      <c r="V16" s="115">
        <v>9</v>
      </c>
      <c r="W16" s="133" t="s">
        <v>792</v>
      </c>
      <c r="X16" s="121">
        <f>$B$3*$H$3*'NHIS 내원횟수'!$L$8*(계리기호!BB16-계리기호!BB$87)/(계리기호!BA16-계리기호!BA36)</f>
        <v>1.67639562768942E-3</v>
      </c>
      <c r="Z16" s="130" t="s">
        <v>815</v>
      </c>
      <c r="AA16" s="115">
        <v>9</v>
      </c>
      <c r="AB16" s="133" t="s">
        <v>792</v>
      </c>
      <c r="AC16" s="121">
        <f>$B$3*$H$3*'NHIS 내원횟수'!$L$8*(계리기호!BM16-계리기호!BM$87)/(계리기호!BL16-계리기호!BL36)</f>
        <v>4.2521977674668933E-4</v>
      </c>
    </row>
    <row r="17" spans="1:29" ht="18" customHeight="1">
      <c r="A17" s="112" t="s">
        <v>814</v>
      </c>
      <c r="B17" s="115">
        <v>10</v>
      </c>
      <c r="C17" s="118" t="s">
        <v>786</v>
      </c>
      <c r="D17" s="121">
        <f>$B$3*$H$3*'NHIS 내원횟수'!$L$6*(계리기호!J17-계리기호!J$87)/(계리기호!I17-계리기호!I37)</f>
        <v>3.6047149591144585E-2</v>
      </c>
      <c r="F17" s="112" t="s">
        <v>815</v>
      </c>
      <c r="G17" s="115">
        <v>10</v>
      </c>
      <c r="H17" s="118" t="s">
        <v>786</v>
      </c>
      <c r="I17" s="121">
        <f>$B$3*$H$3*'NHIS 내원횟수'!$L$6*(계리기호!U17-계리기호!U$87)/(계리기호!T17-계리기호!T37)</f>
        <v>3.5304424444096628E-2</v>
      </c>
      <c r="K17" s="124" t="s">
        <v>814</v>
      </c>
      <c r="L17" s="115">
        <v>10</v>
      </c>
      <c r="M17" s="127" t="s">
        <v>790</v>
      </c>
      <c r="N17" s="121">
        <f>$B$3*$H$3*'NHIS 내원횟수'!$L$7*(계리기호!AF17-계리기호!AF$87)/(계리기호!AE17-계리기호!AE37)</f>
        <v>9.358300889641567E-3</v>
      </c>
      <c r="P17" s="124" t="s">
        <v>815</v>
      </c>
      <c r="Q17" s="115">
        <v>10</v>
      </c>
      <c r="R17" s="127" t="s">
        <v>790</v>
      </c>
      <c r="S17" s="121">
        <f>$B$3*$H$3*'NHIS 내원횟수'!$L$7*(계리기호!AQ17-계리기호!AQ$87)/(계리기호!AP17-계리기호!AP37)</f>
        <v>6.52303301085372E-3</v>
      </c>
      <c r="U17" s="130" t="s">
        <v>814</v>
      </c>
      <c r="V17" s="115">
        <v>10</v>
      </c>
      <c r="W17" s="133" t="s">
        <v>792</v>
      </c>
      <c r="X17" s="121">
        <f>$B$3*$H$3*'NHIS 내원횟수'!$L$8*(계리기호!BB17-계리기호!BB$87)/(계리기호!BA17-계리기호!BA37)</f>
        <v>1.7117206916046083E-3</v>
      </c>
      <c r="Z17" s="130" t="s">
        <v>815</v>
      </c>
      <c r="AA17" s="115">
        <v>10</v>
      </c>
      <c r="AB17" s="133" t="s">
        <v>792</v>
      </c>
      <c r="AC17" s="121">
        <f>$B$3*$H$3*'NHIS 내원횟수'!$L$8*(계리기호!BM17-계리기호!BM$87)/(계리기호!BL17-계리기호!BL37)</f>
        <v>4.340950645019092E-4</v>
      </c>
    </row>
    <row r="18" spans="1:29" ht="18" customHeight="1">
      <c r="A18" s="112" t="s">
        <v>814</v>
      </c>
      <c r="B18" s="115">
        <v>11</v>
      </c>
      <c r="C18" s="118" t="s">
        <v>786</v>
      </c>
      <c r="D18" s="121">
        <f>$B$3*$H$3*'NHIS 내원횟수'!$L$6*(계리기호!J18-계리기호!J$87)/(계리기호!I18-계리기호!I38)</f>
        <v>3.6778709035889777E-2</v>
      </c>
      <c r="F18" s="112" t="s">
        <v>815</v>
      </c>
      <c r="G18" s="115">
        <v>11</v>
      </c>
      <c r="H18" s="118" t="s">
        <v>786</v>
      </c>
      <c r="I18" s="121">
        <f>$B$3*$H$3*'NHIS 내원횟수'!$L$6*(계리기호!U18-계리기호!U$87)/(계리기호!T18-계리기호!T38)</f>
        <v>3.6026183610568092E-2</v>
      </c>
      <c r="K18" s="124" t="s">
        <v>814</v>
      </c>
      <c r="L18" s="115">
        <v>11</v>
      </c>
      <c r="M18" s="127" t="s">
        <v>790</v>
      </c>
      <c r="N18" s="121">
        <f>$B$3*$H$3*'NHIS 내원횟수'!$L$7*(계리기호!AF18-계리기호!AF$87)/(계리기호!AE18-계리기호!AE38)</f>
        <v>9.5516505620008556E-3</v>
      </c>
      <c r="P18" s="124" t="s">
        <v>815</v>
      </c>
      <c r="Q18" s="115">
        <v>11</v>
      </c>
      <c r="R18" s="127" t="s">
        <v>790</v>
      </c>
      <c r="S18" s="121">
        <f>$B$3*$H$3*'NHIS 내원횟수'!$L$7*(계리기호!AQ18-계리기호!AQ$87)/(계리기호!AP18-계리기호!AP38)</f>
        <v>6.6562144996091107E-3</v>
      </c>
      <c r="U18" s="130" t="s">
        <v>814</v>
      </c>
      <c r="V18" s="115">
        <v>11</v>
      </c>
      <c r="W18" s="133" t="s">
        <v>792</v>
      </c>
      <c r="X18" s="121">
        <f>$B$3*$H$3*'NHIS 내원횟수'!$L$8*(계리기호!BB18-계리기호!BB$87)/(계리기호!BA18-계리기호!BA38)</f>
        <v>1.7478277447810645E-3</v>
      </c>
      <c r="Z18" s="130" t="s">
        <v>815</v>
      </c>
      <c r="AA18" s="115">
        <v>11</v>
      </c>
      <c r="AB18" s="133" t="s">
        <v>792</v>
      </c>
      <c r="AC18" s="121">
        <f>$B$3*$H$3*'NHIS 내원횟수'!$L$8*(계리기호!BM18-계리기호!BM$87)/(계리기호!BL18-계리기호!BL38)</f>
        <v>4.4318354224614484E-4</v>
      </c>
    </row>
    <row r="19" spans="1:29" ht="18" customHeight="1">
      <c r="A19" s="112" t="s">
        <v>814</v>
      </c>
      <c r="B19" s="115">
        <v>12</v>
      </c>
      <c r="C19" s="118" t="s">
        <v>786</v>
      </c>
      <c r="D19" s="121">
        <f>$B$3*$H$3*'NHIS 내원횟수'!$L$6*(계리기호!J19-계리기호!J$87)/(계리기호!I19-계리기호!I39)</f>
        <v>3.7523466790347543E-2</v>
      </c>
      <c r="F19" s="112" t="s">
        <v>815</v>
      </c>
      <c r="G19" s="115">
        <v>12</v>
      </c>
      <c r="H19" s="118" t="s">
        <v>786</v>
      </c>
      <c r="I19" s="121">
        <f>$B$3*$H$3*'NHIS 내원횟수'!$L$6*(계리기호!U19-계리기호!U$87)/(계리기호!T19-계리기호!T39)</f>
        <v>3.6756399966286553E-2</v>
      </c>
      <c r="K19" s="124" t="s">
        <v>814</v>
      </c>
      <c r="L19" s="115">
        <v>12</v>
      </c>
      <c r="M19" s="127" t="s">
        <v>790</v>
      </c>
      <c r="N19" s="121">
        <f>$B$3*$H$3*'NHIS 내원횟수'!$L$7*(계리기호!AF19-계리기호!AF$87)/(계리기호!AE19-계리기호!AE39)</f>
        <v>9.7483899383487317E-3</v>
      </c>
      <c r="P19" s="124" t="s">
        <v>815</v>
      </c>
      <c r="Q19" s="115">
        <v>12</v>
      </c>
      <c r="R19" s="127" t="s">
        <v>790</v>
      </c>
      <c r="S19" s="121">
        <f>$B$3*$H$3*'NHIS 내원횟수'!$L$7*(계리기호!AQ19-계리기호!AQ$87)/(계리기호!AP19-계리기호!AP39)</f>
        <v>6.7913068548234364E-3</v>
      </c>
      <c r="U19" s="130" t="s">
        <v>814</v>
      </c>
      <c r="V19" s="115">
        <v>12</v>
      </c>
      <c r="W19" s="133" t="s">
        <v>792</v>
      </c>
      <c r="X19" s="121">
        <f>$B$3*$H$3*'NHIS 내원횟수'!$L$8*(계리기호!BB19-계리기호!BB$87)/(계리기호!BA19-계리기호!BA39)</f>
        <v>1.7845471874713965E-3</v>
      </c>
      <c r="Z19" s="130" t="s">
        <v>815</v>
      </c>
      <c r="AA19" s="115">
        <v>12</v>
      </c>
      <c r="AB19" s="133" t="s">
        <v>792</v>
      </c>
      <c r="AC19" s="121">
        <f>$B$3*$H$3*'NHIS 내원횟수'!$L$8*(계리기호!BM19-계리기호!BM$87)/(계리기호!BL19-계리기호!BL39)</f>
        <v>4.5241013069389759E-4</v>
      </c>
    </row>
    <row r="20" spans="1:29" ht="18" customHeight="1">
      <c r="A20" s="112" t="s">
        <v>814</v>
      </c>
      <c r="B20" s="115">
        <v>13</v>
      </c>
      <c r="C20" s="118" t="s">
        <v>786</v>
      </c>
      <c r="D20" s="121">
        <f>$B$3*$H$3*'NHIS 내원횟수'!$L$6*(계리기호!J20-계리기호!J$87)/(계리기호!I20-계리기호!I40)</f>
        <v>3.8281942839492433E-2</v>
      </c>
      <c r="F20" s="112" t="s">
        <v>815</v>
      </c>
      <c r="G20" s="115">
        <v>13</v>
      </c>
      <c r="H20" s="118" t="s">
        <v>786</v>
      </c>
      <c r="I20" s="121">
        <f>$B$3*$H$3*'NHIS 내원횟수'!$L$6*(계리기호!U20-계리기호!U$87)/(계리기호!T20-계리기호!T40)</f>
        <v>3.7495725787604323E-2</v>
      </c>
      <c r="K20" s="124" t="s">
        <v>814</v>
      </c>
      <c r="L20" s="115">
        <v>13</v>
      </c>
      <c r="M20" s="127" t="s">
        <v>790</v>
      </c>
      <c r="N20" s="121">
        <f>$B$3*$H$3*'NHIS 내원횟수'!$L$7*(계리기호!AF20-계리기호!AF$87)/(계리기호!AE20-계리기호!AE40)</f>
        <v>9.9486190894692572E-3</v>
      </c>
      <c r="P20" s="124" t="s">
        <v>815</v>
      </c>
      <c r="Q20" s="115">
        <v>13</v>
      </c>
      <c r="R20" s="127" t="s">
        <v>790</v>
      </c>
      <c r="S20" s="121">
        <f>$B$3*$H$3*'NHIS 내원횟수'!$L$7*(계리기호!AQ20-계리기호!AQ$87)/(계리기호!AP20-계리기호!AP40)</f>
        <v>6.9283621471395588E-3</v>
      </c>
      <c r="U20" s="130" t="s">
        <v>814</v>
      </c>
      <c r="V20" s="115">
        <v>13</v>
      </c>
      <c r="W20" s="133" t="s">
        <v>792</v>
      </c>
      <c r="X20" s="121">
        <f>$B$3*$H$3*'NHIS 내원횟수'!$L$8*(계리기호!BB20-계리기호!BB$87)/(계리기호!BA20-계리기호!BA40)</f>
        <v>1.8218951915499638E-3</v>
      </c>
      <c r="Z20" s="130" t="s">
        <v>815</v>
      </c>
      <c r="AA20" s="115">
        <v>13</v>
      </c>
      <c r="AB20" s="133" t="s">
        <v>792</v>
      </c>
      <c r="AC20" s="121">
        <f>$B$3*$H$3*'NHIS 내원횟수'!$L$8*(계리기호!BM20-계리기호!BM$87)/(계리기호!BL20-계리기호!BL40)</f>
        <v>4.6177806670447596E-4</v>
      </c>
    </row>
    <row r="21" spans="1:29" ht="18" customHeight="1">
      <c r="A21" s="112" t="s">
        <v>814</v>
      </c>
      <c r="B21" s="115">
        <v>14</v>
      </c>
      <c r="C21" s="118" t="s">
        <v>786</v>
      </c>
      <c r="D21" s="121">
        <f>$B$3*$H$3*'NHIS 내원횟수'!$L$6*(계리기호!J21-계리기호!J$87)/(계리기호!I21-계리기호!I41)</f>
        <v>3.9054682621032975E-2</v>
      </c>
      <c r="F21" s="112" t="s">
        <v>815</v>
      </c>
      <c r="G21" s="115">
        <v>14</v>
      </c>
      <c r="H21" s="118" t="s">
        <v>786</v>
      </c>
      <c r="I21" s="121">
        <f>$B$3*$H$3*'NHIS 내원횟수'!$L$6*(계리기호!U21-계리기호!U$87)/(계리기호!T21-계리기호!T41)</f>
        <v>3.8244854812673833E-2</v>
      </c>
      <c r="K21" s="124" t="s">
        <v>814</v>
      </c>
      <c r="L21" s="115">
        <v>14</v>
      </c>
      <c r="M21" s="127" t="s">
        <v>790</v>
      </c>
      <c r="N21" s="121">
        <f>$B$3*$H$3*'NHIS 내원횟수'!$L$7*(계리기호!AF21-계리기호!AF$87)/(계리기호!AE21-계리기호!AE41)</f>
        <v>1.0152441850805754E-2</v>
      </c>
      <c r="P21" s="124" t="s">
        <v>815</v>
      </c>
      <c r="Q21" s="115">
        <v>14</v>
      </c>
      <c r="R21" s="127" t="s">
        <v>790</v>
      </c>
      <c r="S21" s="121">
        <f>$B$3*$H$3*'NHIS 내원횟수'!$L$7*(계리기호!AQ21-계리기호!AQ$87)/(계리기호!AP21-계리기호!AP41)</f>
        <v>7.0674341833229454E-3</v>
      </c>
      <c r="U21" s="130" t="s">
        <v>814</v>
      </c>
      <c r="V21" s="115">
        <v>14</v>
      </c>
      <c r="W21" s="133" t="s">
        <v>792</v>
      </c>
      <c r="X21" s="121">
        <f>$B$3*$H$3*'NHIS 내원횟수'!$L$8*(계리기호!BB21-계리기호!BB$87)/(계리기호!BA21-계리기호!BA41)</f>
        <v>1.8598884333990166E-3</v>
      </c>
      <c r="Z21" s="130" t="s">
        <v>815</v>
      </c>
      <c r="AA21" s="115">
        <v>14</v>
      </c>
      <c r="AB21" s="133" t="s">
        <v>792</v>
      </c>
      <c r="AC21" s="121">
        <f>$B$3*$H$3*'NHIS 내원횟수'!$L$8*(계리기호!BM21-계리기호!BM$87)/(계리기호!BL21-계리기호!BL41)</f>
        <v>4.7129066863975605E-4</v>
      </c>
    </row>
    <row r="22" spans="1:29" ht="18" customHeight="1">
      <c r="A22" s="112" t="s">
        <v>814</v>
      </c>
      <c r="B22" s="115">
        <v>15</v>
      </c>
      <c r="C22" s="118" t="s">
        <v>786</v>
      </c>
      <c r="D22" s="121">
        <f>$B$3*$H$3*'NHIS 내원횟수'!$L$6*(계리기호!J22-계리기호!J$87)/(계리기호!I22-계리기호!I42)</f>
        <v>3.9842258335271052E-2</v>
      </c>
      <c r="F22" s="112" t="s">
        <v>815</v>
      </c>
      <c r="G22" s="115">
        <v>15</v>
      </c>
      <c r="H22" s="118" t="s">
        <v>786</v>
      </c>
      <c r="I22" s="121">
        <f>$B$3*$H$3*'NHIS 내원횟수'!$L$6*(계리기호!U22-계리기호!U$87)/(계리기호!T22-계리기호!T42)</f>
        <v>3.9004524420648272E-2</v>
      </c>
      <c r="K22" s="124" t="s">
        <v>814</v>
      </c>
      <c r="L22" s="115">
        <v>15</v>
      </c>
      <c r="M22" s="127" t="s">
        <v>790</v>
      </c>
      <c r="N22" s="121">
        <f>$B$3*$H$3*'NHIS 내원횟수'!$L$7*(계리기호!AF22-계리기호!AF$87)/(계리기호!AE22-계리기호!AE42)</f>
        <v>1.0359965980936416E-2</v>
      </c>
      <c r="P22" s="124" t="s">
        <v>815</v>
      </c>
      <c r="Q22" s="115">
        <v>15</v>
      </c>
      <c r="R22" s="127" t="s">
        <v>790</v>
      </c>
      <c r="S22" s="121">
        <f>$B$3*$H$3*'NHIS 내원횟수'!$L$7*(계리기호!AQ22-계리기호!AQ$87)/(계리기호!AP22-계리기호!AP42)</f>
        <v>7.2085785689719019E-3</v>
      </c>
      <c r="U22" s="130" t="s">
        <v>814</v>
      </c>
      <c r="V22" s="115">
        <v>15</v>
      </c>
      <c r="W22" s="133" t="s">
        <v>792</v>
      </c>
      <c r="X22" s="121">
        <f>$B$3*$H$3*'NHIS 내원횟수'!$L$8*(계리기호!BB22-계리기호!BB$87)/(계리기호!BA22-계리기호!BA42)</f>
        <v>1.8985441118008223E-3</v>
      </c>
      <c r="Z22" s="130" t="s">
        <v>815</v>
      </c>
      <c r="AA22" s="115">
        <v>15</v>
      </c>
      <c r="AB22" s="133" t="s">
        <v>792</v>
      </c>
      <c r="AC22" s="121">
        <f>$B$3*$H$3*'NHIS 내원횟수'!$L$8*(계리기호!BM22-계리기호!BM$87)/(계리기호!BL22-계리기호!BL42)</f>
        <v>4.8095133857353631E-4</v>
      </c>
    </row>
    <row r="23" spans="1:29" ht="18" customHeight="1">
      <c r="A23" s="112" t="s">
        <v>814</v>
      </c>
      <c r="B23" s="115">
        <v>16</v>
      </c>
      <c r="C23" s="118" t="s">
        <v>786</v>
      </c>
      <c r="D23" s="121">
        <f>$B$3*$H$3*'NHIS 내원횟수'!$L$6*(계리기호!J23-계리기호!J$87)/(계리기호!I23-계리기호!I43)</f>
        <v>4.06452703455265E-2</v>
      </c>
      <c r="F23" s="112" t="s">
        <v>815</v>
      </c>
      <c r="G23" s="115">
        <v>16</v>
      </c>
      <c r="H23" s="118" t="s">
        <v>786</v>
      </c>
      <c r="I23" s="121">
        <f>$B$3*$H$3*'NHIS 내원횟수'!$L$6*(계리기호!U23-계리기호!U$87)/(계리기호!T23-계리기호!T43)</f>
        <v>3.9775518030863773E-2</v>
      </c>
      <c r="K23" s="124" t="s">
        <v>814</v>
      </c>
      <c r="L23" s="115">
        <v>16</v>
      </c>
      <c r="M23" s="127" t="s">
        <v>790</v>
      </c>
      <c r="N23" s="121">
        <f>$B$3*$H$3*'NHIS 내원횟수'!$L$7*(계리기호!AF23-계리기호!AF$87)/(계리기호!AE23-계리기호!AE43)</f>
        <v>1.057130332834477E-2</v>
      </c>
      <c r="P23" s="124" t="s">
        <v>815</v>
      </c>
      <c r="Q23" s="115">
        <v>16</v>
      </c>
      <c r="R23" s="127" t="s">
        <v>790</v>
      </c>
      <c r="S23" s="121">
        <f>$B$3*$H$3*'NHIS 내원횟수'!$L$7*(계리기호!AQ23-계리기호!AQ$87)/(계리기호!AP23-계리기호!AP43)</f>
        <v>7.3518527740426545E-3</v>
      </c>
      <c r="U23" s="130" t="s">
        <v>814</v>
      </c>
      <c r="V23" s="115">
        <v>16</v>
      </c>
      <c r="W23" s="133" t="s">
        <v>792</v>
      </c>
      <c r="X23" s="121">
        <f>$B$3*$H$3*'NHIS 내원횟수'!$L$8*(계리기호!BB23-계리기호!BB$87)/(계리기호!BA23-계리기호!BA43)</f>
        <v>1.9378799666035502E-3</v>
      </c>
      <c r="Z23" s="130" t="s">
        <v>815</v>
      </c>
      <c r="AA23" s="115">
        <v>16</v>
      </c>
      <c r="AB23" s="133" t="s">
        <v>792</v>
      </c>
      <c r="AC23" s="121">
        <f>$B$3*$H$3*'NHIS 내원횟수'!$L$8*(계리기호!BM23-계리기호!BM$87)/(계리기호!BL23-계리기호!BL43)</f>
        <v>4.907635645697041E-4</v>
      </c>
    </row>
    <row r="24" spans="1:29" ht="18" customHeight="1">
      <c r="A24" s="112" t="s">
        <v>814</v>
      </c>
      <c r="B24" s="115">
        <v>17</v>
      </c>
      <c r="C24" s="118" t="s">
        <v>786</v>
      </c>
      <c r="D24" s="121">
        <f>$B$3*$H$3*'NHIS 내원횟수'!$L$6*(계리기호!J24-계리기호!J$87)/(계리기호!I24-계리기호!I44)</f>
        <v>4.1464349139948127E-2</v>
      </c>
      <c r="F24" s="112" t="s">
        <v>815</v>
      </c>
      <c r="G24" s="115">
        <v>17</v>
      </c>
      <c r="H24" s="118" t="s">
        <v>786</v>
      </c>
      <c r="I24" s="121">
        <f>$B$3*$H$3*'NHIS 내원횟수'!$L$6*(계리기호!U24-계리기호!U$87)/(계리기호!T24-계리기호!T44)</f>
        <v>4.0558668454670828E-2</v>
      </c>
      <c r="K24" s="124" t="s">
        <v>814</v>
      </c>
      <c r="L24" s="115">
        <v>17</v>
      </c>
      <c r="M24" s="127" t="s">
        <v>790</v>
      </c>
      <c r="N24" s="121">
        <f>$B$3*$H$3*'NHIS 내원횟수'!$L$7*(계리기호!AF24-계리기호!AF$87)/(계리기호!AE24-계리기호!AE44)</f>
        <v>1.0786570081826135E-2</v>
      </c>
      <c r="P24" s="124" t="s">
        <v>815</v>
      </c>
      <c r="Q24" s="115">
        <v>17</v>
      </c>
      <c r="R24" s="127" t="s">
        <v>790</v>
      </c>
      <c r="S24" s="121">
        <f>$B$3*$H$3*'NHIS 내원횟수'!$L$7*(계리기호!AQ24-계리기호!AQ$87)/(계리기호!AP24-계리기호!AP44)</f>
        <v>7.4973162714983598E-3</v>
      </c>
      <c r="U24" s="130" t="s">
        <v>814</v>
      </c>
      <c r="V24" s="115">
        <v>17</v>
      </c>
      <c r="W24" s="133" t="s">
        <v>792</v>
      </c>
      <c r="X24" s="121">
        <f>$B$3*$H$3*'NHIS 내원횟수'!$L$8*(계리기호!BB24-계리기호!BB$87)/(계리기호!BA24-계리기호!BA44)</f>
        <v>1.9779143072306852E-3</v>
      </c>
      <c r="Z24" s="130" t="s">
        <v>815</v>
      </c>
      <c r="AA24" s="115">
        <v>17</v>
      </c>
      <c r="AB24" s="133" t="s">
        <v>792</v>
      </c>
      <c r="AC24" s="121">
        <f>$B$3*$H$3*'NHIS 내원횟수'!$L$8*(계리기호!BM24-계리기호!BM$87)/(계리기호!BL24-계리기호!BL44)</f>
        <v>5.0073092579709319E-4</v>
      </c>
    </row>
    <row r="25" spans="1:29" ht="18" customHeight="1">
      <c r="A25" s="112" t="s">
        <v>814</v>
      </c>
      <c r="B25" s="115">
        <v>18</v>
      </c>
      <c r="C25" s="118" t="s">
        <v>786</v>
      </c>
      <c r="D25" s="121">
        <f>$B$3*$H$3*'NHIS 내원횟수'!$L$6*(계리기호!J25-계리기호!J$87)/(계리기호!I25-계리기호!I45)</f>
        <v>4.2300154354151E-2</v>
      </c>
      <c r="F25" s="112" t="s">
        <v>815</v>
      </c>
      <c r="G25" s="115">
        <v>18</v>
      </c>
      <c r="H25" s="118" t="s">
        <v>786</v>
      </c>
      <c r="I25" s="121">
        <f>$B$3*$H$3*'NHIS 내원횟수'!$L$6*(계리기호!U25-계리기호!U$87)/(계리기호!T25-계리기호!T45)</f>
        <v>4.1354841515390636E-2</v>
      </c>
      <c r="K25" s="124" t="s">
        <v>814</v>
      </c>
      <c r="L25" s="115">
        <v>18</v>
      </c>
      <c r="M25" s="127" t="s">
        <v>790</v>
      </c>
      <c r="N25" s="121">
        <f>$B$3*$H$3*'NHIS 내원횟수'!$L$7*(계리기호!AF25-계리기호!AF$87)/(계리기호!AE25-계리기호!AE45)</f>
        <v>1.1005886367189304E-2</v>
      </c>
      <c r="P25" s="124" t="s">
        <v>815</v>
      </c>
      <c r="Q25" s="115">
        <v>18</v>
      </c>
      <c r="R25" s="127" t="s">
        <v>790</v>
      </c>
      <c r="S25" s="121">
        <f>$B$3*$H$3*'NHIS 내원횟수'!$L$7*(계리기호!AQ25-계리기호!AQ$87)/(계리기호!AP25-계리기호!AP45)</f>
        <v>7.6450270971796805E-3</v>
      </c>
      <c r="U25" s="130" t="s">
        <v>814</v>
      </c>
      <c r="V25" s="115">
        <v>18</v>
      </c>
      <c r="W25" s="133" t="s">
        <v>792</v>
      </c>
      <c r="X25" s="121">
        <f>$B$3*$H$3*'NHIS 내원횟수'!$L$8*(계리기호!BB25-계리기호!BB$87)/(계리기호!BA25-계리기호!BA45)</f>
        <v>2.0186659316113417E-3</v>
      </c>
      <c r="Z25" s="130" t="s">
        <v>815</v>
      </c>
      <c r="AA25" s="115">
        <v>18</v>
      </c>
      <c r="AB25" s="133" t="s">
        <v>792</v>
      </c>
      <c r="AC25" s="121">
        <f>$B$3*$H$3*'NHIS 내원횟수'!$L$8*(계리기호!BM25-계리기호!BM$87)/(계리기호!BL25-계리기호!BL45)</f>
        <v>5.1085686209687638E-4</v>
      </c>
    </row>
    <row r="26" spans="1:29" ht="18" customHeight="1">
      <c r="A26" s="112" t="s">
        <v>814</v>
      </c>
      <c r="B26" s="115">
        <v>19</v>
      </c>
      <c r="C26" s="118" t="s">
        <v>786</v>
      </c>
      <c r="D26" s="121">
        <f>$B$3*$H$3*'NHIS 내원횟수'!$L$6*(계리기호!J26-계리기호!J$87)/(계리기호!I26-계리기호!I46)</f>
        <v>4.3153378401017323E-2</v>
      </c>
      <c r="F26" s="112" t="s">
        <v>815</v>
      </c>
      <c r="G26" s="115">
        <v>19</v>
      </c>
      <c r="H26" s="118" t="s">
        <v>786</v>
      </c>
      <c r="I26" s="121">
        <f>$B$3*$H$3*'NHIS 내원횟수'!$L$6*(계리기호!U26-계리기호!U$87)/(계리기호!T26-계리기호!T46)</f>
        <v>4.2164956116922662E-2</v>
      </c>
      <c r="K26" s="124" t="s">
        <v>814</v>
      </c>
      <c r="L26" s="115">
        <v>19</v>
      </c>
      <c r="M26" s="127" t="s">
        <v>790</v>
      </c>
      <c r="N26" s="121">
        <f>$B$3*$H$3*'NHIS 내원횟수'!$L$7*(계리기호!AF26-계리기호!AF$87)/(계리기호!AE26-계리기호!AE46)</f>
        <v>1.1229376911066657E-2</v>
      </c>
      <c r="P26" s="124" t="s">
        <v>815</v>
      </c>
      <c r="Q26" s="115">
        <v>19</v>
      </c>
      <c r="R26" s="127" t="s">
        <v>790</v>
      </c>
      <c r="S26" s="121">
        <f>$B$3*$H$3*'NHIS 내원횟수'!$L$7*(계리기호!AQ26-계리기호!AQ$87)/(계리기호!AP26-계리기호!AP46)</f>
        <v>7.7950450383822648E-3</v>
      </c>
      <c r="U26" s="130" t="s">
        <v>814</v>
      </c>
      <c r="V26" s="115">
        <v>19</v>
      </c>
      <c r="W26" s="133" t="s">
        <v>792</v>
      </c>
      <c r="X26" s="121">
        <f>$B$3*$H$3*'NHIS 내원횟수'!$L$8*(계리기호!BB26-계리기호!BB$87)/(계리기호!BA26-계리기호!BA46)</f>
        <v>2.0601542323308054E-3</v>
      </c>
      <c r="Z26" s="130" t="s">
        <v>815</v>
      </c>
      <c r="AA26" s="115">
        <v>19</v>
      </c>
      <c r="AB26" s="133" t="s">
        <v>792</v>
      </c>
      <c r="AC26" s="121">
        <f>$B$3*$H$3*'NHIS 내원횟수'!$L$8*(계리기호!BM26-계리기호!BM$87)/(계리기호!BL26-계리기호!BL46)</f>
        <v>5.2114488402748356E-4</v>
      </c>
    </row>
    <row r="27" spans="1:29" ht="18" customHeight="1">
      <c r="A27" s="112" t="s">
        <v>814</v>
      </c>
      <c r="B27" s="115">
        <v>20</v>
      </c>
      <c r="C27" s="118" t="s">
        <v>786</v>
      </c>
      <c r="D27" s="121">
        <f>$B$3*$H$3*'NHIS 내원횟수'!$L$6*(계리기호!J27-계리기호!J$87)/(계리기호!I27-계리기호!I47)</f>
        <v>4.4024748284620399E-2</v>
      </c>
      <c r="F27" s="112" t="s">
        <v>815</v>
      </c>
      <c r="G27" s="115">
        <v>20</v>
      </c>
      <c r="H27" s="118" t="s">
        <v>786</v>
      </c>
      <c r="I27" s="121">
        <f>$B$3*$H$3*'NHIS 내원횟수'!$L$6*(계리기호!U27-계리기호!U$87)/(계리기호!T27-계리기호!T47)</f>
        <v>4.2989987649181195E-2</v>
      </c>
      <c r="K27" s="124" t="s">
        <v>814</v>
      </c>
      <c r="L27" s="115">
        <v>20</v>
      </c>
      <c r="M27" s="127" t="s">
        <v>790</v>
      </c>
      <c r="N27" s="121">
        <f>$B$3*$H$3*'NHIS 내원횟수'!$L$7*(계리기호!AF27-계리기호!AF$87)/(계리기호!AE27-계리기호!AE47)</f>
        <v>1.14571712412055E-2</v>
      </c>
      <c r="P27" s="124" t="s">
        <v>815</v>
      </c>
      <c r="Q27" s="115">
        <v>20</v>
      </c>
      <c r="R27" s="127" t="s">
        <v>790</v>
      </c>
      <c r="S27" s="121">
        <f>$B$3*$H$3*'NHIS 내원횟수'!$L$7*(계리기호!AQ27-계리기호!AQ$87)/(계리기호!AP27-계리기호!AP47)</f>
        <v>7.9474316923312631E-3</v>
      </c>
      <c r="U27" s="130" t="s">
        <v>814</v>
      </c>
      <c r="V27" s="115">
        <v>20</v>
      </c>
      <c r="W27" s="133" t="s">
        <v>792</v>
      </c>
      <c r="X27" s="121">
        <f>$B$3*$H$3*'NHIS 내원횟수'!$L$8*(계리기호!BB27-계리기호!BB$87)/(계리기호!BA27-계리기호!BA47)</f>
        <v>2.1023992180227396E-3</v>
      </c>
      <c r="Z27" s="130" t="s">
        <v>815</v>
      </c>
      <c r="AA27" s="115">
        <v>20</v>
      </c>
      <c r="AB27" s="133" t="s">
        <v>792</v>
      </c>
      <c r="AC27" s="121">
        <f>$B$3*$H$3*'NHIS 내원횟수'!$L$8*(계리기호!BM27-계리기호!BM$87)/(계리기호!BL27-계리기호!BL47)</f>
        <v>5.3159857409001271E-4</v>
      </c>
    </row>
    <row r="28" spans="1:29" ht="18" customHeight="1">
      <c r="A28" s="112" t="s">
        <v>814</v>
      </c>
      <c r="B28" s="115">
        <v>21</v>
      </c>
      <c r="C28" s="118" t="s">
        <v>786</v>
      </c>
      <c r="D28" s="121">
        <f>$B$3*$H$3*'NHIS 내원횟수'!$L$6*(계리기호!J28-계리기호!J$87)/(계리기호!I28-계리기호!I48)</f>
        <v>4.4915027546808227E-2</v>
      </c>
      <c r="F28" s="112" t="s">
        <v>815</v>
      </c>
      <c r="G28" s="115">
        <v>21</v>
      </c>
      <c r="H28" s="118" t="s">
        <v>786</v>
      </c>
      <c r="I28" s="121">
        <f>$B$3*$H$3*'NHIS 내원횟수'!$L$6*(계리기호!U28-계리기호!U$87)/(계리기호!T28-계리기호!T48)</f>
        <v>4.3830971743981588E-2</v>
      </c>
      <c r="K28" s="124" t="s">
        <v>814</v>
      </c>
      <c r="L28" s="115">
        <v>21</v>
      </c>
      <c r="M28" s="127" t="s">
        <v>790</v>
      </c>
      <c r="N28" s="121">
        <f>$B$3*$H$3*'NHIS 내원횟수'!$L$7*(계리기호!AF28-계리기호!AF$87)/(계리기호!AE28-계리기호!AE48)</f>
        <v>1.1689403897615096E-2</v>
      </c>
      <c r="P28" s="124" t="s">
        <v>815</v>
      </c>
      <c r="Q28" s="115">
        <v>21</v>
      </c>
      <c r="R28" s="127" t="s">
        <v>790</v>
      </c>
      <c r="S28" s="121">
        <f>$B$3*$H$3*'NHIS 내원횟수'!$L$7*(계리기호!AQ28-계리기호!AQ$87)/(계리기호!AP28-계리기호!AP48)</f>
        <v>8.102250527030324E-3</v>
      </c>
      <c r="U28" s="130" t="s">
        <v>814</v>
      </c>
      <c r="V28" s="115">
        <v>21</v>
      </c>
      <c r="W28" s="133" t="s">
        <v>792</v>
      </c>
      <c r="X28" s="121">
        <f>$B$3*$H$3*'NHIS 내원횟수'!$L$8*(계리기호!BB28-계리기호!BB$87)/(계리기호!BA28-계리기호!BA48)</f>
        <v>2.1454215356973309E-3</v>
      </c>
      <c r="Z28" s="130" t="s">
        <v>815</v>
      </c>
      <c r="AA28" s="115">
        <v>21</v>
      </c>
      <c r="AB28" s="133" t="s">
        <v>792</v>
      </c>
      <c r="AC28" s="121">
        <f>$B$3*$H$3*'NHIS 내원횟수'!$L$8*(계리기호!BM28-계리기호!BM$87)/(계리기호!BL28-계리기호!BL48)</f>
        <v>5.4222158796041447E-4</v>
      </c>
    </row>
    <row r="29" spans="1:29" ht="18" customHeight="1">
      <c r="A29" s="112" t="s">
        <v>814</v>
      </c>
      <c r="B29" s="115">
        <v>22</v>
      </c>
      <c r="C29" s="118" t="s">
        <v>786</v>
      </c>
      <c r="D29" s="121">
        <f>$B$3*$H$3*'NHIS 내원횟수'!$L$6*(계리기호!J29-계리기호!J$87)/(계리기호!I29-계리기호!I49)</f>
        <v>4.5807711364246245E-2</v>
      </c>
      <c r="F29" s="112" t="s">
        <v>815</v>
      </c>
      <c r="G29" s="115">
        <v>22</v>
      </c>
      <c r="H29" s="118" t="s">
        <v>786</v>
      </c>
      <c r="I29" s="121">
        <f>$B$3*$H$3*'NHIS 내원횟수'!$L$6*(계리기호!U29-계리기호!U$87)/(계리기호!T29-계리기호!T49)</f>
        <v>4.4645266603429663E-2</v>
      </c>
      <c r="K29" s="124" t="s">
        <v>814</v>
      </c>
      <c r="L29" s="115">
        <v>22</v>
      </c>
      <c r="M29" s="127" t="s">
        <v>790</v>
      </c>
      <c r="N29" s="121">
        <f>$B$3*$H$3*'NHIS 내원횟수'!$L$7*(계리기호!AF29-계리기호!AF$87)/(계리기호!AE29-계리기호!AE49)</f>
        <v>1.1923990875909174E-2</v>
      </c>
      <c r="P29" s="124" t="s">
        <v>815</v>
      </c>
      <c r="Q29" s="115">
        <v>22</v>
      </c>
      <c r="R29" s="127" t="s">
        <v>790</v>
      </c>
      <c r="S29" s="121">
        <f>$B$3*$H$3*'NHIS 내원횟수'!$L$7*(계리기호!AQ29-계리기호!AQ$87)/(계리기호!AP29-계리기호!AP49)</f>
        <v>8.2580197644621534E-3</v>
      </c>
      <c r="U29" s="130" t="s">
        <v>814</v>
      </c>
      <c r="V29" s="115">
        <v>22</v>
      </c>
      <c r="W29" s="133" t="s">
        <v>792</v>
      </c>
      <c r="X29" s="121">
        <f>$B$3*$H$3*'NHIS 내원횟수'!$L$8*(계리기호!BB29-계리기호!BB$87)/(계리기호!BA29-계리기호!BA49)</f>
        <v>2.1888608091361699E-3</v>
      </c>
      <c r="Z29" s="130" t="s">
        <v>815</v>
      </c>
      <c r="AA29" s="115">
        <v>22</v>
      </c>
      <c r="AB29" s="133" t="s">
        <v>792</v>
      </c>
      <c r="AC29" s="121">
        <f>$B$3*$H$3*'NHIS 내원횟수'!$L$8*(계리기호!BM29-계리기호!BM$87)/(계리기호!BL29-계리기호!BL49)</f>
        <v>5.52967530365138E-4</v>
      </c>
    </row>
    <row r="30" spans="1:29" ht="18" customHeight="1">
      <c r="A30" s="112" t="s">
        <v>814</v>
      </c>
      <c r="B30" s="115">
        <v>23</v>
      </c>
      <c r="C30" s="118" t="s">
        <v>786</v>
      </c>
      <c r="D30" s="121">
        <f>$B$3*$H$3*'NHIS 내원횟수'!$L$6*(계리기호!J30-계리기호!J$87)/(계리기호!I30-계리기호!I50)</f>
        <v>4.670322826882279E-2</v>
      </c>
      <c r="F30" s="112" t="s">
        <v>815</v>
      </c>
      <c r="G30" s="115">
        <v>23</v>
      </c>
      <c r="H30" s="118" t="s">
        <v>786</v>
      </c>
      <c r="I30" s="121">
        <f>$B$3*$H$3*'NHIS 내원횟수'!$L$6*(계리기호!U30-계리기호!U$87)/(계리기호!T30-계리기호!T50)</f>
        <v>4.5432399156708915E-2</v>
      </c>
      <c r="K30" s="124" t="s">
        <v>814</v>
      </c>
      <c r="L30" s="115">
        <v>23</v>
      </c>
      <c r="M30" s="127" t="s">
        <v>790</v>
      </c>
      <c r="N30" s="121">
        <f>$B$3*$H$3*'NHIS 내원횟수'!$L$7*(계리기호!AF30-계리기호!AF$87)/(계리기호!AE30-계리기호!AE50)</f>
        <v>1.2161053086349939E-2</v>
      </c>
      <c r="P30" s="124" t="s">
        <v>815</v>
      </c>
      <c r="Q30" s="115">
        <v>23</v>
      </c>
      <c r="R30" s="127" t="s">
        <v>790</v>
      </c>
      <c r="S30" s="121">
        <f>$B$3*$H$3*'NHIS 내원횟수'!$L$7*(계리기호!AQ30-계리기호!AQ$87)/(계리기호!AP30-계리기호!AP50)</f>
        <v>8.4147866274216325E-3</v>
      </c>
      <c r="U30" s="130" t="s">
        <v>814</v>
      </c>
      <c r="V30" s="115">
        <v>23</v>
      </c>
      <c r="W30" s="133" t="s">
        <v>792</v>
      </c>
      <c r="X30" s="121">
        <f>$B$3*$H$3*'NHIS 내원횟수'!$L$8*(계리기호!BB30-계리기호!BB$87)/(계리기호!BA30-계리기호!BA50)</f>
        <v>2.2327358671682812E-3</v>
      </c>
      <c r="Z30" s="130" t="s">
        <v>815</v>
      </c>
      <c r="AA30" s="115">
        <v>23</v>
      </c>
      <c r="AB30" s="133" t="s">
        <v>792</v>
      </c>
      <c r="AC30" s="121">
        <f>$B$3*$H$3*'NHIS 내원횟수'!$L$8*(계리기호!BM30-계리기호!BM$87)/(계리기호!BL30-계리기호!BL50)</f>
        <v>5.6383977990141321E-4</v>
      </c>
    </row>
    <row r="31" spans="1:29" ht="18" customHeight="1">
      <c r="A31" s="112" t="s">
        <v>814</v>
      </c>
      <c r="B31" s="115">
        <v>24</v>
      </c>
      <c r="C31" s="118" t="s">
        <v>786</v>
      </c>
      <c r="D31" s="121">
        <f>$B$3*$H$3*'NHIS 내원횟수'!$L$6*(계리기호!J31-계리기호!J$87)/(계리기호!I31-계리기호!I51)</f>
        <v>4.7602033518458597E-2</v>
      </c>
      <c r="F31" s="112" t="s">
        <v>815</v>
      </c>
      <c r="G31" s="115">
        <v>24</v>
      </c>
      <c r="H31" s="118" t="s">
        <v>786</v>
      </c>
      <c r="I31" s="121">
        <f>$B$3*$H$3*'NHIS 내원횟수'!$L$6*(계리기호!U31-계리기호!U$87)/(계리기호!T31-계리기호!T51)</f>
        <v>4.6191866106709382E-2</v>
      </c>
      <c r="K31" s="124" t="s">
        <v>814</v>
      </c>
      <c r="L31" s="115">
        <v>24</v>
      </c>
      <c r="M31" s="127" t="s">
        <v>790</v>
      </c>
      <c r="N31" s="121">
        <f>$B$3*$H$3*'NHIS 내원횟수'!$L$7*(계리기호!AF31-계리기호!AF$87)/(계리기호!AE31-계리기호!AE51)</f>
        <v>1.2400718166330787E-2</v>
      </c>
      <c r="P31" s="124" t="s">
        <v>815</v>
      </c>
      <c r="Q31" s="115">
        <v>24</v>
      </c>
      <c r="R31" s="127" t="s">
        <v>790</v>
      </c>
      <c r="S31" s="121">
        <f>$B$3*$H$3*'NHIS 내원횟수'!$L$7*(계리기호!AQ31-계리기호!AQ$87)/(계리기호!AP31-계리기호!AP51)</f>
        <v>8.5726008184869168E-3</v>
      </c>
      <c r="U31" s="130" t="s">
        <v>814</v>
      </c>
      <c r="V31" s="115">
        <v>24</v>
      </c>
      <c r="W31" s="133" t="s">
        <v>792</v>
      </c>
      <c r="X31" s="121">
        <f>$B$3*$H$3*'NHIS 내원횟수'!$L$8*(계리기호!BB31-계리기호!BB$87)/(계리기호!BA31-계리기호!BA51)</f>
        <v>2.2770665478093594E-3</v>
      </c>
      <c r="Z31" s="130" t="s">
        <v>815</v>
      </c>
      <c r="AA31" s="115">
        <v>24</v>
      </c>
      <c r="AB31" s="133" t="s">
        <v>792</v>
      </c>
      <c r="AC31" s="121">
        <f>$B$3*$H$3*'NHIS 내원횟수'!$L$8*(계리기호!BM31-계리기호!BM$87)/(계리기호!BL31-계리기호!BL51)</f>
        <v>5.7484183058042419E-4</v>
      </c>
    </row>
    <row r="32" spans="1:29" ht="18" customHeight="1">
      <c r="A32" s="112" t="s">
        <v>814</v>
      </c>
      <c r="B32" s="115">
        <v>25</v>
      </c>
      <c r="C32" s="118" t="s">
        <v>786</v>
      </c>
      <c r="D32" s="121">
        <f>$B$3*$H$3*'NHIS 내원횟수'!$L$6*(계리기호!J32-계리기호!J$87)/(계리기호!I32-계리기호!I52)</f>
        <v>4.8504610061619748E-2</v>
      </c>
      <c r="F32" s="112" t="s">
        <v>815</v>
      </c>
      <c r="G32" s="115">
        <v>25</v>
      </c>
      <c r="H32" s="118" t="s">
        <v>786</v>
      </c>
      <c r="I32" s="121">
        <f>$B$3*$H$3*'NHIS 내원횟수'!$L$6*(계리기호!U32-계리기호!U$87)/(계리기호!T32-계리기호!T52)</f>
        <v>4.6923132698628835E-2</v>
      </c>
      <c r="K32" s="124" t="s">
        <v>814</v>
      </c>
      <c r="L32" s="115">
        <v>25</v>
      </c>
      <c r="M32" s="127" t="s">
        <v>790</v>
      </c>
      <c r="N32" s="121">
        <f>$B$3*$H$3*'NHIS 내원횟수'!$L$7*(계리기호!AF32-계리기호!AF$87)/(계리기호!AE32-계리기호!AE52)</f>
        <v>1.2643120768810448E-2</v>
      </c>
      <c r="P32" s="124" t="s">
        <v>815</v>
      </c>
      <c r="Q32" s="115">
        <v>25</v>
      </c>
      <c r="R32" s="127" t="s">
        <v>790</v>
      </c>
      <c r="S32" s="121">
        <f>$B$3*$H$3*'NHIS 내원횟수'!$L$7*(계리기호!AQ32-계리기호!AQ$87)/(계리기호!AP32-계리기호!AP52)</f>
        <v>8.7315146091127577E-3</v>
      </c>
      <c r="U32" s="130" t="s">
        <v>814</v>
      </c>
      <c r="V32" s="115">
        <v>25</v>
      </c>
      <c r="W32" s="133" t="s">
        <v>792</v>
      </c>
      <c r="X32" s="121">
        <f>$B$3*$H$3*'NHIS 내원횟수'!$L$8*(계리기호!BB32-계리기호!BB$87)/(계리기호!BA32-계리기호!BA52)</f>
        <v>2.3218737391998111E-3</v>
      </c>
      <c r="Z32" s="130" t="s">
        <v>815</v>
      </c>
      <c r="AA32" s="115">
        <v>25</v>
      </c>
      <c r="AB32" s="133" t="s">
        <v>792</v>
      </c>
      <c r="AC32" s="121">
        <f>$B$3*$H$3*'NHIS 내원횟수'!$L$8*(계리기호!BM32-계리기호!BM$87)/(계리기호!BL32-계리기호!BL52)</f>
        <v>5.8597729586232921E-4</v>
      </c>
    </row>
    <row r="33" spans="1:29" ht="18" customHeight="1">
      <c r="A33" s="112" t="s">
        <v>814</v>
      </c>
      <c r="B33" s="115">
        <v>26</v>
      </c>
      <c r="C33" s="118" t="s">
        <v>786</v>
      </c>
      <c r="D33" s="121">
        <f>$B$3*$H$3*'NHIS 내원횟수'!$L$6*(계리기호!J33-계리기호!J$87)/(계리기호!I33-계리기호!I53)</f>
        <v>4.9411469588373842E-2</v>
      </c>
      <c r="F33" s="112" t="s">
        <v>815</v>
      </c>
      <c r="G33" s="115">
        <v>26</v>
      </c>
      <c r="H33" s="118" t="s">
        <v>786</v>
      </c>
      <c r="I33" s="121">
        <f>$B$3*$H$3*'NHIS 내원횟수'!$L$6*(계리기호!U33-계리기호!U$87)/(계리기호!T33-계리기호!T53)</f>
        <v>4.762563141241416E-2</v>
      </c>
      <c r="K33" s="124" t="s">
        <v>814</v>
      </c>
      <c r="L33" s="115">
        <v>26</v>
      </c>
      <c r="M33" s="127" t="s">
        <v>790</v>
      </c>
      <c r="N33" s="121">
        <f>$B$3*$H$3*'NHIS 내원횟수'!$L$7*(계리기호!AF33-계리기호!AF$87)/(계리기호!AE33-계리기호!AE53)</f>
        <v>1.2888402870987265E-2</v>
      </c>
      <c r="P33" s="124" t="s">
        <v>815</v>
      </c>
      <c r="Q33" s="115">
        <v>26</v>
      </c>
      <c r="R33" s="127" t="s">
        <v>790</v>
      </c>
      <c r="S33" s="121">
        <f>$B$3*$H$3*'NHIS 내원횟수'!$L$7*(계리기호!AQ33-계리기호!AQ$87)/(계리기호!AP33-계리기호!AP53)</f>
        <v>8.8915829338123351E-3</v>
      </c>
      <c r="U33" s="130" t="s">
        <v>814</v>
      </c>
      <c r="V33" s="115">
        <v>26</v>
      </c>
      <c r="W33" s="133" t="s">
        <v>792</v>
      </c>
      <c r="X33" s="121">
        <f>$B$3*$H$3*'NHIS 내원횟수'!$L$8*(계리기호!BB33-계리기호!BB$87)/(계리기호!BA33-계리기호!BA53)</f>
        <v>2.3671794231139502E-3</v>
      </c>
      <c r="Z33" s="130" t="s">
        <v>815</v>
      </c>
      <c r="AA33" s="115">
        <v>26</v>
      </c>
      <c r="AB33" s="133" t="s">
        <v>792</v>
      </c>
      <c r="AC33" s="121">
        <f>$B$3*$H$3*'NHIS 내원횟수'!$L$8*(계리기호!BM33-계리기호!BM$87)/(계리기호!BL33-계리기호!BL53)</f>
        <v>5.9724991286890937E-4</v>
      </c>
    </row>
    <row r="34" spans="1:29" ht="18" customHeight="1">
      <c r="A34" s="112" t="s">
        <v>814</v>
      </c>
      <c r="B34" s="115">
        <v>27</v>
      </c>
      <c r="C34" s="118" t="s">
        <v>786</v>
      </c>
      <c r="D34" s="121">
        <f>$B$3*$H$3*'NHIS 내원횟수'!$L$6*(계리기호!J34-계리기호!J$87)/(계리기호!I34-계리기호!I54)</f>
        <v>5.032315136472116E-2</v>
      </c>
      <c r="F34" s="112" t="s">
        <v>815</v>
      </c>
      <c r="G34" s="115">
        <v>27</v>
      </c>
      <c r="H34" s="118" t="s">
        <v>786</v>
      </c>
      <c r="I34" s="121">
        <f>$B$3*$H$3*'NHIS 내원횟수'!$L$6*(계리기호!U34-계리기호!U$87)/(계리기호!T34-계리기호!T54)</f>
        <v>4.8298758578665071E-2</v>
      </c>
      <c r="K34" s="124" t="s">
        <v>814</v>
      </c>
      <c r="L34" s="115">
        <v>27</v>
      </c>
      <c r="M34" s="127" t="s">
        <v>790</v>
      </c>
      <c r="N34" s="121">
        <f>$B$3*$H$3*'NHIS 내원횟수'!$L$7*(계리기호!AF34-계리기호!AF$87)/(계리기호!AE34-계리기호!AE54)</f>
        <v>1.3136713742471877E-2</v>
      </c>
      <c r="P34" s="124" t="s">
        <v>815</v>
      </c>
      <c r="Q34" s="115">
        <v>27</v>
      </c>
      <c r="R34" s="127" t="s">
        <v>790</v>
      </c>
      <c r="S34" s="121">
        <f>$B$3*$H$3*'NHIS 내원횟수'!$L$7*(계리기호!AQ34-계리기호!AQ$87)/(계리기호!AP34-계리기호!AP54)</f>
        <v>9.0528633635418698E-3</v>
      </c>
      <c r="U34" s="130" t="s">
        <v>814</v>
      </c>
      <c r="V34" s="115">
        <v>27</v>
      </c>
      <c r="W34" s="133" t="s">
        <v>792</v>
      </c>
      <c r="X34" s="121">
        <f>$B$3*$H$3*'NHIS 내원횟수'!$L$8*(계리기호!BB34-계리기호!BB$87)/(계리기호!BA34-계리기호!BA54)</f>
        <v>2.413006663095049E-3</v>
      </c>
      <c r="Z34" s="130" t="s">
        <v>815</v>
      </c>
      <c r="AA34" s="115">
        <v>27</v>
      </c>
      <c r="AB34" s="133" t="s">
        <v>792</v>
      </c>
      <c r="AC34" s="121">
        <f>$B$3*$H$3*'NHIS 내원횟수'!$L$8*(계리기호!BM34-계리기호!BM$87)/(계리기호!BL34-계리기호!BL54)</f>
        <v>6.0866354132654713E-4</v>
      </c>
    </row>
    <row r="35" spans="1:29" ht="18" customHeight="1">
      <c r="A35" s="112" t="s">
        <v>814</v>
      </c>
      <c r="B35" s="115">
        <v>28</v>
      </c>
      <c r="C35" s="118" t="s">
        <v>786</v>
      </c>
      <c r="D35" s="121">
        <f>$B$3*$H$3*'NHIS 내원횟수'!$L$6*(계리기호!J35-계리기호!J$87)/(계리기호!I35-계리기호!I55)</f>
        <v>5.1240338545449543E-2</v>
      </c>
      <c r="F35" s="112" t="s">
        <v>815</v>
      </c>
      <c r="G35" s="115">
        <v>28</v>
      </c>
      <c r="H35" s="118" t="s">
        <v>786</v>
      </c>
      <c r="I35" s="121">
        <f>$B$3*$H$3*'NHIS 내원횟수'!$L$6*(계리기호!U35-계리기호!U$87)/(계리기호!T35-계리기호!T55)</f>
        <v>4.8941924703996047E-2</v>
      </c>
      <c r="K35" s="124" t="s">
        <v>814</v>
      </c>
      <c r="L35" s="115">
        <v>28</v>
      </c>
      <c r="M35" s="127" t="s">
        <v>790</v>
      </c>
      <c r="N35" s="121">
        <f>$B$3*$H$3*'NHIS 내원횟수'!$L$7*(계리기호!AF35-계리기호!AF$87)/(계리기호!AE35-계리기호!AE55)</f>
        <v>1.3388240423105848E-2</v>
      </c>
      <c r="P35" s="124" t="s">
        <v>815</v>
      </c>
      <c r="Q35" s="115">
        <v>28</v>
      </c>
      <c r="R35" s="127" t="s">
        <v>790</v>
      </c>
      <c r="S35" s="121">
        <f>$B$3*$H$3*'NHIS 내원횟수'!$L$7*(계리기호!AQ35-계리기호!AQ$87)/(계리기호!AP35-계리기호!AP55)</f>
        <v>9.2154260394896065E-3</v>
      </c>
      <c r="U35" s="130" t="s">
        <v>814</v>
      </c>
      <c r="V35" s="115">
        <v>28</v>
      </c>
      <c r="W35" s="133" t="s">
        <v>792</v>
      </c>
      <c r="X35" s="121">
        <f>$B$3*$H$3*'NHIS 내원횟수'!$L$8*(계리기호!BB35-계리기호!BB$87)/(계리기호!BA35-계리기호!BA55)</f>
        <v>2.4593851912365458E-3</v>
      </c>
      <c r="Z35" s="130" t="s">
        <v>815</v>
      </c>
      <c r="AA35" s="115">
        <v>28</v>
      </c>
      <c r="AB35" s="133" t="s">
        <v>792</v>
      </c>
      <c r="AC35" s="121">
        <f>$B$3*$H$3*'NHIS 내원횟수'!$L$8*(계리기호!BM35-계리기호!BM$87)/(계리기호!BL35-계리기호!BL55)</f>
        <v>6.2022282918702831E-4</v>
      </c>
    </row>
    <row r="36" spans="1:29" ht="18" customHeight="1">
      <c r="A36" s="112" t="s">
        <v>814</v>
      </c>
      <c r="B36" s="115">
        <v>29</v>
      </c>
      <c r="C36" s="118" t="s">
        <v>786</v>
      </c>
      <c r="D36" s="121">
        <f>$B$3*$H$3*'NHIS 내원횟수'!$L$6*(계리기호!J36-계리기호!J$87)/(계리기호!I36-계리기호!I56)</f>
        <v>5.2163756605966533E-2</v>
      </c>
      <c r="F36" s="112" t="s">
        <v>815</v>
      </c>
      <c r="G36" s="115">
        <v>29</v>
      </c>
      <c r="H36" s="118" t="s">
        <v>786</v>
      </c>
      <c r="I36" s="121">
        <f>$B$3*$H$3*'NHIS 내원횟수'!$L$6*(계리기호!U36-계리기호!U$87)/(계리기호!T36-계리기호!T56)</f>
        <v>4.9554505996509041E-2</v>
      </c>
      <c r="K36" s="124" t="s">
        <v>814</v>
      </c>
      <c r="L36" s="115">
        <v>29</v>
      </c>
      <c r="M36" s="127" t="s">
        <v>790</v>
      </c>
      <c r="N36" s="121">
        <f>$B$3*$H$3*'NHIS 내원횟수'!$L$7*(계리기호!AF36-계리기호!AF$87)/(계리기호!AE36-계리기호!AE56)</f>
        <v>1.3643181132101726E-2</v>
      </c>
      <c r="P36" s="124" t="s">
        <v>815</v>
      </c>
      <c r="Q36" s="115">
        <v>29</v>
      </c>
      <c r="R36" s="127" t="s">
        <v>790</v>
      </c>
      <c r="S36" s="121">
        <f>$B$3*$H$3*'NHIS 내원횟수'!$L$7*(계리기호!AQ36-계리기호!AQ$87)/(계리기호!AP36-계리기호!AP56)</f>
        <v>9.3793449458496395E-3</v>
      </c>
      <c r="U36" s="130" t="s">
        <v>814</v>
      </c>
      <c r="V36" s="115">
        <v>29</v>
      </c>
      <c r="W36" s="133" t="s">
        <v>792</v>
      </c>
      <c r="X36" s="121">
        <f>$B$3*$H$3*'NHIS 내원횟수'!$L$8*(계리기호!BB36-계리기호!BB$87)/(계리기호!BA36-계리기호!BA56)</f>
        <v>2.5063464972610214E-3</v>
      </c>
      <c r="Z36" s="130" t="s">
        <v>815</v>
      </c>
      <c r="AA36" s="115">
        <v>29</v>
      </c>
      <c r="AB36" s="133" t="s">
        <v>792</v>
      </c>
      <c r="AC36" s="121">
        <f>$B$3*$H$3*'NHIS 내원횟수'!$L$8*(계리기호!BM36-계리기호!BM$87)/(계리기호!BL36-계리기호!BL56)</f>
        <v>6.3193262404744651E-4</v>
      </c>
    </row>
    <row r="37" spans="1:29" ht="18" customHeight="1">
      <c r="A37" s="112" t="s">
        <v>814</v>
      </c>
      <c r="B37" s="115">
        <v>30</v>
      </c>
      <c r="C37" s="118" t="s">
        <v>786</v>
      </c>
      <c r="D37" s="121">
        <f>$B$3*$H$3*'NHIS 내원횟수'!$L$6*(계리기호!J37-계리기호!J$87)/(계리기호!I37-계리기호!I57)</f>
        <v>5.3094175278948642E-2</v>
      </c>
      <c r="F37" s="112" t="s">
        <v>815</v>
      </c>
      <c r="G37" s="115">
        <v>30</v>
      </c>
      <c r="H37" s="118" t="s">
        <v>786</v>
      </c>
      <c r="I37" s="121">
        <f>$B$3*$H$3*'NHIS 내원횟수'!$L$6*(계리기호!U37-계리기호!U$87)/(계리기호!T37-계리기호!T57)</f>
        <v>5.0135842499889796E-2</v>
      </c>
      <c r="K37" s="124" t="s">
        <v>814</v>
      </c>
      <c r="L37" s="115">
        <v>30</v>
      </c>
      <c r="M37" s="127" t="s">
        <v>790</v>
      </c>
      <c r="N37" s="121">
        <f>$B$3*$H$3*'NHIS 내원횟수'!$L$7*(계리기호!AF37-계리기호!AF$87)/(계리기호!AE37-계리기호!AE57)</f>
        <v>1.3901745832917478E-2</v>
      </c>
      <c r="P37" s="124" t="s">
        <v>815</v>
      </c>
      <c r="Q37" s="115">
        <v>30</v>
      </c>
      <c r="R37" s="127" t="s">
        <v>790</v>
      </c>
      <c r="S37" s="121">
        <f>$B$3*$H$3*'NHIS 내원횟수'!$L$7*(계리기호!AQ37-계리기호!AQ$87)/(계리기호!AP37-계리기호!AP57)</f>
        <v>9.5446980663624684E-3</v>
      </c>
      <c r="U37" s="130" t="s">
        <v>814</v>
      </c>
      <c r="V37" s="115">
        <v>30</v>
      </c>
      <c r="W37" s="133" t="s">
        <v>792</v>
      </c>
      <c r="X37" s="121">
        <f>$B$3*$H$3*'NHIS 내원횟수'!$L$8*(계리기호!BB37-계리기호!BB$87)/(계리기호!BA37-계리기호!BA57)</f>
        <v>2.5539239116909537E-3</v>
      </c>
      <c r="Z37" s="130" t="s">
        <v>815</v>
      </c>
      <c r="AA37" s="115">
        <v>30</v>
      </c>
      <c r="AB37" s="133" t="s">
        <v>792</v>
      </c>
      <c r="AC37" s="121">
        <f>$B$3*$H$3*'NHIS 내원횟수'!$L$8*(계리기호!BM37-계리기호!BM$87)/(계리기호!BL37-계리기호!BL57)</f>
        <v>6.4379798142498305E-4</v>
      </c>
    </row>
    <row r="38" spans="1:29" ht="18" customHeight="1">
      <c r="A38" s="112" t="s">
        <v>814</v>
      </c>
      <c r="B38" s="115">
        <v>31</v>
      </c>
      <c r="C38" s="118" t="s">
        <v>786</v>
      </c>
      <c r="D38" s="121">
        <f>$B$3*$H$3*'NHIS 내원횟수'!$L$6*(계리기호!J38-계리기호!J$87)/(계리기호!I38-계리기호!I58)</f>
        <v>5.4032410698531652E-2</v>
      </c>
      <c r="F38" s="112" t="s">
        <v>815</v>
      </c>
      <c r="G38" s="115">
        <v>31</v>
      </c>
      <c r="H38" s="118" t="s">
        <v>786</v>
      </c>
      <c r="I38" s="121">
        <f>$B$3*$H$3*'NHIS 내원횟수'!$L$6*(계리기호!U38-계리기호!U$87)/(계리기호!T38-계리기호!T58)</f>
        <v>5.0685236106343408E-2</v>
      </c>
      <c r="K38" s="124" t="s">
        <v>814</v>
      </c>
      <c r="L38" s="115">
        <v>31</v>
      </c>
      <c r="M38" s="127" t="s">
        <v>790</v>
      </c>
      <c r="N38" s="121">
        <f>$B$3*$H$3*'NHIS 내원횟수'!$L$7*(계리기호!AF38-계리기호!AF$87)/(계리기호!AE38-계리기호!AE58)</f>
        <v>1.4164156847528968E-2</v>
      </c>
      <c r="P38" s="124" t="s">
        <v>815</v>
      </c>
      <c r="Q38" s="115">
        <v>31</v>
      </c>
      <c r="R38" s="127" t="s">
        <v>790</v>
      </c>
      <c r="S38" s="121">
        <f>$B$3*$H$3*'NHIS 내원횟수'!$L$7*(계리기호!AQ38-계리기호!AQ$87)/(계리기호!AP38-계리기호!AP58)</f>
        <v>9.7115675517596457E-3</v>
      </c>
      <c r="U38" s="130" t="s">
        <v>814</v>
      </c>
      <c r="V38" s="115">
        <v>31</v>
      </c>
      <c r="W38" s="133" t="s">
        <v>792</v>
      </c>
      <c r="X38" s="121">
        <f>$B$3*$H$3*'NHIS 내원횟수'!$L$8*(계리기호!BB38-계리기호!BB$87)/(계리기호!BA38-계리기호!BA58)</f>
        <v>2.6021526957489115E-3</v>
      </c>
      <c r="Z38" s="130" t="s">
        <v>815</v>
      </c>
      <c r="AA38" s="115">
        <v>31</v>
      </c>
      <c r="AB38" s="133" t="s">
        <v>792</v>
      </c>
      <c r="AC38" s="121">
        <f>$B$3*$H$3*'NHIS 내원횟수'!$L$8*(계리기호!BM38-계리기호!BM$87)/(계리기호!BL38-계리기호!BL58)</f>
        <v>6.5582417348734239E-4</v>
      </c>
    </row>
    <row r="39" spans="1:29" ht="18" customHeight="1">
      <c r="A39" s="112" t="s">
        <v>814</v>
      </c>
      <c r="B39" s="115">
        <v>32</v>
      </c>
      <c r="C39" s="118" t="s">
        <v>786</v>
      </c>
      <c r="D39" s="121">
        <f>$B$3*$H$3*'NHIS 내원횟수'!$L$6*(계리기호!J39-계리기호!J$87)/(계리기호!I39-계리기호!I59)</f>
        <v>5.4966379578293832E-2</v>
      </c>
      <c r="F39" s="112" t="s">
        <v>815</v>
      </c>
      <c r="G39" s="115">
        <v>32</v>
      </c>
      <c r="H39" s="118" t="s">
        <v>786</v>
      </c>
      <c r="I39" s="121">
        <f>$B$3*$H$3*'NHIS 내원횟수'!$L$6*(계리기호!U39-계리기호!U$87)/(계리기호!T39-계리기호!T59)</f>
        <v>5.1182914943469507E-2</v>
      </c>
      <c r="K39" s="124" t="s">
        <v>814</v>
      </c>
      <c r="L39" s="115">
        <v>32</v>
      </c>
      <c r="M39" s="127" t="s">
        <v>790</v>
      </c>
      <c r="N39" s="121">
        <f>$B$3*$H$3*'NHIS 내원횟수'!$L$7*(계리기호!AF39-계리기호!AF$87)/(계리기호!AE39-계리기호!AE59)</f>
        <v>1.4422969811007507E-2</v>
      </c>
      <c r="P39" s="124" t="s">
        <v>815</v>
      </c>
      <c r="Q39" s="115">
        <v>32</v>
      </c>
      <c r="R39" s="127" t="s">
        <v>790</v>
      </c>
      <c r="S39" s="121">
        <f>$B$3*$H$3*'NHIS 내원횟수'!$L$7*(계리기호!AQ39-계리기호!AQ$87)/(계리기호!AP39-계리기호!AP59)</f>
        <v>9.8774987128009781E-3</v>
      </c>
      <c r="U39" s="130" t="s">
        <v>814</v>
      </c>
      <c r="V39" s="115">
        <v>32</v>
      </c>
      <c r="W39" s="133" t="s">
        <v>792</v>
      </c>
      <c r="X39" s="121">
        <f>$B$3*$H$3*'NHIS 내원횟수'!$L$8*(계리기호!BB39-계리기호!BB$87)/(계리기호!BA39-계리기호!BA59)</f>
        <v>2.6490636126218032E-3</v>
      </c>
      <c r="Z39" s="130" t="s">
        <v>815</v>
      </c>
      <c r="AA39" s="115">
        <v>32</v>
      </c>
      <c r="AB39" s="133" t="s">
        <v>792</v>
      </c>
      <c r="AC39" s="121">
        <f>$B$3*$H$3*'NHIS 내원횟수'!$L$8*(계리기호!BM39-계리기호!BM$87)/(계리기호!BL39-계리기호!BL59)</f>
        <v>6.6791634755957005E-4</v>
      </c>
    </row>
    <row r="40" spans="1:29" ht="18" customHeight="1">
      <c r="A40" s="112" t="s">
        <v>814</v>
      </c>
      <c r="B40" s="115">
        <v>33</v>
      </c>
      <c r="C40" s="118" t="s">
        <v>786</v>
      </c>
      <c r="D40" s="121">
        <f>$B$3*$H$3*'NHIS 내원횟수'!$L$6*(계리기호!J40-계리기호!J$87)/(계리기호!I40-계리기호!I60)</f>
        <v>5.5897360575712214E-2</v>
      </c>
      <c r="F40" s="112" t="s">
        <v>815</v>
      </c>
      <c r="G40" s="115">
        <v>33</v>
      </c>
      <c r="H40" s="118" t="s">
        <v>786</v>
      </c>
      <c r="I40" s="121">
        <f>$B$3*$H$3*'NHIS 내원횟수'!$L$6*(계리기호!U40-계리기호!U$87)/(계리기호!T40-계리기호!T60)</f>
        <v>5.1627244126545166E-2</v>
      </c>
      <c r="K40" s="124" t="s">
        <v>814</v>
      </c>
      <c r="L40" s="115">
        <v>33</v>
      </c>
      <c r="M40" s="127" t="s">
        <v>790</v>
      </c>
      <c r="N40" s="121">
        <f>$B$3*$H$3*'NHIS 내원횟수'!$L$7*(계리기호!AF40-계리기호!AF$87)/(계리기호!AE40-계리기호!AE60)</f>
        <v>1.4678297353285316E-2</v>
      </c>
      <c r="P40" s="124" t="s">
        <v>815</v>
      </c>
      <c r="Q40" s="115">
        <v>33</v>
      </c>
      <c r="R40" s="127" t="s">
        <v>790</v>
      </c>
      <c r="S40" s="121">
        <f>$B$3*$H$3*'NHIS 내원횟수'!$L$7*(계리기호!AQ40-계리기호!AQ$87)/(계리기호!AP40-계리기호!AP60)</f>
        <v>1.0042527353593695E-2</v>
      </c>
      <c r="U40" s="130" t="s">
        <v>814</v>
      </c>
      <c r="V40" s="115">
        <v>33</v>
      </c>
      <c r="W40" s="133" t="s">
        <v>792</v>
      </c>
      <c r="X40" s="121">
        <f>$B$3*$H$3*'NHIS 내원횟수'!$L$8*(계리기호!BB40-계리기호!BB$87)/(계리기호!BA40-계리기호!BA60)</f>
        <v>2.6946513304453817E-3</v>
      </c>
      <c r="Z40" s="130" t="s">
        <v>815</v>
      </c>
      <c r="AA40" s="115">
        <v>33</v>
      </c>
      <c r="AB40" s="133" t="s">
        <v>792</v>
      </c>
      <c r="AC40" s="121">
        <f>$B$3*$H$3*'NHIS 내원횟수'!$L$8*(계리기호!BM40-계리기호!BM$87)/(계리기호!BL40-계리기호!BL60)</f>
        <v>6.8007794714537565E-4</v>
      </c>
    </row>
    <row r="41" spans="1:29" ht="18" customHeight="1">
      <c r="A41" s="112" t="s">
        <v>814</v>
      </c>
      <c r="B41" s="115">
        <v>34</v>
      </c>
      <c r="C41" s="118" t="s">
        <v>786</v>
      </c>
      <c r="D41" s="121">
        <f>$B$3*$H$3*'NHIS 내원횟수'!$L$6*(계리기호!J41-계리기호!J$87)/(계리기호!I41-계리기호!I61)</f>
        <v>5.6826728113880697E-2</v>
      </c>
      <c r="F41" s="112" t="s">
        <v>815</v>
      </c>
      <c r="G41" s="115">
        <v>34</v>
      </c>
      <c r="H41" s="118" t="s">
        <v>786</v>
      </c>
      <c r="I41" s="121">
        <f>$B$3*$H$3*'NHIS 내원횟수'!$L$6*(계리기호!U41-계리기호!U$87)/(계리기호!T41-계리기호!T61)</f>
        <v>5.2016510864873619E-2</v>
      </c>
      <c r="K41" s="124" t="s">
        <v>814</v>
      </c>
      <c r="L41" s="115">
        <v>34</v>
      </c>
      <c r="M41" s="127" t="s">
        <v>790</v>
      </c>
      <c r="N41" s="121">
        <f>$B$3*$H$3*'NHIS 내원횟수'!$L$7*(계리기호!AF41-계리기호!AF$87)/(계리기호!AE41-계리기호!AE61)</f>
        <v>1.4930262686777969E-2</v>
      </c>
      <c r="P41" s="124" t="s">
        <v>815</v>
      </c>
      <c r="Q41" s="115">
        <v>34</v>
      </c>
      <c r="R41" s="127" t="s">
        <v>790</v>
      </c>
      <c r="S41" s="121">
        <f>$B$3*$H$3*'NHIS 내원횟수'!$L$7*(계리기호!AQ41-계리기호!AQ$87)/(계리기호!AP41-계리기호!AP61)</f>
        <v>1.0206692342467431E-2</v>
      </c>
      <c r="U41" s="130" t="s">
        <v>814</v>
      </c>
      <c r="V41" s="115">
        <v>34</v>
      </c>
      <c r="W41" s="133" t="s">
        <v>792</v>
      </c>
      <c r="X41" s="121">
        <f>$B$3*$H$3*'NHIS 내원횟수'!$L$8*(계리기호!BB41-계리기호!BB$87)/(계리기호!BA41-계리기호!BA61)</f>
        <v>2.7389110345421752E-3</v>
      </c>
      <c r="Z41" s="130" t="s">
        <v>815</v>
      </c>
      <c r="AA41" s="115">
        <v>34</v>
      </c>
      <c r="AB41" s="133" t="s">
        <v>792</v>
      </c>
      <c r="AC41" s="121">
        <f>$B$3*$H$3*'NHIS 내원횟수'!$L$8*(계리기호!BM41-계리기호!BM$87)/(계리기호!BL41-계리기호!BL61)</f>
        <v>6.9231259375503184E-4</v>
      </c>
    </row>
    <row r="42" spans="1:29" ht="18" customHeight="1">
      <c r="A42" s="112" t="s">
        <v>814</v>
      </c>
      <c r="B42" s="115">
        <v>35</v>
      </c>
      <c r="C42" s="118" t="s">
        <v>786</v>
      </c>
      <c r="D42" s="121">
        <f>$B$3*$H$3*'NHIS 내원횟수'!$L$6*(계리기호!J42-계리기호!J$87)/(계리기호!I42-계리기호!I62)</f>
        <v>5.7755954101423528E-2</v>
      </c>
      <c r="F42" s="112" t="s">
        <v>815</v>
      </c>
      <c r="G42" s="115">
        <v>35</v>
      </c>
      <c r="H42" s="118" t="s">
        <v>786</v>
      </c>
      <c r="I42" s="121">
        <f>$B$3*$H$3*'NHIS 내원횟수'!$L$6*(계리기호!U42-계리기호!U$87)/(계리기호!T42-계리기호!T62)</f>
        <v>5.2348923586223797E-2</v>
      </c>
      <c r="K42" s="124" t="s">
        <v>814</v>
      </c>
      <c r="L42" s="115">
        <v>35</v>
      </c>
      <c r="M42" s="127" t="s">
        <v>790</v>
      </c>
      <c r="N42" s="121">
        <f>$B$3*$H$3*'NHIS 내원횟수'!$L$7*(계리기호!AF42-계리기호!AF$87)/(계리기호!AE42-계리기호!AE62)</f>
        <v>1.5178999490542284E-2</v>
      </c>
      <c r="P42" s="124" t="s">
        <v>815</v>
      </c>
      <c r="Q42" s="115">
        <v>35</v>
      </c>
      <c r="R42" s="127" t="s">
        <v>790</v>
      </c>
      <c r="S42" s="121">
        <f>$B$3*$H$3*'NHIS 내원횟수'!$L$7*(계리기호!AQ42-계리기호!AQ$87)/(계리기호!AP42-계리기호!AP62)</f>
        <v>1.0370035657111591E-2</v>
      </c>
      <c r="U42" s="130" t="s">
        <v>814</v>
      </c>
      <c r="V42" s="115">
        <v>35</v>
      </c>
      <c r="W42" s="133" t="s">
        <v>792</v>
      </c>
      <c r="X42" s="121">
        <f>$B$3*$H$3*'NHIS 내원횟수'!$L$8*(계리기호!BB42-계리기호!BB$87)/(계리기호!BA42-계리기호!BA62)</f>
        <v>2.7818383388848057E-3</v>
      </c>
      <c r="Z42" s="130" t="s">
        <v>815</v>
      </c>
      <c r="AA42" s="115">
        <v>35</v>
      </c>
      <c r="AB42" s="133" t="s">
        <v>792</v>
      </c>
      <c r="AC42" s="121">
        <f>$B$3*$H$3*'NHIS 내원횟수'!$L$8*(계리기호!BM42-계리기호!BM$87)/(계리기호!BL42-계리기호!BL62)</f>
        <v>7.0462409313524316E-4</v>
      </c>
    </row>
    <row r="43" spans="1:29" ht="18" customHeight="1">
      <c r="A43" s="112" t="s">
        <v>814</v>
      </c>
      <c r="B43" s="115">
        <v>36</v>
      </c>
      <c r="C43" s="118" t="s">
        <v>786</v>
      </c>
      <c r="D43" s="121">
        <f>$B$3*$H$3*'NHIS 내원횟수'!$L$6*(계리기호!J43-계리기호!J$87)/(계리기호!I43-계리기호!I63)</f>
        <v>5.8686610354269038E-2</v>
      </c>
      <c r="F43" s="112" t="s">
        <v>815</v>
      </c>
      <c r="G43" s="115">
        <v>36</v>
      </c>
      <c r="H43" s="118" t="s">
        <v>786</v>
      </c>
      <c r="I43" s="121">
        <f>$B$3*$H$3*'NHIS 내원횟수'!$L$6*(계리기호!U43-계리기호!U$87)/(계리기호!T43-계리기호!T63)</f>
        <v>5.2622611155927798E-2</v>
      </c>
      <c r="K43" s="124" t="s">
        <v>814</v>
      </c>
      <c r="L43" s="115">
        <v>36</v>
      </c>
      <c r="M43" s="127" t="s">
        <v>790</v>
      </c>
      <c r="N43" s="121">
        <f>$B$3*$H$3*'NHIS 내원횟수'!$L$7*(계리기호!AF43-계리기호!AF$87)/(계리기호!AE43-계리기호!AE63)</f>
        <v>1.5424651822127882E-2</v>
      </c>
      <c r="P43" s="124" t="s">
        <v>815</v>
      </c>
      <c r="Q43" s="115">
        <v>36</v>
      </c>
      <c r="R43" s="127" t="s">
        <v>790</v>
      </c>
      <c r="S43" s="121">
        <f>$B$3*$H$3*'NHIS 내원횟수'!$L$7*(계리기호!AQ43-계리기호!AQ$87)/(계리기호!AP43-계리기호!AP63)</f>
        <v>1.0532602435016476E-2</v>
      </c>
      <c r="U43" s="130" t="s">
        <v>814</v>
      </c>
      <c r="V43" s="115">
        <v>36</v>
      </c>
      <c r="W43" s="133" t="s">
        <v>792</v>
      </c>
      <c r="X43" s="121">
        <f>$B$3*$H$3*'NHIS 내원횟수'!$L$8*(계리기호!BB43-계리기호!BB$87)/(계리기호!BA43-계리기호!BA63)</f>
        <v>2.8234291941560364E-3</v>
      </c>
      <c r="Z43" s="130" t="s">
        <v>815</v>
      </c>
      <c r="AA43" s="115">
        <v>36</v>
      </c>
      <c r="AB43" s="133" t="s">
        <v>792</v>
      </c>
      <c r="AC43" s="121">
        <f>$B$3*$H$3*'NHIS 내원횟수'!$L$8*(계리기호!BM43-계리기호!BM$87)/(계리기호!BL43-계리기호!BL63)</f>
        <v>7.1701644184890719E-4</v>
      </c>
    </row>
    <row r="44" spans="1:29" ht="18" customHeight="1">
      <c r="A44" s="112" t="s">
        <v>814</v>
      </c>
      <c r="B44" s="115">
        <v>37</v>
      </c>
      <c r="C44" s="118" t="s">
        <v>786</v>
      </c>
      <c r="D44" s="121">
        <f>$B$3*$H$3*'NHIS 내원횟수'!$L$6*(계리기호!J44-계리기호!J$87)/(계리기호!I44-계리기호!I64)</f>
        <v>5.9620376141176629E-2</v>
      </c>
      <c r="F44" s="112" t="s">
        <v>815</v>
      </c>
      <c r="G44" s="115">
        <v>37</v>
      </c>
      <c r="H44" s="118" t="s">
        <v>786</v>
      </c>
      <c r="I44" s="121">
        <f>$B$3*$H$3*'NHIS 내원횟수'!$L$6*(계리기호!U44-계리기호!U$87)/(계리기호!T44-계리기호!T64)</f>
        <v>5.2835619828058442E-2</v>
      </c>
      <c r="K44" s="124" t="s">
        <v>814</v>
      </c>
      <c r="L44" s="115">
        <v>37</v>
      </c>
      <c r="M44" s="127" t="s">
        <v>790</v>
      </c>
      <c r="N44" s="121">
        <f>$B$3*$H$3*'NHIS 내원횟수'!$L$7*(계리기호!AF44-계리기호!AF$87)/(계리기호!AE44-계리기호!AE64)</f>
        <v>1.5667374989208661E-2</v>
      </c>
      <c r="P44" s="124" t="s">
        <v>815</v>
      </c>
      <c r="Q44" s="115">
        <v>37</v>
      </c>
      <c r="R44" s="127" t="s">
        <v>790</v>
      </c>
      <c r="S44" s="121">
        <f>$B$3*$H$3*'NHIS 내원횟수'!$L$7*(계리기호!AQ44-계리기호!AQ$87)/(계리기호!AP44-계리기호!AP64)</f>
        <v>1.0694440883514447E-2</v>
      </c>
      <c r="U44" s="130" t="s">
        <v>814</v>
      </c>
      <c r="V44" s="115">
        <v>37</v>
      </c>
      <c r="W44" s="133" t="s">
        <v>792</v>
      </c>
      <c r="X44" s="121">
        <f>$B$3*$H$3*'NHIS 내원횟수'!$L$8*(계리기호!BB44-계리기호!BB$87)/(계리기호!BA44-계리기호!BA64)</f>
        <v>2.8636799828972172E-3</v>
      </c>
      <c r="Z44" s="130" t="s">
        <v>815</v>
      </c>
      <c r="AA44" s="115">
        <v>37</v>
      </c>
      <c r="AB44" s="133" t="s">
        <v>792</v>
      </c>
      <c r="AC44" s="121">
        <f>$B$3*$H$3*'NHIS 내원횟수'!$L$8*(계리기호!BM44-계리기호!BM$87)/(계리기호!BL44-계리기호!BL64)</f>
        <v>7.2949382807874013E-4</v>
      </c>
    </row>
    <row r="45" spans="1:29" ht="18" customHeight="1">
      <c r="A45" s="112" t="s">
        <v>814</v>
      </c>
      <c r="B45" s="115">
        <v>38</v>
      </c>
      <c r="C45" s="118" t="s">
        <v>786</v>
      </c>
      <c r="D45" s="121">
        <f>$B$3*$H$3*'NHIS 내원횟수'!$L$6*(계리기호!J45-계리기호!J$87)/(계리기호!I45-계리기호!I65)</f>
        <v>6.0559232262392904E-2</v>
      </c>
      <c r="F45" s="112" t="s">
        <v>815</v>
      </c>
      <c r="G45" s="115">
        <v>38</v>
      </c>
      <c r="H45" s="118" t="s">
        <v>786</v>
      </c>
      <c r="I45" s="121">
        <f>$B$3*$H$3*'NHIS 내원횟수'!$L$6*(계리기호!U45-계리기호!U$87)/(계리기호!T45-계리기호!T65)</f>
        <v>5.2985945727431531E-2</v>
      </c>
      <c r="K45" s="124" t="s">
        <v>814</v>
      </c>
      <c r="L45" s="115">
        <v>38</v>
      </c>
      <c r="M45" s="127" t="s">
        <v>790</v>
      </c>
      <c r="N45" s="121">
        <f>$B$3*$H$3*'NHIS 내원횟수'!$L$7*(계리기호!AF45-계리기호!AF$87)/(계리기호!AE45-계리기호!AE65)</f>
        <v>1.5907387305731352E-2</v>
      </c>
      <c r="P45" s="124" t="s">
        <v>815</v>
      </c>
      <c r="Q45" s="115">
        <v>38</v>
      </c>
      <c r="R45" s="127" t="s">
        <v>790</v>
      </c>
      <c r="S45" s="121">
        <f>$B$3*$H$3*'NHIS 내원횟수'!$L$7*(계리기호!AQ45-계리기호!AQ$87)/(계리기호!AP45-계리기호!AP65)</f>
        <v>1.0855609031250749E-2</v>
      </c>
      <c r="U45" s="130" t="s">
        <v>814</v>
      </c>
      <c r="V45" s="115">
        <v>38</v>
      </c>
      <c r="W45" s="133" t="s">
        <v>792</v>
      </c>
      <c r="X45" s="121">
        <f>$B$3*$H$3*'NHIS 내원횟수'!$L$8*(계리기호!BB45-계리기호!BB$87)/(계리기호!BA45-계리기호!BA65)</f>
        <v>2.9025969555120639E-3</v>
      </c>
      <c r="Z45" s="130" t="s">
        <v>815</v>
      </c>
      <c r="AA45" s="115">
        <v>38</v>
      </c>
      <c r="AB45" s="133" t="s">
        <v>792</v>
      </c>
      <c r="AC45" s="121">
        <f>$B$3*$H$3*'NHIS 내원횟수'!$L$8*(계리기호!BM45-계리기호!BM$87)/(계리기호!BL45-계리기호!BL65)</f>
        <v>7.4206109589292589E-4</v>
      </c>
    </row>
    <row r="46" spans="1:29" ht="18" customHeight="1">
      <c r="A46" s="112" t="s">
        <v>814</v>
      </c>
      <c r="B46" s="115">
        <v>39</v>
      </c>
      <c r="C46" s="118" t="s">
        <v>786</v>
      </c>
      <c r="D46" s="121">
        <f>$B$3*$H$3*'NHIS 내원횟수'!$L$6*(계리기호!J46-계리기호!J$87)/(계리기호!I46-계리기호!I66)</f>
        <v>6.1505286771616305E-2</v>
      </c>
      <c r="F46" s="112" t="s">
        <v>815</v>
      </c>
      <c r="G46" s="115">
        <v>39</v>
      </c>
      <c r="H46" s="118" t="s">
        <v>786</v>
      </c>
      <c r="I46" s="121">
        <f>$B$3*$H$3*'NHIS 내원횟수'!$L$6*(계리기호!U46-계리기호!U$87)/(계리기호!T46-계리기호!T66)</f>
        <v>5.3071504274941714E-2</v>
      </c>
      <c r="K46" s="124" t="s">
        <v>814</v>
      </c>
      <c r="L46" s="115">
        <v>39</v>
      </c>
      <c r="M46" s="127" t="s">
        <v>790</v>
      </c>
      <c r="N46" s="121">
        <f>$B$3*$H$3*'NHIS 내원횟수'!$L$7*(계리기호!AF46-계리기호!AF$87)/(계리기호!AE46-계리기호!AE66)</f>
        <v>1.6144921614935297E-2</v>
      </c>
      <c r="P46" s="124" t="s">
        <v>815</v>
      </c>
      <c r="Q46" s="115">
        <v>39</v>
      </c>
      <c r="R46" s="127" t="s">
        <v>790</v>
      </c>
      <c r="S46" s="121">
        <f>$B$3*$H$3*'NHIS 내원횟수'!$L$7*(계리기호!AQ46-계리기호!AQ$87)/(계리기호!AP46-계리기호!AP66)</f>
        <v>1.1016168745632285E-2</v>
      </c>
      <c r="U46" s="130" t="s">
        <v>814</v>
      </c>
      <c r="V46" s="115">
        <v>39</v>
      </c>
      <c r="W46" s="133" t="s">
        <v>792</v>
      </c>
      <c r="X46" s="121">
        <f>$B$3*$H$3*'NHIS 내원횟수'!$L$8*(계리기호!BB46-계리기호!BB$87)/(계리기호!BA46-계리기호!BA66)</f>
        <v>2.9401871338035038E-3</v>
      </c>
      <c r="Z46" s="130" t="s">
        <v>815</v>
      </c>
      <c r="AA46" s="115">
        <v>39</v>
      </c>
      <c r="AB46" s="133" t="s">
        <v>792</v>
      </c>
      <c r="AC46" s="121">
        <f>$B$3*$H$3*'NHIS 내원횟수'!$L$8*(계리기호!BM46-계리기호!BM$87)/(계리기호!BL46-계리기호!BL66)</f>
        <v>7.5472334122451371E-4</v>
      </c>
    </row>
    <row r="47" spans="1:29" ht="18" customHeight="1">
      <c r="A47" s="112" t="s">
        <v>814</v>
      </c>
      <c r="B47" s="115">
        <v>40</v>
      </c>
      <c r="C47" s="118" t="s">
        <v>786</v>
      </c>
      <c r="D47" s="121">
        <f>$B$3*$H$3*'NHIS 내원횟수'!$L$6*(계리기호!J47-계리기호!J$87)/(계리기호!I47-계리기호!I67)</f>
        <v>6.2460781713493341E-2</v>
      </c>
      <c r="F47" s="112" t="s">
        <v>815</v>
      </c>
      <c r="G47" s="115">
        <v>40</v>
      </c>
      <c r="H47" s="118" t="s">
        <v>786</v>
      </c>
      <c r="I47" s="121">
        <f>$B$3*$H$3*'NHIS 내원횟수'!$L$6*(계리기호!U47-계리기호!U$87)/(계리기호!T47-계리기호!T67)</f>
        <v>5.3090129647725165E-2</v>
      </c>
      <c r="K47" s="124" t="s">
        <v>814</v>
      </c>
      <c r="L47" s="115">
        <v>40</v>
      </c>
      <c r="M47" s="127" t="s">
        <v>790</v>
      </c>
      <c r="N47" s="121">
        <f>$B$3*$H$3*'NHIS 내원횟수'!$L$7*(계리기호!AF47-계리기호!AF$87)/(계리기호!AE47-계리기호!AE67)</f>
        <v>1.6380225356728777E-2</v>
      </c>
      <c r="P47" s="124" t="s">
        <v>815</v>
      </c>
      <c r="Q47" s="115">
        <v>40</v>
      </c>
      <c r="R47" s="127" t="s">
        <v>790</v>
      </c>
      <c r="S47" s="121">
        <f>$B$3*$H$3*'NHIS 내원횟수'!$L$7*(계리기호!AQ47-계리기호!AQ$87)/(계리기호!AP47-계리기호!AP67)</f>
        <v>1.1176185822030421E-2</v>
      </c>
      <c r="U47" s="130" t="s">
        <v>814</v>
      </c>
      <c r="V47" s="115">
        <v>40</v>
      </c>
      <c r="W47" s="133" t="s">
        <v>792</v>
      </c>
      <c r="X47" s="121">
        <f>$B$3*$H$3*'NHIS 내원횟수'!$L$8*(계리기호!BB47-계리기호!BB$87)/(계리기호!BA47-계리기호!BA67)</f>
        <v>2.9764581742099615E-3</v>
      </c>
      <c r="Z47" s="130" t="s">
        <v>815</v>
      </c>
      <c r="AA47" s="115">
        <v>40</v>
      </c>
      <c r="AB47" s="133" t="s">
        <v>792</v>
      </c>
      <c r="AC47" s="121">
        <f>$B$3*$H$3*'NHIS 내원횟수'!$L$8*(계리기호!BM47-계리기호!BM$87)/(계리기호!BL47-계리기호!BL67)</f>
        <v>7.6748592177286587E-4</v>
      </c>
    </row>
    <row r="48" spans="1:29" ht="18" customHeight="1">
      <c r="A48" s="112" t="s">
        <v>814</v>
      </c>
      <c r="B48" s="115">
        <v>41</v>
      </c>
      <c r="C48" s="118" t="s">
        <v>786</v>
      </c>
      <c r="D48" s="121">
        <f>$B$3*$H$3*'NHIS 내원횟수'!$L$6*(계리기호!J48-계리기호!J$87)/(계리기호!I48-계리기호!I68)</f>
        <v>6.3428101473342616E-2</v>
      </c>
      <c r="F48" s="112" t="s">
        <v>815</v>
      </c>
      <c r="G48" s="115">
        <v>41</v>
      </c>
      <c r="H48" s="118" t="s">
        <v>786</v>
      </c>
      <c r="I48" s="121">
        <f>$B$3*$H$3*'NHIS 내원횟수'!$L$6*(계리기호!U48-계리기호!U$87)/(계리기호!T48-계리기호!T68)</f>
        <v>5.303957441394843E-2</v>
      </c>
      <c r="K48" s="124" t="s">
        <v>814</v>
      </c>
      <c r="L48" s="115">
        <v>41</v>
      </c>
      <c r="M48" s="127" t="s">
        <v>790</v>
      </c>
      <c r="N48" s="121">
        <f>$B$3*$H$3*'NHIS 내원횟수'!$L$7*(계리기호!AF48-계리기호!AF$87)/(계리기호!AE48-계리기호!AE68)</f>
        <v>1.6613560724253889E-2</v>
      </c>
      <c r="P48" s="124" t="s">
        <v>815</v>
      </c>
      <c r="Q48" s="115">
        <v>41</v>
      </c>
      <c r="R48" s="127" t="s">
        <v>790</v>
      </c>
      <c r="S48" s="121">
        <f>$B$3*$H$3*'NHIS 내원횟수'!$L$7*(계리기호!AQ48-계리기호!AQ$87)/(계리기호!AP48-계리기호!AP68)</f>
        <v>1.133573008418912E-2</v>
      </c>
      <c r="U48" s="130" t="s">
        <v>814</v>
      </c>
      <c r="V48" s="115">
        <v>41</v>
      </c>
      <c r="W48" s="133" t="s">
        <v>792</v>
      </c>
      <c r="X48" s="121">
        <f>$B$3*$H$3*'NHIS 내원횟수'!$L$8*(계리기호!BB48-계리기호!BB$87)/(계리기호!BA48-계리기호!BA68)</f>
        <v>3.0114182286100173E-3</v>
      </c>
      <c r="Z48" s="130" t="s">
        <v>815</v>
      </c>
      <c r="AA48" s="115">
        <v>41</v>
      </c>
      <c r="AB48" s="133" t="s">
        <v>792</v>
      </c>
      <c r="AC48" s="121">
        <f>$B$3*$H$3*'NHIS 내원횟수'!$L$8*(계리기호!BM48-계리기호!BM$87)/(계리기호!BL48-계리기호!BL68)</f>
        <v>7.8035446755544166E-4</v>
      </c>
    </row>
    <row r="49" spans="1:29" ht="18" customHeight="1">
      <c r="A49" s="112" t="s">
        <v>814</v>
      </c>
      <c r="B49" s="115">
        <v>42</v>
      </c>
      <c r="C49" s="118" t="s">
        <v>786</v>
      </c>
      <c r="D49" s="121">
        <f>$B$3*$H$3*'NHIS 내원횟수'!$L$6*(계리기호!J49-계리기호!J$87)/(계리기호!I49-계리기호!I69)</f>
        <v>6.4395209345172705E-2</v>
      </c>
      <c r="F49" s="112" t="s">
        <v>815</v>
      </c>
      <c r="G49" s="115">
        <v>42</v>
      </c>
      <c r="H49" s="118" t="s">
        <v>786</v>
      </c>
      <c r="I49" s="121">
        <f>$B$3*$H$3*'NHIS 내원횟수'!$L$6*(계리기호!U49-계리기호!U$87)/(계리기호!T49-계리기호!T69)</f>
        <v>5.2943307195467908E-2</v>
      </c>
      <c r="K49" s="124" t="s">
        <v>814</v>
      </c>
      <c r="L49" s="115">
        <v>42</v>
      </c>
      <c r="M49" s="127" t="s">
        <v>790</v>
      </c>
      <c r="N49" s="121">
        <f>$B$3*$H$3*'NHIS 내원횟수'!$L$7*(계리기호!AF49-계리기호!AF$87)/(계리기호!AE49-계리기호!AE69)</f>
        <v>1.6839101708957541E-2</v>
      </c>
      <c r="P49" s="124" t="s">
        <v>815</v>
      </c>
      <c r="Q49" s="115">
        <v>42</v>
      </c>
      <c r="R49" s="127" t="s">
        <v>790</v>
      </c>
      <c r="S49" s="121">
        <f>$B$3*$H$3*'NHIS 내원횟수'!$L$7*(계리기호!AQ49-계리기호!AQ$87)/(계리기호!AP49-계리기호!AP69)</f>
        <v>1.1489170206575297E-2</v>
      </c>
      <c r="U49" s="130" t="s">
        <v>814</v>
      </c>
      <c r="V49" s="115">
        <v>42</v>
      </c>
      <c r="W49" s="133" t="s">
        <v>792</v>
      </c>
      <c r="X49" s="121">
        <f>$B$3*$H$3*'NHIS 내원횟수'!$L$8*(계리기호!BB49-계리기호!BB$87)/(계리기호!BA49-계리기호!BA69)</f>
        <v>3.0427048722147521E-3</v>
      </c>
      <c r="Z49" s="130" t="s">
        <v>815</v>
      </c>
      <c r="AA49" s="115">
        <v>42</v>
      </c>
      <c r="AB49" s="133" t="s">
        <v>792</v>
      </c>
      <c r="AC49" s="121">
        <f>$B$3*$H$3*'NHIS 내원횟수'!$L$8*(계리기호!BM49-계리기호!BM$87)/(계리기호!BL49-계리기호!BL69)</f>
        <v>7.929925969878698E-4</v>
      </c>
    </row>
    <row r="50" spans="1:29" ht="18" customHeight="1">
      <c r="A50" s="112" t="s">
        <v>814</v>
      </c>
      <c r="B50" s="115">
        <v>43</v>
      </c>
      <c r="C50" s="118" t="s">
        <v>786</v>
      </c>
      <c r="D50" s="121">
        <f>$B$3*$H$3*'NHIS 내원횟수'!$L$6*(계리기호!J50-계리기호!J$87)/(계리기호!I50-계리기호!I70)</f>
        <v>6.536546161281194E-2</v>
      </c>
      <c r="F50" s="112" t="s">
        <v>815</v>
      </c>
      <c r="G50" s="115">
        <v>43</v>
      </c>
      <c r="H50" s="118" t="s">
        <v>786</v>
      </c>
      <c r="I50" s="121">
        <f>$B$3*$H$3*'NHIS 내원횟수'!$L$6*(계리기호!U50-계리기호!U$87)/(계리기호!T50-계리기호!T70)</f>
        <v>5.2800120809136201E-2</v>
      </c>
      <c r="K50" s="124" t="s">
        <v>814</v>
      </c>
      <c r="L50" s="115">
        <v>43</v>
      </c>
      <c r="M50" s="127" t="s">
        <v>790</v>
      </c>
      <c r="N50" s="121">
        <f>$B$3*$H$3*'NHIS 내원횟수'!$L$7*(계리기호!AF50-계리기호!AF$87)/(계리기호!AE50-계리기호!AE70)</f>
        <v>1.7057097349487932E-2</v>
      </c>
      <c r="P50" s="124" t="s">
        <v>815</v>
      </c>
      <c r="Q50" s="115">
        <v>43</v>
      </c>
      <c r="R50" s="127" t="s">
        <v>790</v>
      </c>
      <c r="S50" s="121">
        <f>$B$3*$H$3*'NHIS 내원횟수'!$L$7*(계리기호!AQ50-계리기호!AQ$87)/(계리기호!AP50-계리기호!AP70)</f>
        <v>1.1636505324507142E-2</v>
      </c>
      <c r="U50" s="130" t="s">
        <v>814</v>
      </c>
      <c r="V50" s="115">
        <v>43</v>
      </c>
      <c r="W50" s="133" t="s">
        <v>792</v>
      </c>
      <c r="X50" s="121">
        <f>$B$3*$H$3*'NHIS 내원횟수'!$L$8*(계리기호!BB50-계리기호!BB$87)/(계리기호!BA50-계리기호!BA70)</f>
        <v>3.0702788861978751E-3</v>
      </c>
      <c r="Z50" s="130" t="s">
        <v>815</v>
      </c>
      <c r="AA50" s="115">
        <v>43</v>
      </c>
      <c r="AB50" s="133" t="s">
        <v>792</v>
      </c>
      <c r="AC50" s="121">
        <f>$B$3*$H$3*'NHIS 내원횟수'!$L$8*(계리기호!BM50-계리기호!BM$87)/(계리기호!BL50-계리기호!BL70)</f>
        <v>8.0540128320628836E-4</v>
      </c>
    </row>
    <row r="51" spans="1:29" ht="18" customHeight="1">
      <c r="A51" s="112" t="s">
        <v>814</v>
      </c>
      <c r="B51" s="115">
        <v>44</v>
      </c>
      <c r="C51" s="118" t="s">
        <v>786</v>
      </c>
      <c r="D51" s="121">
        <f>$B$3*$H$3*'NHIS 내원횟수'!$L$6*(계리기호!J51-계리기호!J$87)/(계리기호!I51-계리기호!I71)</f>
        <v>6.6342420895364684E-2</v>
      </c>
      <c r="F51" s="112" t="s">
        <v>815</v>
      </c>
      <c r="G51" s="115">
        <v>44</v>
      </c>
      <c r="H51" s="118" t="s">
        <v>786</v>
      </c>
      <c r="I51" s="121">
        <f>$B$3*$H$3*'NHIS 내원횟수'!$L$6*(계리기호!U51-계리기호!U$87)/(계리기호!T51-계리기호!T71)</f>
        <v>5.2608747417745835E-2</v>
      </c>
      <c r="K51" s="124" t="s">
        <v>814</v>
      </c>
      <c r="L51" s="115">
        <v>44</v>
      </c>
      <c r="M51" s="127" t="s">
        <v>790</v>
      </c>
      <c r="N51" s="121">
        <f>$B$3*$H$3*'NHIS 내원횟수'!$L$7*(계리기호!AF51-계리기호!AF$87)/(계리기호!AE51-계리기호!AE71)</f>
        <v>1.7267809125633842E-2</v>
      </c>
      <c r="P51" s="124" t="s">
        <v>815</v>
      </c>
      <c r="Q51" s="115">
        <v>44</v>
      </c>
      <c r="R51" s="127" t="s">
        <v>790</v>
      </c>
      <c r="S51" s="121">
        <f>$B$3*$H$3*'NHIS 내원횟수'!$L$7*(계리기호!AQ51-계리기호!AQ$87)/(계리기호!AP51-계리기호!AP71)</f>
        <v>1.1777737179736084E-2</v>
      </c>
      <c r="U51" s="130" t="s">
        <v>814</v>
      </c>
      <c r="V51" s="115">
        <v>44</v>
      </c>
      <c r="W51" s="133" t="s">
        <v>792</v>
      </c>
      <c r="X51" s="121">
        <f>$B$3*$H$3*'NHIS 내원횟수'!$L$8*(계리기호!BB51-계리기호!BB$87)/(계리기호!BA51-계리기호!BA71)</f>
        <v>3.0940983815779489E-3</v>
      </c>
      <c r="Z51" s="130" t="s">
        <v>815</v>
      </c>
      <c r="AA51" s="115">
        <v>44</v>
      </c>
      <c r="AB51" s="133" t="s">
        <v>792</v>
      </c>
      <c r="AC51" s="121">
        <f>$B$3*$H$3*'NHIS 내원횟수'!$L$8*(계리기호!BM51-계리기호!BM$87)/(계리기호!BL51-계리기호!BL71)</f>
        <v>8.1758174957899149E-4</v>
      </c>
    </row>
    <row r="52" spans="1:29" ht="18" customHeight="1">
      <c r="A52" s="112" t="s">
        <v>814</v>
      </c>
      <c r="B52" s="115">
        <v>45</v>
      </c>
      <c r="C52" s="118" t="s">
        <v>786</v>
      </c>
      <c r="D52" s="121">
        <f>$B$3*$H$3*'NHIS 내원횟수'!$L$6*(계리기호!J52-계리기호!J$87)/(계리기호!I52-계리기호!I72)</f>
        <v>6.732986616854815E-2</v>
      </c>
      <c r="F52" s="112" t="s">
        <v>815</v>
      </c>
      <c r="G52" s="115">
        <v>45</v>
      </c>
      <c r="H52" s="118" t="s">
        <v>786</v>
      </c>
      <c r="I52" s="121">
        <f>$B$3*$H$3*'NHIS 내원횟수'!$L$6*(계리기호!U52-계리기호!U$87)/(계리기호!T52-계리기호!T72)</f>
        <v>5.236785373152842E-2</v>
      </c>
      <c r="K52" s="124" t="s">
        <v>814</v>
      </c>
      <c r="L52" s="115">
        <v>45</v>
      </c>
      <c r="M52" s="127" t="s">
        <v>790</v>
      </c>
      <c r="N52" s="121">
        <f>$B$3*$H$3*'NHIS 내원횟수'!$L$7*(계리기호!AF52-계리기호!AF$87)/(계리기호!AE52-계리기호!AE72)</f>
        <v>1.7471509410317051E-2</v>
      </c>
      <c r="P52" s="124" t="s">
        <v>815</v>
      </c>
      <c r="Q52" s="115">
        <v>45</v>
      </c>
      <c r="R52" s="127" t="s">
        <v>790</v>
      </c>
      <c r="S52" s="121">
        <f>$B$3*$H$3*'NHIS 내원횟수'!$L$7*(계리기호!AQ52-계리기호!AQ$87)/(계리기호!AP52-계리기호!AP72)</f>
        <v>1.1912869450654793E-2</v>
      </c>
      <c r="U52" s="130" t="s">
        <v>814</v>
      </c>
      <c r="V52" s="115">
        <v>45</v>
      </c>
      <c r="W52" s="133" t="s">
        <v>792</v>
      </c>
      <c r="X52" s="121">
        <f>$B$3*$H$3*'NHIS 내원횟수'!$L$8*(계리기호!BB52-계리기호!BB$87)/(계리기호!BA52-계리기호!BA72)</f>
        <v>3.114118020166074E-3</v>
      </c>
      <c r="Z52" s="130" t="s">
        <v>815</v>
      </c>
      <c r="AA52" s="115">
        <v>45</v>
      </c>
      <c r="AB52" s="133" t="s">
        <v>792</v>
      </c>
      <c r="AC52" s="121">
        <f>$B$3*$H$3*'NHIS 내원횟수'!$L$8*(계리기호!BM52-계리기호!BM$87)/(계리기호!BL52-계리기호!BL72)</f>
        <v>8.2953546043006935E-4</v>
      </c>
    </row>
    <row r="53" spans="1:29" ht="18" customHeight="1">
      <c r="A53" s="112" t="s">
        <v>814</v>
      </c>
      <c r="B53" s="115">
        <v>46</v>
      </c>
      <c r="C53" s="118" t="s">
        <v>786</v>
      </c>
      <c r="D53" s="121">
        <f>$B$3*$H$3*'NHIS 내원횟수'!$L$6*(계리기호!J53-계리기호!J$87)/(계리기호!I53-계리기호!I73)</f>
        <v>6.8331807112298831E-2</v>
      </c>
      <c r="F53" s="112" t="s">
        <v>815</v>
      </c>
      <c r="G53" s="115">
        <v>46</v>
      </c>
      <c r="H53" s="118" t="s">
        <v>786</v>
      </c>
      <c r="I53" s="121">
        <f>$B$3*$H$3*'NHIS 내원횟수'!$L$6*(계리기호!U53-계리기호!U$87)/(계리기호!T53-계리기호!T73)</f>
        <v>5.2076035888398979E-2</v>
      </c>
      <c r="K53" s="124" t="s">
        <v>814</v>
      </c>
      <c r="L53" s="115">
        <v>46</v>
      </c>
      <c r="M53" s="127" t="s">
        <v>790</v>
      </c>
      <c r="N53" s="121">
        <f>$B$3*$H$3*'NHIS 내원횟수'!$L$7*(계리기호!AF53-계리기호!AF$87)/(계리기호!AE53-계리기호!AE73)</f>
        <v>1.7668480016576289E-2</v>
      </c>
      <c r="P53" s="124" t="s">
        <v>815</v>
      </c>
      <c r="Q53" s="115">
        <v>46</v>
      </c>
      <c r="R53" s="127" t="s">
        <v>790</v>
      </c>
      <c r="S53" s="121">
        <f>$B$3*$H$3*'NHIS 내원횟수'!$L$7*(계리기호!AQ53-계리기호!AQ$87)/(계리기호!AP53-계리기호!AP73)</f>
        <v>1.2041907061864261E-2</v>
      </c>
      <c r="U53" s="130" t="s">
        <v>814</v>
      </c>
      <c r="V53" s="115">
        <v>46</v>
      </c>
      <c r="W53" s="133" t="s">
        <v>792</v>
      </c>
      <c r="X53" s="121">
        <f>$B$3*$H$3*'NHIS 내원횟수'!$L$8*(계리기호!BB53-계리기호!BB$87)/(계리기호!BA53-계리기호!BA73)</f>
        <v>3.1302881925490164E-3</v>
      </c>
      <c r="Z53" s="130" t="s">
        <v>815</v>
      </c>
      <c r="AA53" s="115">
        <v>46</v>
      </c>
      <c r="AB53" s="133" t="s">
        <v>792</v>
      </c>
      <c r="AC53" s="121">
        <f>$B$3*$H$3*'NHIS 내원횟수'!$L$8*(계리기호!BM53-계리기호!BM$87)/(계리기호!BL53-계리기호!BL73)</f>
        <v>8.4126411165040733E-4</v>
      </c>
    </row>
    <row r="54" spans="1:29" ht="18" customHeight="1">
      <c r="A54" s="112" t="s">
        <v>814</v>
      </c>
      <c r="B54" s="115">
        <v>47</v>
      </c>
      <c r="C54" s="118" t="s">
        <v>786</v>
      </c>
      <c r="D54" s="121">
        <f>$B$3*$H$3*'NHIS 내원횟수'!$L$6*(계리기호!J54-계리기호!J$87)/(계리기호!I54-계리기호!I74)</f>
        <v>6.9352544036631728E-2</v>
      </c>
      <c r="F54" s="112" t="s">
        <v>815</v>
      </c>
      <c r="G54" s="115">
        <v>47</v>
      </c>
      <c r="H54" s="118" t="s">
        <v>786</v>
      </c>
      <c r="I54" s="121">
        <f>$B$3*$H$3*'NHIS 내원횟수'!$L$6*(계리기호!U54-계리기호!U$87)/(계리기호!T54-계리기호!T74)</f>
        <v>5.1731850563754296E-2</v>
      </c>
      <c r="K54" s="124" t="s">
        <v>814</v>
      </c>
      <c r="L54" s="115">
        <v>47</v>
      </c>
      <c r="M54" s="127" t="s">
        <v>790</v>
      </c>
      <c r="N54" s="121">
        <f>$B$3*$H$3*'NHIS 내원횟수'!$L$7*(계리기호!AF54-계리기호!AF$87)/(계리기호!AE54-계리기호!AE74)</f>
        <v>1.7859021556666192E-2</v>
      </c>
      <c r="P54" s="124" t="s">
        <v>815</v>
      </c>
      <c r="Q54" s="115">
        <v>47</v>
      </c>
      <c r="R54" s="127" t="s">
        <v>790</v>
      </c>
      <c r="S54" s="121">
        <f>$B$3*$H$3*'NHIS 내원횟수'!$L$7*(계리기호!AQ54-계리기호!AQ$87)/(계리기호!AP54-계리기호!AP74)</f>
        <v>1.2164858682904423E-2</v>
      </c>
      <c r="U54" s="130" t="s">
        <v>814</v>
      </c>
      <c r="V54" s="115">
        <v>47</v>
      </c>
      <c r="W54" s="133" t="s">
        <v>792</v>
      </c>
      <c r="X54" s="121">
        <f>$B$3*$H$3*'NHIS 내원횟수'!$L$8*(계리기호!BB54-계리기호!BB$87)/(계리기호!BA54-계리기호!BA74)</f>
        <v>3.1425567467378819E-3</v>
      </c>
      <c r="Z54" s="130" t="s">
        <v>815</v>
      </c>
      <c r="AA54" s="115">
        <v>47</v>
      </c>
      <c r="AB54" s="133" t="s">
        <v>792</v>
      </c>
      <c r="AC54" s="121">
        <f>$B$3*$H$3*'NHIS 내원횟수'!$L$8*(계리기호!BM54-계리기호!BM$87)/(계리기호!BL54-계리기호!BL74)</f>
        <v>8.5276976671475914E-4</v>
      </c>
    </row>
    <row r="55" spans="1:29" ht="18" customHeight="1">
      <c r="A55" s="112" t="s">
        <v>814</v>
      </c>
      <c r="B55" s="115">
        <v>48</v>
      </c>
      <c r="C55" s="118" t="s">
        <v>786</v>
      </c>
      <c r="D55" s="121">
        <f>$B$3*$H$3*'NHIS 내원횟수'!$L$6*(계리기호!J55-계리기호!J$87)/(계리기호!I55-계리기호!I75)</f>
        <v>7.0397283645196942E-2</v>
      </c>
      <c r="F55" s="112" t="s">
        <v>815</v>
      </c>
      <c r="G55" s="115">
        <v>48</v>
      </c>
      <c r="H55" s="118" t="s">
        <v>786</v>
      </c>
      <c r="I55" s="121">
        <f>$B$3*$H$3*'NHIS 내원횟수'!$L$6*(계리기호!U55-계리기호!U$87)/(계리기호!T55-계리기호!T75)</f>
        <v>5.13340015712304E-2</v>
      </c>
      <c r="K55" s="124" t="s">
        <v>814</v>
      </c>
      <c r="L55" s="115">
        <v>48</v>
      </c>
      <c r="M55" s="127" t="s">
        <v>790</v>
      </c>
      <c r="N55" s="121">
        <f>$B$3*$H$3*'NHIS 내원횟수'!$L$7*(계리기호!AF55-계리기호!AF$87)/(계리기호!AE55-계리기호!AE75)</f>
        <v>1.8043617940734284E-2</v>
      </c>
      <c r="P55" s="124" t="s">
        <v>815</v>
      </c>
      <c r="Q55" s="115">
        <v>48</v>
      </c>
      <c r="R55" s="127" t="s">
        <v>790</v>
      </c>
      <c r="S55" s="121">
        <f>$B$3*$H$3*'NHIS 내원횟수'!$L$7*(계리기호!AQ55-계리기호!AQ$87)/(계리기호!AP55-계리기호!AP75)</f>
        <v>1.2281791671225107E-2</v>
      </c>
      <c r="U55" s="130" t="s">
        <v>814</v>
      </c>
      <c r="V55" s="115">
        <v>48</v>
      </c>
      <c r="W55" s="133" t="s">
        <v>792</v>
      </c>
      <c r="X55" s="121">
        <f>$B$3*$H$3*'NHIS 내원횟수'!$L$8*(계리기호!BB55-계리기호!BB$87)/(계리기호!BA55-계리기호!BA75)</f>
        <v>3.1508973617919247E-3</v>
      </c>
      <c r="Z55" s="130" t="s">
        <v>815</v>
      </c>
      <c r="AA55" s="115">
        <v>48</v>
      </c>
      <c r="AB55" s="133" t="s">
        <v>792</v>
      </c>
      <c r="AC55" s="121">
        <f>$B$3*$H$3*'NHIS 내원횟수'!$L$8*(계리기호!BM55-계리기호!BM$87)/(계리기호!BL55-계리기호!BL75)</f>
        <v>8.6405892666722539E-4</v>
      </c>
    </row>
    <row r="56" spans="1:29" ht="18" customHeight="1">
      <c r="A56" s="112" t="s">
        <v>814</v>
      </c>
      <c r="B56" s="115">
        <v>49</v>
      </c>
      <c r="C56" s="118" t="s">
        <v>786</v>
      </c>
      <c r="D56" s="121">
        <f>$B$3*$H$3*'NHIS 내원횟수'!$L$6*(계리기호!J56-계리기호!J$87)/(계리기호!I56-계리기호!I76)</f>
        <v>7.147157573785233E-2</v>
      </c>
      <c r="F56" s="112" t="s">
        <v>815</v>
      </c>
      <c r="G56" s="115">
        <v>49</v>
      </c>
      <c r="H56" s="118" t="s">
        <v>786</v>
      </c>
      <c r="I56" s="121">
        <f>$B$3*$H$3*'NHIS 내원횟수'!$L$6*(계리기호!U56-계리기호!U$87)/(계리기호!T56-계리기호!T76)</f>
        <v>5.0881105147694027E-2</v>
      </c>
      <c r="K56" s="124" t="s">
        <v>814</v>
      </c>
      <c r="L56" s="115">
        <v>49</v>
      </c>
      <c r="M56" s="127" t="s">
        <v>790</v>
      </c>
      <c r="N56" s="121">
        <f>$B$3*$H$3*'NHIS 내원횟수'!$L$7*(계리기호!AF56-계리기호!AF$87)/(계리기호!AE56-계리기호!AE76)</f>
        <v>1.8222768842815148E-2</v>
      </c>
      <c r="P56" s="124" t="s">
        <v>815</v>
      </c>
      <c r="Q56" s="115">
        <v>49</v>
      </c>
      <c r="R56" s="127" t="s">
        <v>790</v>
      </c>
      <c r="S56" s="121">
        <f>$B$3*$H$3*'NHIS 내원횟수'!$L$7*(계리기호!AQ56-계리기호!AQ$87)/(계리기호!AP56-계리기호!AP76)</f>
        <v>1.2392776070230753E-2</v>
      </c>
      <c r="U56" s="130" t="s">
        <v>814</v>
      </c>
      <c r="V56" s="115">
        <v>49</v>
      </c>
      <c r="W56" s="133" t="s">
        <v>792</v>
      </c>
      <c r="X56" s="121">
        <f>$B$3*$H$3*'NHIS 내원횟수'!$L$8*(계리기호!BB56-계리기호!BB$87)/(계리기호!BA56-계리기호!BA76)</f>
        <v>3.155277821000261E-3</v>
      </c>
      <c r="Z56" s="130" t="s">
        <v>815</v>
      </c>
      <c r="AA56" s="115">
        <v>49</v>
      </c>
      <c r="AB56" s="133" t="s">
        <v>792</v>
      </c>
      <c r="AC56" s="121">
        <f>$B$3*$H$3*'NHIS 내원횟수'!$L$8*(계리기호!BM56-계리기호!BM$87)/(계리기호!BL56-계리기호!BL76)</f>
        <v>8.7513861959706161E-4</v>
      </c>
    </row>
    <row r="57" spans="1:29" ht="18" customHeight="1">
      <c r="A57" s="112" t="s">
        <v>814</v>
      </c>
      <c r="B57" s="115">
        <v>50</v>
      </c>
      <c r="C57" s="118" t="s">
        <v>786</v>
      </c>
      <c r="D57" s="121">
        <f>$B$3*$H$3*'NHIS 내원횟수'!$L$6*(계리기호!J57-계리기호!J$87)/(계리기호!I57-계리기호!I77)</f>
        <v>7.2581353652742764E-2</v>
      </c>
      <c r="F57" s="112" t="s">
        <v>815</v>
      </c>
      <c r="G57" s="115">
        <v>50</v>
      </c>
      <c r="H57" s="118" t="s">
        <v>786</v>
      </c>
      <c r="I57" s="121">
        <f>$B$3*$H$3*'NHIS 내원횟수'!$L$6*(계리기호!U57-계리기호!U$87)/(계리기호!T57-계리기호!T77)</f>
        <v>5.0371680775789317E-2</v>
      </c>
      <c r="K57" s="124" t="s">
        <v>814</v>
      </c>
      <c r="L57" s="115">
        <v>50</v>
      </c>
      <c r="M57" s="127" t="s">
        <v>790</v>
      </c>
      <c r="N57" s="121">
        <f>$B$3*$H$3*'NHIS 내원횟수'!$L$7*(계리기호!AF57-계리기호!AF$87)/(계리기호!AE57-계리기호!AE77)</f>
        <v>1.8396988185934375E-2</v>
      </c>
      <c r="P57" s="124" t="s">
        <v>815</v>
      </c>
      <c r="Q57" s="115">
        <v>50</v>
      </c>
      <c r="R57" s="127" t="s">
        <v>790</v>
      </c>
      <c r="S57" s="121">
        <f>$B$3*$H$3*'NHIS 내원횟수'!$L$7*(계리기호!AQ57-계리기호!AQ$87)/(계리기호!AP57-계리기호!AP77)</f>
        <v>1.2497883580836049E-2</v>
      </c>
      <c r="U57" s="130" t="s">
        <v>814</v>
      </c>
      <c r="V57" s="115">
        <v>50</v>
      </c>
      <c r="W57" s="133" t="s">
        <v>792</v>
      </c>
      <c r="X57" s="121">
        <f>$B$3*$H$3*'NHIS 내원횟수'!$L$8*(계리기호!BB57-계리기호!BB$87)/(계리기호!BA57-계리기호!BA77)</f>
        <v>3.1556585596936582E-3</v>
      </c>
      <c r="Z57" s="130" t="s">
        <v>815</v>
      </c>
      <c r="AA57" s="115">
        <v>50</v>
      </c>
      <c r="AB57" s="133" t="s">
        <v>792</v>
      </c>
      <c r="AC57" s="121">
        <f>$B$3*$H$3*'NHIS 내원횟수'!$L$8*(계리기호!BM57-계리기호!BM$87)/(계리기호!BL57-계리기호!BL77)</f>
        <v>8.860163856181598E-4</v>
      </c>
    </row>
    <row r="58" spans="1:29" ht="18" customHeight="1">
      <c r="A58" s="112" t="s">
        <v>814</v>
      </c>
      <c r="B58" s="115">
        <v>51</v>
      </c>
      <c r="C58" s="118" t="s">
        <v>786</v>
      </c>
      <c r="D58" s="121">
        <f>$B$3*$H$3*'NHIS 내원횟수'!$L$6*(계리기호!J58-계리기호!J$87)/(계리기호!I58-계리기호!I78)</f>
        <v>7.3732985230343509E-2</v>
      </c>
      <c r="F58" s="112" t="s">
        <v>815</v>
      </c>
      <c r="G58" s="115">
        <v>51</v>
      </c>
      <c r="H58" s="118" t="s">
        <v>786</v>
      </c>
      <c r="I58" s="121">
        <f>$B$3*$H$3*'NHIS 내원횟수'!$L$6*(계리기호!U58-계리기호!U$87)/(계리기호!T58-계리기호!T78)</f>
        <v>4.980414135449561E-2</v>
      </c>
      <c r="K58" s="124" t="s">
        <v>814</v>
      </c>
      <c r="L58" s="115">
        <v>51</v>
      </c>
      <c r="M58" s="127" t="s">
        <v>790</v>
      </c>
      <c r="N58" s="121">
        <f>$B$3*$H$3*'NHIS 내원횟수'!$L$7*(계리기호!AF58-계리기호!AF$87)/(계리기호!AE58-계리기호!AE78)</f>
        <v>1.856680299135522E-2</v>
      </c>
      <c r="P58" s="124" t="s">
        <v>815</v>
      </c>
      <c r="Q58" s="115">
        <v>51</v>
      </c>
      <c r="R58" s="127" t="s">
        <v>790</v>
      </c>
      <c r="S58" s="121">
        <f>$B$3*$H$3*'NHIS 내원횟수'!$L$7*(계리기호!AQ58-계리기호!AQ$87)/(계리기호!AP58-계리기호!AP78)</f>
        <v>1.2597186526086223E-2</v>
      </c>
      <c r="U58" s="130" t="s">
        <v>814</v>
      </c>
      <c r="V58" s="115">
        <v>51</v>
      </c>
      <c r="W58" s="133" t="s">
        <v>792</v>
      </c>
      <c r="X58" s="121">
        <f>$B$3*$H$3*'NHIS 내원횟수'!$L$8*(계리기호!BB58-계리기호!BB$87)/(계리기호!BA58-계리기호!BA78)</f>
        <v>3.1519911373051619E-3</v>
      </c>
      <c r="Z58" s="130" t="s">
        <v>815</v>
      </c>
      <c r="AA58" s="115">
        <v>51</v>
      </c>
      <c r="AB58" s="133" t="s">
        <v>792</v>
      </c>
      <c r="AC58" s="121">
        <f>$B$3*$H$3*'NHIS 내원횟수'!$L$8*(계리기호!BM58-계리기호!BM$87)/(계리기호!BL58-계리기호!BL78)</f>
        <v>8.967002632416152E-4</v>
      </c>
    </row>
    <row r="59" spans="1:29" ht="18" customHeight="1">
      <c r="A59" s="112" t="s">
        <v>814</v>
      </c>
      <c r="B59" s="115">
        <v>52</v>
      </c>
      <c r="C59" s="118" t="s">
        <v>786</v>
      </c>
      <c r="D59" s="121">
        <f>$B$3*$H$3*'NHIS 내원횟수'!$L$6*(계리기호!J59-계리기호!J$87)/(계리기호!I59-계리기호!I79)</f>
        <v>7.4814046359729464E-2</v>
      </c>
      <c r="F59" s="112" t="s">
        <v>815</v>
      </c>
      <c r="G59" s="115">
        <v>52</v>
      </c>
      <c r="H59" s="118" t="s">
        <v>786</v>
      </c>
      <c r="I59" s="121">
        <f>$B$3*$H$3*'NHIS 내원횟수'!$L$6*(계리기호!U59-계리기호!U$87)/(계리기호!T59-계리기호!T79)</f>
        <v>4.9200059751194319E-2</v>
      </c>
      <c r="K59" s="124" t="s">
        <v>814</v>
      </c>
      <c r="L59" s="115">
        <v>52</v>
      </c>
      <c r="M59" s="127" t="s">
        <v>790</v>
      </c>
      <c r="N59" s="121">
        <f>$B$3*$H$3*'NHIS 내원횟수'!$L$7*(계리기호!AF59-계리기호!AF$87)/(계리기호!AE59-계리기호!AE79)</f>
        <v>1.8711924173275881E-2</v>
      </c>
      <c r="P59" s="124" t="s">
        <v>815</v>
      </c>
      <c r="Q59" s="115">
        <v>52</v>
      </c>
      <c r="R59" s="127" t="s">
        <v>790</v>
      </c>
      <c r="S59" s="121">
        <f>$B$3*$H$3*'NHIS 내원횟수'!$L$7*(계리기호!AQ59-계리기호!AQ$87)/(계리기호!AP59-계리기호!AP79)</f>
        <v>1.2683463183676285E-2</v>
      </c>
      <c r="U59" s="130" t="s">
        <v>814</v>
      </c>
      <c r="V59" s="115">
        <v>52</v>
      </c>
      <c r="W59" s="133" t="s">
        <v>792</v>
      </c>
      <c r="X59" s="121">
        <f>$B$3*$H$3*'NHIS 내원횟수'!$L$8*(계리기호!BB59-계리기호!BB$87)/(계리기호!BA59-계리기호!BA79)</f>
        <v>3.1438472282736556E-3</v>
      </c>
      <c r="Z59" s="130" t="s">
        <v>815</v>
      </c>
      <c r="AA59" s="115">
        <v>52</v>
      </c>
      <c r="AB59" s="133" t="s">
        <v>792</v>
      </c>
      <c r="AC59" s="121">
        <f>$B$3*$H$3*'NHIS 내원횟수'!$L$8*(계리기호!BM59-계리기호!BM$87)/(계리기호!BL59-계리기호!BL79)</f>
        <v>9.0651967733795271E-4</v>
      </c>
    </row>
    <row r="60" spans="1:29" ht="18" customHeight="1">
      <c r="A60" s="112" t="s">
        <v>814</v>
      </c>
      <c r="B60" s="115">
        <v>53</v>
      </c>
      <c r="C60" s="118" t="s">
        <v>786</v>
      </c>
      <c r="D60" s="121">
        <f>$B$3*$H$3*'NHIS 내원횟수'!$L$6*(계리기호!J60-계리기호!J$87)/(계리기호!I60-계리기호!I80)</f>
        <v>7.5826933390747767E-2</v>
      </c>
      <c r="F60" s="112" t="s">
        <v>815</v>
      </c>
      <c r="G60" s="115">
        <v>53</v>
      </c>
      <c r="H60" s="118" t="s">
        <v>786</v>
      </c>
      <c r="I60" s="121">
        <f>$B$3*$H$3*'NHIS 내원횟수'!$L$6*(계리기호!U60-계리기호!U$87)/(계리기호!T60-계리기호!T80)</f>
        <v>4.8559538868423326E-2</v>
      </c>
      <c r="K60" s="124" t="s">
        <v>814</v>
      </c>
      <c r="L60" s="115">
        <v>53</v>
      </c>
      <c r="M60" s="127" t="s">
        <v>790</v>
      </c>
      <c r="N60" s="121">
        <f>$B$3*$H$3*'NHIS 내원횟수'!$L$7*(계리기호!AF60-계리기호!AF$87)/(계리기호!AE60-계리기호!AE80)</f>
        <v>1.8832609379638501E-2</v>
      </c>
      <c r="P60" s="124" t="s">
        <v>815</v>
      </c>
      <c r="Q60" s="115">
        <v>53</v>
      </c>
      <c r="R60" s="127" t="s">
        <v>790</v>
      </c>
      <c r="S60" s="121">
        <f>$B$3*$H$3*'NHIS 내원횟수'!$L$7*(계리기호!AQ60-계리기호!AQ$87)/(계리기호!AP60-계리기호!AP80)</f>
        <v>1.2756853053246916E-2</v>
      </c>
      <c r="U60" s="130" t="s">
        <v>814</v>
      </c>
      <c r="V60" s="115">
        <v>53</v>
      </c>
      <c r="W60" s="133" t="s">
        <v>792</v>
      </c>
      <c r="X60" s="121">
        <f>$B$3*$H$3*'NHIS 내원횟수'!$L$8*(계리기호!BB60-계리기호!BB$87)/(계리기호!BA60-계리기호!BA80)</f>
        <v>3.1312312613421679E-3</v>
      </c>
      <c r="Z60" s="130" t="s">
        <v>815</v>
      </c>
      <c r="AA60" s="115">
        <v>53</v>
      </c>
      <c r="AB60" s="133" t="s">
        <v>792</v>
      </c>
      <c r="AC60" s="121">
        <f>$B$3*$H$3*'NHIS 내원횟수'!$L$8*(계리기호!BM60-계리기호!BM$87)/(계리기호!BL60-계리기호!BL80)</f>
        <v>9.15483276124725E-4</v>
      </c>
    </row>
    <row r="61" spans="1:29" ht="18" customHeight="1">
      <c r="A61" s="112" t="s">
        <v>814</v>
      </c>
      <c r="B61" s="115">
        <v>54</v>
      </c>
      <c r="C61" s="118" t="s">
        <v>786</v>
      </c>
      <c r="D61" s="121">
        <f>$B$3*$H$3*'NHIS 내원횟수'!$L$6*(계리기호!J61-계리기호!J$87)/(계리기호!I61-계리기호!I81)</f>
        <v>7.6773853354958038E-2</v>
      </c>
      <c r="F61" s="112" t="s">
        <v>815</v>
      </c>
      <c r="G61" s="115">
        <v>54</v>
      </c>
      <c r="H61" s="118" t="s">
        <v>786</v>
      </c>
      <c r="I61" s="121">
        <f>$B$3*$H$3*'NHIS 내원횟수'!$L$6*(계리기호!U61-계리기호!U$87)/(계리기호!T61-계리기호!T81)</f>
        <v>4.7882533551682857E-2</v>
      </c>
      <c r="K61" s="124" t="s">
        <v>814</v>
      </c>
      <c r="L61" s="115">
        <v>54</v>
      </c>
      <c r="M61" s="127" t="s">
        <v>790</v>
      </c>
      <c r="N61" s="121">
        <f>$B$3*$H$3*'NHIS 내원횟수'!$L$7*(계리기호!AF61-계리기호!AF$87)/(계리기호!AE61-계리기호!AE81)</f>
        <v>1.8929055863844708E-2</v>
      </c>
      <c r="P61" s="124" t="s">
        <v>815</v>
      </c>
      <c r="Q61" s="115">
        <v>54</v>
      </c>
      <c r="R61" s="127" t="s">
        <v>790</v>
      </c>
      <c r="S61" s="121">
        <f>$B$3*$H$3*'NHIS 내원횟수'!$L$7*(계리기호!AQ61-계리기호!AQ$87)/(계리기호!AP61-계리기호!AP81)</f>
        <v>1.2817487350969129E-2</v>
      </c>
      <c r="U61" s="130" t="s">
        <v>814</v>
      </c>
      <c r="V61" s="115">
        <v>54</v>
      </c>
      <c r="W61" s="133" t="s">
        <v>792</v>
      </c>
      <c r="X61" s="121">
        <f>$B$3*$H$3*'NHIS 내원횟수'!$L$8*(계리기호!BB61-계리기호!BB$87)/(계리기호!BA61-계리기호!BA81)</f>
        <v>3.114131968582299E-3</v>
      </c>
      <c r="Z61" s="130" t="s">
        <v>815</v>
      </c>
      <c r="AA61" s="115">
        <v>54</v>
      </c>
      <c r="AB61" s="133" t="s">
        <v>792</v>
      </c>
      <c r="AC61" s="121">
        <f>$B$3*$H$3*'NHIS 내원횟수'!$L$8*(계리기호!BM61-계리기호!BM$87)/(계리기호!BL61-계리기호!BL81)</f>
        <v>9.2360004957202455E-4</v>
      </c>
    </row>
    <row r="62" spans="1:29" ht="18" customHeight="1">
      <c r="A62" s="112" t="s">
        <v>814</v>
      </c>
      <c r="B62" s="115">
        <v>55</v>
      </c>
      <c r="C62" s="118" t="s">
        <v>786</v>
      </c>
      <c r="D62" s="121">
        <f>$B$3*$H$3*'NHIS 내원횟수'!$L$6*(계리기호!J62-계리기호!J$87)/(계리기호!I62-계리기호!I82)</f>
        <v>7.7656751169028204E-2</v>
      </c>
      <c r="F62" s="112" t="s">
        <v>815</v>
      </c>
      <c r="G62" s="115">
        <v>55</v>
      </c>
      <c r="H62" s="118" t="s">
        <v>786</v>
      </c>
      <c r="I62" s="121">
        <f>$B$3*$H$3*'NHIS 내원횟수'!$L$6*(계리기호!U62-계리기호!U$87)/(계리기호!T62-계리기호!T82)</f>
        <v>4.7168829508482571E-2</v>
      </c>
      <c r="K62" s="124" t="s">
        <v>814</v>
      </c>
      <c r="L62" s="115">
        <v>55</v>
      </c>
      <c r="M62" s="127" t="s">
        <v>790</v>
      </c>
      <c r="N62" s="121">
        <f>$B$3*$H$3*'NHIS 내원횟수'!$L$7*(계리기호!AF62-계리기호!AF$87)/(계리기호!AE62-계리기호!AE82)</f>
        <v>1.900137971384093E-2</v>
      </c>
      <c r="P62" s="124" t="s">
        <v>815</v>
      </c>
      <c r="Q62" s="115">
        <v>55</v>
      </c>
      <c r="R62" s="127" t="s">
        <v>790</v>
      </c>
      <c r="S62" s="121">
        <f>$B$3*$H$3*'NHIS 내원횟수'!$L$7*(계리기호!AQ62-계리기호!AQ$87)/(계리기호!AP62-계리기호!AP82)</f>
        <v>1.286548277584001E-2</v>
      </c>
      <c r="U62" s="130" t="s">
        <v>814</v>
      </c>
      <c r="V62" s="115">
        <v>55</v>
      </c>
      <c r="W62" s="133" t="s">
        <v>792</v>
      </c>
      <c r="X62" s="121">
        <f>$B$3*$H$3*'NHIS 내원횟수'!$L$8*(계리기호!BB62-계리기호!BB$87)/(계리기호!BA62-계리기호!BA82)</f>
        <v>3.0925188657964162E-3</v>
      </c>
      <c r="Z62" s="130" t="s">
        <v>815</v>
      </c>
      <c r="AA62" s="115">
        <v>55</v>
      </c>
      <c r="AB62" s="133" t="s">
        <v>792</v>
      </c>
      <c r="AC62" s="121">
        <f>$B$3*$H$3*'NHIS 내원횟수'!$L$8*(계리기호!BM62-계리기호!BM$87)/(계리기호!BL62-계리기호!BL82)</f>
        <v>9.3087902722860849E-4</v>
      </c>
    </row>
    <row r="63" spans="1:29" ht="18" customHeight="1">
      <c r="A63" s="112" t="s">
        <v>814</v>
      </c>
      <c r="B63" s="115">
        <v>56</v>
      </c>
      <c r="C63" s="118" t="s">
        <v>786</v>
      </c>
      <c r="D63" s="121">
        <f>$B$3*$H$3*'NHIS 내원횟수'!$L$6*(계리기호!J63-계리기호!J$87)/(계리기호!I63-계리기호!I83)</f>
        <v>7.8477236971325637E-2</v>
      </c>
      <c r="F63" s="112" t="s">
        <v>815</v>
      </c>
      <c r="G63" s="115">
        <v>56</v>
      </c>
      <c r="H63" s="118" t="s">
        <v>786</v>
      </c>
      <c r="I63" s="121">
        <f>$B$3*$H$3*'NHIS 내원횟수'!$L$6*(계리기호!U63-계리기호!U$87)/(계리기호!T63-계리기호!T83)</f>
        <v>4.6418021402650243E-2</v>
      </c>
      <c r="K63" s="124" t="s">
        <v>814</v>
      </c>
      <c r="L63" s="115">
        <v>56</v>
      </c>
      <c r="M63" s="127" t="s">
        <v>790</v>
      </c>
      <c r="N63" s="121">
        <f>$B$3*$H$3*'NHIS 내원횟수'!$L$7*(계리기호!AF63-계리기호!AF$87)/(계리기호!AE63-계리기호!AE83)</f>
        <v>1.9049594505389299E-2</v>
      </c>
      <c r="P63" s="124" t="s">
        <v>815</v>
      </c>
      <c r="Q63" s="115">
        <v>56</v>
      </c>
      <c r="R63" s="127" t="s">
        <v>790</v>
      </c>
      <c r="S63" s="121">
        <f>$B$3*$H$3*'NHIS 내원횟수'!$L$7*(계리기호!AQ63-계리기호!AQ$87)/(계리기호!AP63-계리기호!AP83)</f>
        <v>1.2900935190563541E-2</v>
      </c>
      <c r="U63" s="130" t="s">
        <v>814</v>
      </c>
      <c r="V63" s="115">
        <v>56</v>
      </c>
      <c r="W63" s="133" t="s">
        <v>792</v>
      </c>
      <c r="X63" s="121">
        <f>$B$3*$H$3*'NHIS 내원횟수'!$L$8*(계리기호!BB63-계리기호!BB$87)/(계리기호!BA63-계리기호!BA83)</f>
        <v>3.0663385804487338E-3</v>
      </c>
      <c r="Z63" s="130" t="s">
        <v>815</v>
      </c>
      <c r="AA63" s="115">
        <v>56</v>
      </c>
      <c r="AB63" s="133" t="s">
        <v>792</v>
      </c>
      <c r="AC63" s="121">
        <f>$B$3*$H$3*'NHIS 내원횟수'!$L$8*(계리기호!BM63-계리기호!BM$87)/(계리기호!BL63-계리기호!BL83)</f>
        <v>9.3732897280644572E-4</v>
      </c>
    </row>
    <row r="64" spans="1:29" ht="18" customHeight="1">
      <c r="A64" s="112" t="s">
        <v>814</v>
      </c>
      <c r="B64" s="115">
        <v>57</v>
      </c>
      <c r="C64" s="118" t="s">
        <v>786</v>
      </c>
      <c r="D64" s="121">
        <f>$B$3*$H$3*'NHIS 내원횟수'!$L$6*(계리기호!J64-계리기호!J$87)/(계리기호!I64-계리기호!I84)</f>
        <v>7.923674400209911E-2</v>
      </c>
      <c r="F64" s="112" t="s">
        <v>815</v>
      </c>
      <c r="G64" s="115">
        <v>57</v>
      </c>
      <c r="H64" s="118" t="s">
        <v>786</v>
      </c>
      <c r="I64" s="121">
        <f>$B$3*$H$3*'NHIS 내원횟수'!$L$6*(계리기호!U64-계리기호!U$87)/(계리기호!T64-계리기호!T84)</f>
        <v>4.5629516805400491E-2</v>
      </c>
      <c r="K64" s="124" t="s">
        <v>814</v>
      </c>
      <c r="L64" s="115">
        <v>57</v>
      </c>
      <c r="M64" s="127" t="s">
        <v>790</v>
      </c>
      <c r="N64" s="121">
        <f>$B$3*$H$3*'NHIS 내원횟수'!$L$7*(계리기호!AF64-계리기호!AF$87)/(계리기호!AE64-계리기호!AE84)</f>
        <v>1.9073645849333631E-2</v>
      </c>
      <c r="P64" s="124" t="s">
        <v>815</v>
      </c>
      <c r="Q64" s="115">
        <v>57</v>
      </c>
      <c r="R64" s="127" t="s">
        <v>790</v>
      </c>
      <c r="S64" s="121">
        <f>$B$3*$H$3*'NHIS 내원횟수'!$L$7*(계리기호!AQ64-계리기호!AQ$87)/(계리기호!AP64-계리기호!AP84)</f>
        <v>1.2923917027765108E-2</v>
      </c>
      <c r="U64" s="130" t="s">
        <v>814</v>
      </c>
      <c r="V64" s="115">
        <v>57</v>
      </c>
      <c r="W64" s="133" t="s">
        <v>792</v>
      </c>
      <c r="X64" s="121">
        <f>$B$3*$H$3*'NHIS 내원횟수'!$L$8*(계리기호!BB64-계리기호!BB$87)/(계리기호!BA64-계리기호!BA84)</f>
        <v>3.0355226427499532E-3</v>
      </c>
      <c r="Z64" s="130" t="s">
        <v>815</v>
      </c>
      <c r="AA64" s="115">
        <v>57</v>
      </c>
      <c r="AB64" s="133" t="s">
        <v>792</v>
      </c>
      <c r="AC64" s="121">
        <f>$B$3*$H$3*'NHIS 내원횟수'!$L$8*(계리기호!BM64-계리기호!BM$87)/(계리기호!BL64-계리기호!BL84)</f>
        <v>9.4295828058640148E-4</v>
      </c>
    </row>
    <row r="65" spans="1:29" ht="18" customHeight="1">
      <c r="A65" s="112" t="s">
        <v>814</v>
      </c>
      <c r="B65" s="115">
        <v>58</v>
      </c>
      <c r="C65" s="118" t="s">
        <v>786</v>
      </c>
      <c r="D65" s="121">
        <f>$B$3*$H$3*'NHIS 내원횟수'!$L$6*(계리기호!J65-계리기호!J$87)/(계리기호!I65-계리기호!I85)</f>
        <v>7.9939299058594107E-2</v>
      </c>
      <c r="F65" s="112" t="s">
        <v>815</v>
      </c>
      <c r="G65" s="115">
        <v>58</v>
      </c>
      <c r="H65" s="118" t="s">
        <v>786</v>
      </c>
      <c r="I65" s="121">
        <f>$B$3*$H$3*'NHIS 내원횟수'!$L$6*(계리기호!U65-계리기호!U$87)/(계리기호!T65-계리기호!T85)</f>
        <v>4.4804284850160317E-2</v>
      </c>
      <c r="K65" s="124" t="s">
        <v>814</v>
      </c>
      <c r="L65" s="115">
        <v>58</v>
      </c>
      <c r="M65" s="127" t="s">
        <v>790</v>
      </c>
      <c r="N65" s="121">
        <f>$B$3*$H$3*'NHIS 내원횟수'!$L$7*(계리기호!AF65-계리기호!AF$87)/(계리기호!AE65-계리기호!AE85)</f>
        <v>1.907418375372328E-2</v>
      </c>
      <c r="P65" s="124" t="s">
        <v>815</v>
      </c>
      <c r="Q65" s="115">
        <v>58</v>
      </c>
      <c r="R65" s="127" t="s">
        <v>790</v>
      </c>
      <c r="S65" s="121">
        <f>$B$3*$H$3*'NHIS 내원횟수'!$L$7*(계리기호!AQ65-계리기호!AQ$87)/(계리기호!AP65-계리기호!AP85)</f>
        <v>1.2935013268258777E-2</v>
      </c>
      <c r="U65" s="130" t="s">
        <v>814</v>
      </c>
      <c r="V65" s="115">
        <v>58</v>
      </c>
      <c r="W65" s="133" t="s">
        <v>792</v>
      </c>
      <c r="X65" s="121">
        <f>$B$3*$H$3*'NHIS 내원횟수'!$L$8*(계리기호!BB65-계리기호!BB$87)/(계리기호!BA65-계리기호!BA85)</f>
        <v>3.0001122356383492E-3</v>
      </c>
      <c r="Z65" s="130" t="s">
        <v>815</v>
      </c>
      <c r="AA65" s="115">
        <v>58</v>
      </c>
      <c r="AB65" s="133" t="s">
        <v>792</v>
      </c>
      <c r="AC65" s="121">
        <f>$B$3*$H$3*'NHIS 내원횟수'!$L$8*(계리기호!BM65-계리기호!BM$87)/(계리기호!BL65-계리기호!BL85)</f>
        <v>9.4781587007520304E-4</v>
      </c>
    </row>
    <row r="66" spans="1:29" ht="18" customHeight="1">
      <c r="A66" s="112" t="s">
        <v>814</v>
      </c>
      <c r="B66" s="115">
        <v>59</v>
      </c>
      <c r="C66" s="118" t="s">
        <v>786</v>
      </c>
      <c r="D66" s="121">
        <f>$B$3*$H$3*'NHIS 내원횟수'!$L$6*(계리기호!J66-계리기호!J$87)/(계리기호!I66-계리기호!I86)</f>
        <v>8.0588401811844318E-2</v>
      </c>
      <c r="F66" s="112" t="s">
        <v>815</v>
      </c>
      <c r="G66" s="115">
        <v>59</v>
      </c>
      <c r="H66" s="118" t="s">
        <v>786</v>
      </c>
      <c r="I66" s="121">
        <f>$B$3*$H$3*'NHIS 내원횟수'!$L$6*(계리기호!U66-계리기호!U$87)/(계리기호!T66-계리기호!T86)</f>
        <v>4.3942905902795745E-2</v>
      </c>
      <c r="K66" s="124" t="s">
        <v>814</v>
      </c>
      <c r="L66" s="115">
        <v>59</v>
      </c>
      <c r="M66" s="127" t="s">
        <v>790</v>
      </c>
      <c r="N66" s="121">
        <f>$B$3*$H$3*'NHIS 내원횟수'!$L$7*(계리기호!AF66-계리기호!AF$87)/(계리기호!AE66-계리기호!AE86)</f>
        <v>1.9051678429545228E-2</v>
      </c>
      <c r="P66" s="124" t="s">
        <v>815</v>
      </c>
      <c r="Q66" s="115">
        <v>59</v>
      </c>
      <c r="R66" s="127" t="s">
        <v>790</v>
      </c>
      <c r="S66" s="121">
        <f>$B$3*$H$3*'NHIS 내원횟수'!$L$7*(계리기호!AQ66-계리기호!AQ$87)/(계리기호!AP66-계리기호!AP86)</f>
        <v>1.2934769693189133E-2</v>
      </c>
      <c r="U66" s="130" t="s">
        <v>814</v>
      </c>
      <c r="V66" s="115">
        <v>59</v>
      </c>
      <c r="W66" s="133" t="s">
        <v>792</v>
      </c>
      <c r="X66" s="121">
        <f>$B$3*$H$3*'NHIS 내원횟수'!$L$8*(계리기호!BB66-계리기호!BB$87)/(계리기호!BA66-계리기호!BA86)</f>
        <v>2.9601060738249883E-3</v>
      </c>
      <c r="Z66" s="130" t="s">
        <v>815</v>
      </c>
      <c r="AA66" s="115">
        <v>59</v>
      </c>
      <c r="AB66" s="133" t="s">
        <v>792</v>
      </c>
      <c r="AC66" s="121">
        <f>$B$3*$H$3*'NHIS 내원횟수'!$L$8*(계리기호!BM66-계리기호!BM$87)/(계리기호!BL66-계리기호!BL86)</f>
        <v>9.51950472754413E-4</v>
      </c>
    </row>
    <row r="67" spans="1:29" ht="18" customHeight="1">
      <c r="A67" s="112" t="s">
        <v>814</v>
      </c>
      <c r="B67" s="115">
        <v>60</v>
      </c>
      <c r="C67" s="118" t="s">
        <v>786</v>
      </c>
      <c r="D67" s="121">
        <f>$B$3*$H$3*'NHIS 내원횟수'!$L$6*(계리기호!J67-계리기호!J$87)/(계리기호!I67-계리기호!I87)</f>
        <v>8.1186907111135825E-2</v>
      </c>
      <c r="F67" s="112" t="s">
        <v>815</v>
      </c>
      <c r="G67" s="115">
        <v>60</v>
      </c>
      <c r="H67" s="118" t="s">
        <v>786</v>
      </c>
      <c r="I67" s="121">
        <f>$B$3*$H$3*'NHIS 내원횟수'!$L$6*(계리기호!U67-계리기호!U$87)/(계리기호!T67-계리기호!T87)</f>
        <v>4.3045520916261217E-2</v>
      </c>
      <c r="K67" s="124" t="s">
        <v>814</v>
      </c>
      <c r="L67" s="115">
        <v>60</v>
      </c>
      <c r="M67" s="127" t="s">
        <v>790</v>
      </c>
      <c r="N67" s="121">
        <f>$B$3*$H$3*'NHIS 내원횟수'!$L$7*(계리기호!AF67-계리기호!AF$87)/(계리기호!AE67-계리기호!AE87)</f>
        <v>1.9006379619110898E-2</v>
      </c>
      <c r="P67" s="124" t="s">
        <v>815</v>
      </c>
      <c r="Q67" s="115">
        <v>60</v>
      </c>
      <c r="R67" s="127" t="s">
        <v>790</v>
      </c>
      <c r="S67" s="121">
        <f>$B$3*$H$3*'NHIS 내원횟수'!$L$7*(계리기호!AQ67-계리기호!AQ$87)/(계리기호!AP67-계리기호!AP87)</f>
        <v>1.2923679229470304E-2</v>
      </c>
      <c r="U67" s="130" t="s">
        <v>814</v>
      </c>
      <c r="V67" s="115">
        <v>60</v>
      </c>
      <c r="W67" s="133" t="s">
        <v>792</v>
      </c>
      <c r="X67" s="121">
        <f>$B$3*$H$3*'NHIS 내원횟수'!$L$8*(계리기호!BB67-계리기호!BB$87)/(계리기호!BA67-계리기호!BA87)</f>
        <v>2.9154528123833201E-3</v>
      </c>
      <c r="Z67" s="130" t="s">
        <v>815</v>
      </c>
      <c r="AA67" s="115">
        <v>60</v>
      </c>
      <c r="AB67" s="133" t="s">
        <v>792</v>
      </c>
      <c r="AC67" s="121">
        <f>$B$3*$H$3*'NHIS 내원횟수'!$L$8*(계리기호!BM67-계리기호!BM$87)/(계리기호!BL67-계리기호!BL87)</f>
        <v>9.5540985971236646E-4</v>
      </c>
    </row>
    <row r="68" spans="1:29" ht="18" customHeight="1">
      <c r="A68" s="112" t="s">
        <v>814</v>
      </c>
      <c r="B68" s="115">
        <v>61</v>
      </c>
      <c r="C68" s="118" t="s">
        <v>786</v>
      </c>
      <c r="D68" s="121">
        <f>$B$3*$H$3*'NHIS 내원횟수'!$L$6*(계리기호!J68-계리기호!J$87)/(계리기호!I68-계리기호!I87)</f>
        <v>8.4074915983745072E-2</v>
      </c>
      <c r="F68" s="112" t="s">
        <v>815</v>
      </c>
      <c r="G68" s="115">
        <v>61</v>
      </c>
      <c r="H68" s="118" t="s">
        <v>786</v>
      </c>
      <c r="I68" s="121">
        <f>$B$3*$H$3*'NHIS 내원횟수'!$L$6*(계리기호!U68-계리기호!U$87)/(계리기호!T68-계리기호!T87)</f>
        <v>4.3612705597663018E-2</v>
      </c>
      <c r="K68" s="124" t="s">
        <v>814</v>
      </c>
      <c r="L68" s="115">
        <v>61</v>
      </c>
      <c r="M68" s="127" t="s">
        <v>790</v>
      </c>
      <c r="N68" s="121">
        <f>$B$3*$H$3*'NHIS 내원횟수'!$L$7*(계리기호!AF68-계리기호!AF$87)/(계리기호!AE68-계리기호!AE87)</f>
        <v>1.9569111445054282E-2</v>
      </c>
      <c r="P68" s="124" t="s">
        <v>815</v>
      </c>
      <c r="Q68" s="115">
        <v>61</v>
      </c>
      <c r="R68" s="127" t="s">
        <v>790</v>
      </c>
      <c r="S68" s="121">
        <f>$B$3*$H$3*'NHIS 내원횟수'!$L$7*(계리기호!AQ68-계리기호!AQ$87)/(계리기호!AP68-계리기호!AP87)</f>
        <v>1.3385036722218458E-2</v>
      </c>
      <c r="U68" s="130" t="s">
        <v>814</v>
      </c>
      <c r="V68" s="115">
        <v>61</v>
      </c>
      <c r="W68" s="133" t="s">
        <v>792</v>
      </c>
      <c r="X68" s="121">
        <f>$B$3*$H$3*'NHIS 내원횟수'!$L$8*(계리기호!BB68-계리기호!BB$87)/(계리기호!BA68-계리기호!BA87)</f>
        <v>2.9664300136092755E-3</v>
      </c>
      <c r="Z68" s="130" t="s">
        <v>815</v>
      </c>
      <c r="AA68" s="115">
        <v>61</v>
      </c>
      <c r="AB68" s="133" t="s">
        <v>792</v>
      </c>
      <c r="AC68" s="121">
        <f>$B$3*$H$3*'NHIS 내원횟수'!$L$8*(계리기호!BM68-계리기호!BM$87)/(계리기호!BL68-계리기호!BL87)</f>
        <v>9.9564160423128482E-4</v>
      </c>
    </row>
    <row r="69" spans="1:29" ht="18" customHeight="1">
      <c r="A69" s="112" t="s">
        <v>814</v>
      </c>
      <c r="B69" s="115">
        <v>62</v>
      </c>
      <c r="C69" s="118" t="s">
        <v>786</v>
      </c>
      <c r="D69" s="121">
        <f>$B$3*$H$3*'NHIS 내원횟수'!$L$6*(계리기호!J69-계리기호!J$87)/(계리기호!I69-계리기호!I87)</f>
        <v>8.6964134598111364E-2</v>
      </c>
      <c r="F69" s="112" t="s">
        <v>815</v>
      </c>
      <c r="G69" s="115">
        <v>62</v>
      </c>
      <c r="H69" s="118" t="s">
        <v>786</v>
      </c>
      <c r="I69" s="121">
        <f>$B$3*$H$3*'NHIS 내원횟수'!$L$6*(계리기호!U69-계리기호!U$87)/(계리기호!T69-계리기호!T87)</f>
        <v>4.4187175411641667E-2</v>
      </c>
      <c r="K69" s="124" t="s">
        <v>814</v>
      </c>
      <c r="L69" s="115">
        <v>62</v>
      </c>
      <c r="M69" s="127" t="s">
        <v>790</v>
      </c>
      <c r="N69" s="121">
        <f>$B$3*$H$3*'NHIS 내원횟수'!$L$7*(계리기호!AF69-계리기호!AF$87)/(계리기호!AE69-계리기호!AE87)</f>
        <v>2.0133389478807658E-2</v>
      </c>
      <c r="P69" s="124" t="s">
        <v>815</v>
      </c>
      <c r="Q69" s="115">
        <v>62</v>
      </c>
      <c r="R69" s="127" t="s">
        <v>790</v>
      </c>
      <c r="S69" s="121">
        <f>$B$3*$H$3*'NHIS 내원횟수'!$L$7*(계리기호!AQ69-계리기호!AQ$87)/(계리기호!AP69-계리기호!AP87)</f>
        <v>1.3851820509850519E-2</v>
      </c>
      <c r="U69" s="130" t="s">
        <v>814</v>
      </c>
      <c r="V69" s="115">
        <v>62</v>
      </c>
      <c r="W69" s="133" t="s">
        <v>792</v>
      </c>
      <c r="X69" s="121">
        <f>$B$3*$H$3*'NHIS 내원횟수'!$L$8*(계리기호!BB69-계리기호!BB$87)/(계리기호!BA69-계리기호!BA87)</f>
        <v>3.0169465834624085E-3</v>
      </c>
      <c r="Z69" s="130" t="s">
        <v>815</v>
      </c>
      <c r="AA69" s="115">
        <v>62</v>
      </c>
      <c r="AB69" s="133" t="s">
        <v>792</v>
      </c>
      <c r="AC69" s="121">
        <f>$B$3*$H$3*'NHIS 내원횟수'!$L$8*(계리기호!BM69-계리기호!BM$87)/(계리기호!BL69-계리기호!BL87)</f>
        <v>1.0361998530864825E-3</v>
      </c>
    </row>
    <row r="70" spans="1:29" ht="18" customHeight="1">
      <c r="A70" s="112" t="s">
        <v>814</v>
      </c>
      <c r="B70" s="115">
        <v>63</v>
      </c>
      <c r="C70" s="118" t="s">
        <v>786</v>
      </c>
      <c r="D70" s="121">
        <f>$B$3*$H$3*'NHIS 내원횟수'!$L$6*(계리기호!J70-계리기호!J$87)/(계리기호!I70-계리기호!I87)</f>
        <v>8.9855665399913798E-2</v>
      </c>
      <c r="F70" s="112" t="s">
        <v>815</v>
      </c>
      <c r="G70" s="115">
        <v>63</v>
      </c>
      <c r="H70" s="118" t="s">
        <v>786</v>
      </c>
      <c r="I70" s="121">
        <f>$B$3*$H$3*'NHIS 내원횟수'!$L$6*(계리기호!U70-계리기호!U$87)/(계리기호!T70-계리기호!T87)</f>
        <v>4.4770763139244059E-2</v>
      </c>
      <c r="K70" s="124" t="s">
        <v>814</v>
      </c>
      <c r="L70" s="115">
        <v>63</v>
      </c>
      <c r="M70" s="127" t="s">
        <v>790</v>
      </c>
      <c r="N70" s="121">
        <f>$B$3*$H$3*'NHIS 내원횟수'!$L$7*(계리기호!AF70-계리기호!AF$87)/(계리기호!AE70-계리기호!AE87)</f>
        <v>2.069988169567244E-2</v>
      </c>
      <c r="P70" s="124" t="s">
        <v>815</v>
      </c>
      <c r="Q70" s="115">
        <v>63</v>
      </c>
      <c r="R70" s="127" t="s">
        <v>790</v>
      </c>
      <c r="S70" s="121">
        <f>$B$3*$H$3*'NHIS 내원횟수'!$L$7*(계리기호!AQ70-계리기호!AQ$87)/(계리기호!AP70-계리기호!AP87)</f>
        <v>1.432534919316336E-2</v>
      </c>
      <c r="U70" s="130" t="s">
        <v>814</v>
      </c>
      <c r="V70" s="115">
        <v>63</v>
      </c>
      <c r="W70" s="133" t="s">
        <v>792</v>
      </c>
      <c r="X70" s="121">
        <f>$B$3*$H$3*'NHIS 내원횟수'!$L$8*(계리기호!BB70-계리기호!BB$87)/(계리기호!BA70-계리기호!BA87)</f>
        <v>3.0669647010793497E-3</v>
      </c>
      <c r="Z70" s="130" t="s">
        <v>815</v>
      </c>
      <c r="AA70" s="115">
        <v>63</v>
      </c>
      <c r="AB70" s="133" t="s">
        <v>792</v>
      </c>
      <c r="AC70" s="121">
        <f>$B$3*$H$3*'NHIS 내원횟수'!$L$8*(계리기호!BM70-계리기호!BM$87)/(계리기호!BL70-계리기호!BL87)</f>
        <v>1.0771776041910951E-3</v>
      </c>
    </row>
    <row r="71" spans="1:29" ht="18" customHeight="1">
      <c r="A71" s="112" t="s">
        <v>814</v>
      </c>
      <c r="B71" s="115">
        <v>64</v>
      </c>
      <c r="C71" s="118" t="s">
        <v>786</v>
      </c>
      <c r="D71" s="121">
        <f>$B$3*$H$3*'NHIS 내원횟수'!$L$6*(계리기호!J71-계리기호!J$87)/(계리기호!I71-계리기호!I87)</f>
        <v>9.2751291620374071E-2</v>
      </c>
      <c r="F71" s="112" t="s">
        <v>815</v>
      </c>
      <c r="G71" s="115">
        <v>64</v>
      </c>
      <c r="H71" s="118" t="s">
        <v>786</v>
      </c>
      <c r="I71" s="121">
        <f>$B$3*$H$3*'NHIS 내원횟수'!$L$6*(계리기호!U71-계리기호!U$87)/(계리기호!T71-계리기호!T87)</f>
        <v>4.5365783505759857E-2</v>
      </c>
      <c r="K71" s="124" t="s">
        <v>814</v>
      </c>
      <c r="L71" s="115">
        <v>64</v>
      </c>
      <c r="M71" s="127" t="s">
        <v>790</v>
      </c>
      <c r="N71" s="121">
        <f>$B$3*$H$3*'NHIS 내원횟수'!$L$7*(계리기호!AF71-계리기호!AF$87)/(계리기호!AE71-계리기호!AE87)</f>
        <v>2.1269469000307541E-2</v>
      </c>
      <c r="P71" s="124" t="s">
        <v>815</v>
      </c>
      <c r="Q71" s="115">
        <v>64</v>
      </c>
      <c r="R71" s="127" t="s">
        <v>790</v>
      </c>
      <c r="S71" s="121">
        <f>$B$3*$H$3*'NHIS 내원횟수'!$L$7*(계리기호!AQ71-계리기호!AQ$87)/(계리기호!AP71-계리기호!AP87)</f>
        <v>1.4807290988540608E-2</v>
      </c>
      <c r="U71" s="130" t="s">
        <v>814</v>
      </c>
      <c r="V71" s="115">
        <v>64</v>
      </c>
      <c r="W71" s="133" t="s">
        <v>792</v>
      </c>
      <c r="X71" s="121">
        <f>$B$3*$H$3*'NHIS 내원횟수'!$L$8*(계리기호!BB71-계리기호!BB$87)/(계리기호!BA71-계리기호!BA87)</f>
        <v>3.1164400533544938E-3</v>
      </c>
      <c r="Z71" s="130" t="s">
        <v>815</v>
      </c>
      <c r="AA71" s="115">
        <v>64</v>
      </c>
      <c r="AB71" s="133" t="s">
        <v>792</v>
      </c>
      <c r="AC71" s="121">
        <f>$B$3*$H$3*'NHIS 내원횟수'!$L$8*(계리기호!BM71-계리기호!BM$87)/(계리기호!BL71-계리기호!BL87)</f>
        <v>1.1186921695976763E-3</v>
      </c>
    </row>
    <row r="72" spans="1:29" ht="18" customHeight="1">
      <c r="A72" s="112" t="s">
        <v>814</v>
      </c>
      <c r="B72" s="115">
        <v>65</v>
      </c>
      <c r="C72" s="118" t="s">
        <v>786</v>
      </c>
      <c r="D72" s="121">
        <f>$B$3*$H$3*'NHIS 내원횟수'!$L$6*(계리기호!J72-계리기호!J$87)/(계리기호!I72-계리기호!I87)</f>
        <v>9.5653714964943098E-2</v>
      </c>
      <c r="F72" s="112" t="s">
        <v>815</v>
      </c>
      <c r="G72" s="115">
        <v>65</v>
      </c>
      <c r="H72" s="118" t="s">
        <v>786</v>
      </c>
      <c r="I72" s="121">
        <f>$B$3*$H$3*'NHIS 내원횟수'!$L$6*(계리기호!U72-계리기호!U$87)/(계리기호!T72-계리기호!T87)</f>
        <v>4.5975195573527507E-2</v>
      </c>
      <c r="K72" s="124" t="s">
        <v>814</v>
      </c>
      <c r="L72" s="115">
        <v>65</v>
      </c>
      <c r="M72" s="127" t="s">
        <v>790</v>
      </c>
      <c r="N72" s="121">
        <f>$B$3*$H$3*'NHIS 내원횟수'!$L$7*(계리기호!AF72-계리기호!AF$87)/(계리기호!AE72-계리기호!AE87)</f>
        <v>2.1843317813374962E-2</v>
      </c>
      <c r="P72" s="124" t="s">
        <v>815</v>
      </c>
      <c r="Q72" s="115">
        <v>65</v>
      </c>
      <c r="R72" s="127" t="s">
        <v>790</v>
      </c>
      <c r="S72" s="121">
        <f>$B$3*$H$3*'NHIS 내원횟수'!$L$7*(계리기호!AQ72-계리기호!AQ$87)/(계리기호!AP72-계리기호!AP87)</f>
        <v>1.5299781551797615E-2</v>
      </c>
      <c r="U72" s="130" t="s">
        <v>814</v>
      </c>
      <c r="V72" s="115">
        <v>65</v>
      </c>
      <c r="W72" s="133" t="s">
        <v>792</v>
      </c>
      <c r="X72" s="121">
        <f>$B$3*$H$3*'NHIS 내원횟수'!$L$8*(계리기호!BB72-계리기호!BB$87)/(계리기호!BA72-계리기호!BA87)</f>
        <v>3.1653196341693548E-3</v>
      </c>
      <c r="Z72" s="130" t="s">
        <v>815</v>
      </c>
      <c r="AA72" s="115">
        <v>65</v>
      </c>
      <c r="AB72" s="133" t="s">
        <v>792</v>
      </c>
      <c r="AC72" s="121">
        <f>$B$3*$H$3*'NHIS 내원횟수'!$L$8*(계리기호!BM72-계리기호!BM$87)/(계리기호!BL72-계리기호!BL87)</f>
        <v>1.1608933558758673E-3</v>
      </c>
    </row>
    <row r="73" spans="1:29" ht="18" customHeight="1">
      <c r="A73" s="112" t="s">
        <v>814</v>
      </c>
      <c r="B73" s="115">
        <v>66</v>
      </c>
      <c r="C73" s="118" t="s">
        <v>786</v>
      </c>
      <c r="D73" s="121">
        <f>$B$3*$H$3*'NHIS 내원횟수'!$L$6*(계리기호!J73-계리기호!J$87)/(계리기호!I73-계리기호!I87)</f>
        <v>9.8566897204616727E-2</v>
      </c>
      <c r="F73" s="112" t="s">
        <v>815</v>
      </c>
      <c r="G73" s="115">
        <v>66</v>
      </c>
      <c r="H73" s="118" t="s">
        <v>786</v>
      </c>
      <c r="I73" s="121">
        <f>$B$3*$H$3*'NHIS 내원횟수'!$L$6*(계리기호!U73-계리기호!U$87)/(계리기호!T73-계리기호!T87)</f>
        <v>4.660283554908283E-2</v>
      </c>
      <c r="K73" s="124" t="s">
        <v>814</v>
      </c>
      <c r="L73" s="115">
        <v>66</v>
      </c>
      <c r="M73" s="127" t="s">
        <v>790</v>
      </c>
      <c r="N73" s="121">
        <f>$B$3*$H$3*'NHIS 내원횟수'!$L$7*(계리기호!AF73-계리기호!AF$87)/(계리기호!AE73-계리기호!AE87)</f>
        <v>2.2422984388057302E-2</v>
      </c>
      <c r="P73" s="124" t="s">
        <v>815</v>
      </c>
      <c r="Q73" s="115">
        <v>66</v>
      </c>
      <c r="R73" s="127" t="s">
        <v>790</v>
      </c>
      <c r="S73" s="121">
        <f>$B$3*$H$3*'NHIS 내원횟수'!$L$7*(계리기호!AQ73-계리기호!AQ$87)/(계리기호!AP73-계리기호!AP87)</f>
        <v>1.5805592887624495E-2</v>
      </c>
      <c r="U73" s="130" t="s">
        <v>814</v>
      </c>
      <c r="V73" s="115">
        <v>66</v>
      </c>
      <c r="W73" s="133" t="s">
        <v>792</v>
      </c>
      <c r="X73" s="121">
        <f>$B$3*$H$3*'NHIS 내원횟수'!$L$8*(계리기호!BB73-계리기호!BB$87)/(계리기호!BA73-계리기호!BA87)</f>
        <v>3.2135385781234971E-3</v>
      </c>
      <c r="Z73" s="130" t="s">
        <v>815</v>
      </c>
      <c r="AA73" s="115">
        <v>66</v>
      </c>
      <c r="AB73" s="133" t="s">
        <v>792</v>
      </c>
      <c r="AC73" s="121">
        <f>$B$3*$H$3*'NHIS 내원횟수'!$L$8*(계리기호!BM73-계리기호!BM$87)/(계리기호!BL73-계리기호!BL87)</f>
        <v>1.2039751871122772E-3</v>
      </c>
    </row>
    <row r="74" spans="1:29" ht="18" customHeight="1">
      <c r="A74" s="112" t="s">
        <v>814</v>
      </c>
      <c r="B74" s="115">
        <v>67</v>
      </c>
      <c r="C74" s="118" t="s">
        <v>786</v>
      </c>
      <c r="D74" s="121">
        <f>$B$3*$H$3*'NHIS 내원횟수'!$L$6*(계리기호!J74-계리기호!J$87)/(계리기호!I74-계리기호!I87)</f>
        <v>0.10149898318022227</v>
      </c>
      <c r="F74" s="112" t="s">
        <v>815</v>
      </c>
      <c r="G74" s="115">
        <v>67</v>
      </c>
      <c r="H74" s="118" t="s">
        <v>786</v>
      </c>
      <c r="I74" s="121">
        <f>$B$3*$H$3*'NHIS 내원횟수'!$L$6*(계리기호!U74-계리기호!U$87)/(계리기호!T74-계리기호!T87)</f>
        <v>4.7254343286824499E-2</v>
      </c>
      <c r="K74" s="124" t="s">
        <v>814</v>
      </c>
      <c r="L74" s="115">
        <v>67</v>
      </c>
      <c r="M74" s="127" t="s">
        <v>790</v>
      </c>
      <c r="N74" s="121">
        <f>$B$3*$H$3*'NHIS 내원횟수'!$L$7*(계리기호!AF74-계리기호!AF$87)/(계리기호!AE74-계리기호!AE87)</f>
        <v>2.3011090704382127E-2</v>
      </c>
      <c r="P74" s="124" t="s">
        <v>815</v>
      </c>
      <c r="Q74" s="115">
        <v>67</v>
      </c>
      <c r="R74" s="127" t="s">
        <v>790</v>
      </c>
      <c r="S74" s="121">
        <f>$B$3*$H$3*'NHIS 내원횟수'!$L$7*(계리기호!AQ74-계리기호!AQ$87)/(계리기호!AP74-계리기호!AP87)</f>
        <v>1.6328526704645473E-2</v>
      </c>
      <c r="U74" s="130" t="s">
        <v>814</v>
      </c>
      <c r="V74" s="115">
        <v>67</v>
      </c>
      <c r="W74" s="133" t="s">
        <v>792</v>
      </c>
      <c r="X74" s="121">
        <f>$B$3*$H$3*'NHIS 내원횟수'!$L$8*(계리기호!BB74-계리기호!BB$87)/(계리기호!BA74-계리기호!BA87)</f>
        <v>3.2610997451870999E-3</v>
      </c>
      <c r="Z74" s="130" t="s">
        <v>815</v>
      </c>
      <c r="AA74" s="115">
        <v>67</v>
      </c>
      <c r="AB74" s="133" t="s">
        <v>792</v>
      </c>
      <c r="AC74" s="121">
        <f>$B$3*$H$3*'NHIS 내원횟수'!$L$8*(계리기호!BM74-계리기호!BM$87)/(계리기호!BL74-계리기호!BL87)</f>
        <v>1.2482031635050448E-3</v>
      </c>
    </row>
    <row r="75" spans="1:29" ht="18" customHeight="1">
      <c r="A75" s="112" t="s">
        <v>814</v>
      </c>
      <c r="B75" s="115">
        <v>68</v>
      </c>
      <c r="C75" s="118" t="s">
        <v>786</v>
      </c>
      <c r="D75" s="121">
        <f>$B$3*$H$3*'NHIS 내원횟수'!$L$6*(계리기호!J75-계리기호!J$87)/(계리기호!I75-계리기호!I87)</f>
        <v>0.10445810045354088</v>
      </c>
      <c r="F75" s="112" t="s">
        <v>815</v>
      </c>
      <c r="G75" s="115">
        <v>68</v>
      </c>
      <c r="H75" s="118" t="s">
        <v>786</v>
      </c>
      <c r="I75" s="121">
        <f>$B$3*$H$3*'NHIS 내원횟수'!$L$6*(계리기호!U75-계리기호!U$87)/(계리기호!T75-계리기호!T87)</f>
        <v>4.7936560050380599E-2</v>
      </c>
      <c r="K75" s="124" t="s">
        <v>814</v>
      </c>
      <c r="L75" s="115">
        <v>68</v>
      </c>
      <c r="M75" s="127" t="s">
        <v>790</v>
      </c>
      <c r="N75" s="121">
        <f>$B$3*$H$3*'NHIS 내원횟수'!$L$7*(계리기호!AF75-계리기호!AF$87)/(계리기호!AE75-계리기호!AE87)</f>
        <v>2.3610488806614267E-2</v>
      </c>
      <c r="P75" s="124" t="s">
        <v>815</v>
      </c>
      <c r="Q75" s="115">
        <v>68</v>
      </c>
      <c r="R75" s="127" t="s">
        <v>790</v>
      </c>
      <c r="S75" s="121">
        <f>$B$3*$H$3*'NHIS 내원횟수'!$L$7*(계리기호!AQ75-계리기호!AQ$87)/(계리기호!AP75-계리기호!AP87)</f>
        <v>1.6873462008660065E-2</v>
      </c>
      <c r="U75" s="130" t="s">
        <v>814</v>
      </c>
      <c r="V75" s="115">
        <v>68</v>
      </c>
      <c r="W75" s="133" t="s">
        <v>792</v>
      </c>
      <c r="X75" s="121">
        <f>$B$3*$H$3*'NHIS 내원횟수'!$L$8*(계리기호!BB75-계리기호!BB$87)/(계리기호!BA75-계리기호!BA87)</f>
        <v>3.3079083758297202E-3</v>
      </c>
      <c r="Z75" s="130" t="s">
        <v>815</v>
      </c>
      <c r="AA75" s="115">
        <v>68</v>
      </c>
      <c r="AB75" s="133" t="s">
        <v>792</v>
      </c>
      <c r="AC75" s="121">
        <f>$B$3*$H$3*'NHIS 내원횟수'!$L$8*(계리기호!BM75-계리기호!BM$87)/(계리기호!BL75-계리기호!BL87)</f>
        <v>1.2939166959771997E-3</v>
      </c>
    </row>
    <row r="76" spans="1:29" ht="18" customHeight="1">
      <c r="A76" s="112" t="s">
        <v>814</v>
      </c>
      <c r="B76" s="115">
        <v>69</v>
      </c>
      <c r="C76" s="118" t="s">
        <v>786</v>
      </c>
      <c r="D76" s="121">
        <f>$B$3*$H$3*'NHIS 내원횟수'!$L$6*(계리기호!J76-계리기호!J$87)/(계리기호!I76-계리기호!I87)</f>
        <v>0.10745610651202545</v>
      </c>
      <c r="F76" s="112" t="s">
        <v>815</v>
      </c>
      <c r="G76" s="115">
        <v>69</v>
      </c>
      <c r="H76" s="118" t="s">
        <v>786</v>
      </c>
      <c r="I76" s="121">
        <f>$B$3*$H$3*'NHIS 내원횟수'!$L$6*(계리기호!U76-계리기호!U$87)/(계리기호!T76-계리기호!T87)</f>
        <v>4.8658873266225734E-2</v>
      </c>
      <c r="K76" s="124" t="s">
        <v>814</v>
      </c>
      <c r="L76" s="115">
        <v>69</v>
      </c>
      <c r="M76" s="127" t="s">
        <v>790</v>
      </c>
      <c r="N76" s="121">
        <f>$B$3*$H$3*'NHIS 내원횟수'!$L$7*(계리기호!AF76-계리기호!AF$87)/(계리기호!AE76-계리기호!AE87)</f>
        <v>2.4225168366374884E-2</v>
      </c>
      <c r="P76" s="124" t="s">
        <v>815</v>
      </c>
      <c r="Q76" s="115">
        <v>69</v>
      </c>
      <c r="R76" s="127" t="s">
        <v>790</v>
      </c>
      <c r="S76" s="121">
        <f>$B$3*$H$3*'NHIS 내원횟수'!$L$7*(계리기호!AQ76-계리기호!AQ$87)/(계리기호!AP76-계리기호!AP87)</f>
        <v>1.7447099945501199E-2</v>
      </c>
      <c r="U76" s="130" t="s">
        <v>814</v>
      </c>
      <c r="V76" s="115">
        <v>69</v>
      </c>
      <c r="W76" s="133" t="s">
        <v>792</v>
      </c>
      <c r="X76" s="121">
        <f>$B$3*$H$3*'NHIS 내원횟수'!$L$8*(계리기호!BB76-계리기호!BB$87)/(계리기호!BA76-계리기호!BA87)</f>
        <v>3.3538419369637659E-3</v>
      </c>
      <c r="Z76" s="130" t="s">
        <v>815</v>
      </c>
      <c r="AA76" s="115">
        <v>69</v>
      </c>
      <c r="AB76" s="133" t="s">
        <v>792</v>
      </c>
      <c r="AC76" s="121">
        <f>$B$3*$H$3*'NHIS 내원횟수'!$L$8*(계리기호!BM76-계리기호!BM$87)/(계리기호!BL76-계리기호!BL87)</f>
        <v>1.3415815119252898E-3</v>
      </c>
    </row>
    <row r="77" spans="1:29" ht="18" customHeight="1">
      <c r="A77" s="112" t="s">
        <v>814</v>
      </c>
      <c r="B77" s="115">
        <v>70</v>
      </c>
      <c r="C77" s="118" t="s">
        <v>786</v>
      </c>
      <c r="D77" s="121">
        <f>$B$3*$H$3*'NHIS 내원횟수'!$L$6*(계리기호!J77-계리기호!J$87)/(계리기호!I77-계리기호!I87)</f>
        <v>0.11051048945853208</v>
      </c>
      <c r="F77" s="112" t="s">
        <v>815</v>
      </c>
      <c r="G77" s="115">
        <v>70</v>
      </c>
      <c r="H77" s="118" t="s">
        <v>786</v>
      </c>
      <c r="I77" s="121">
        <f>$B$3*$H$3*'NHIS 내원횟수'!$L$6*(계리기호!U77-계리기호!U$87)/(계리기호!T77-계리기호!T87)</f>
        <v>4.9434501049829355E-2</v>
      </c>
      <c r="K77" s="124" t="s">
        <v>814</v>
      </c>
      <c r="L77" s="115">
        <v>70</v>
      </c>
      <c r="M77" s="127" t="s">
        <v>790</v>
      </c>
      <c r="N77" s="121">
        <f>$B$3*$H$3*'NHIS 내원횟수'!$L$7*(계리기호!AF77-계리기호!AF$87)/(계리기호!AE77-계리기호!AE87)</f>
        <v>2.486083321876623E-2</v>
      </c>
      <c r="P77" s="124" t="s">
        <v>815</v>
      </c>
      <c r="Q77" s="115">
        <v>70</v>
      </c>
      <c r="R77" s="127" t="s">
        <v>790</v>
      </c>
      <c r="S77" s="121">
        <f>$B$3*$H$3*'NHIS 내원횟수'!$L$7*(계리기호!AQ77-계리기호!AQ$87)/(계리기호!AP77-계리기호!AP87)</f>
        <v>1.8058883091338164E-2</v>
      </c>
      <c r="U77" s="130" t="s">
        <v>814</v>
      </c>
      <c r="V77" s="115">
        <v>70</v>
      </c>
      <c r="W77" s="133" t="s">
        <v>792</v>
      </c>
      <c r="X77" s="121">
        <f>$B$3*$H$3*'NHIS 내원횟수'!$L$8*(계리기호!BB77-계리기호!BB$87)/(계리기호!BA77-계리기호!BA87)</f>
        <v>3.3987360648478722E-3</v>
      </c>
      <c r="Z77" s="130" t="s">
        <v>815</v>
      </c>
      <c r="AA77" s="115">
        <v>70</v>
      </c>
      <c r="AB77" s="133" t="s">
        <v>792</v>
      </c>
      <c r="AC77" s="121">
        <f>$B$3*$H$3*'NHIS 내원횟수'!$L$8*(계리기호!BM77-계리기호!BM$87)/(계리기호!BL77-계리기호!BL87)</f>
        <v>1.3918532699636486E-3</v>
      </c>
    </row>
    <row r="78" spans="1:29" ht="18" customHeight="1">
      <c r="A78" s="112" t="s">
        <v>814</v>
      </c>
      <c r="B78" s="115">
        <v>71</v>
      </c>
      <c r="C78" s="118" t="s">
        <v>786</v>
      </c>
      <c r="D78" s="121">
        <f>$B$3*$H$3*'NHIS 내원횟수'!$L$6*(계리기호!J78-계리기호!J$87)/(계리기호!I78-계리기호!I87)</f>
        <v>0.11364755596875241</v>
      </c>
      <c r="F78" s="112" t="s">
        <v>815</v>
      </c>
      <c r="G78" s="115">
        <v>71</v>
      </c>
      <c r="H78" s="118" t="s">
        <v>786</v>
      </c>
      <c r="I78" s="121">
        <f>$B$3*$H$3*'NHIS 내원횟수'!$L$6*(계리기호!U78-계리기호!U$87)/(계리기호!T78-계리기호!T87)</f>
        <v>5.0282641751772543E-2</v>
      </c>
      <c r="K78" s="124" t="s">
        <v>814</v>
      </c>
      <c r="L78" s="115">
        <v>71</v>
      </c>
      <c r="M78" s="127" t="s">
        <v>790</v>
      </c>
      <c r="N78" s="121">
        <f>$B$3*$H$3*'NHIS 내원횟수'!$L$7*(계리기호!AF78-계리기호!AF$87)/(계리기호!AE78-계리기호!AE87)</f>
        <v>2.5525867825170908E-2</v>
      </c>
      <c r="P78" s="124" t="s">
        <v>815</v>
      </c>
      <c r="Q78" s="115">
        <v>71</v>
      </c>
      <c r="R78" s="127" t="s">
        <v>790</v>
      </c>
      <c r="S78" s="121">
        <f>$B$3*$H$3*'NHIS 내원횟수'!$L$7*(계리기호!AQ78-계리기호!AQ$87)/(계리기호!AP78-계리기호!AP87)</f>
        <v>1.8722533796381703E-2</v>
      </c>
      <c r="U78" s="130" t="s">
        <v>814</v>
      </c>
      <c r="V78" s="115">
        <v>71</v>
      </c>
      <c r="W78" s="133" t="s">
        <v>792</v>
      </c>
      <c r="X78" s="121">
        <f>$B$3*$H$3*'NHIS 내원횟수'!$L$8*(계리기호!BB78-계리기호!BB$87)/(계리기호!BA78-계리기호!BA87)</f>
        <v>3.4423610006603391E-3</v>
      </c>
      <c r="Z78" s="130" t="s">
        <v>815</v>
      </c>
      <c r="AA78" s="115">
        <v>71</v>
      </c>
      <c r="AB78" s="133" t="s">
        <v>792</v>
      </c>
      <c r="AC78" s="121">
        <f>$B$3*$H$3*'NHIS 내원횟수'!$L$8*(계리기호!BM78-계리기호!BM$87)/(계리기호!BL78-계리기호!BL87)</f>
        <v>1.4456839319621842E-3</v>
      </c>
    </row>
    <row r="79" spans="1:29" ht="18" customHeight="1">
      <c r="A79" s="112" t="s">
        <v>814</v>
      </c>
      <c r="B79" s="115">
        <v>72</v>
      </c>
      <c r="C79" s="118" t="s">
        <v>786</v>
      </c>
      <c r="D79" s="121">
        <f>$B$3*$H$3*'NHIS 내원횟수'!$L$6*(계리기호!J79-계리기호!J$87)/(계리기호!I79-계리기호!I87)</f>
        <v>0.11674269677371996</v>
      </c>
      <c r="F79" s="112" t="s">
        <v>815</v>
      </c>
      <c r="G79" s="115">
        <v>72</v>
      </c>
      <c r="H79" s="118" t="s">
        <v>786</v>
      </c>
      <c r="I79" s="121">
        <f>$B$3*$H$3*'NHIS 내원횟수'!$L$6*(계리기호!U79-계리기호!U$87)/(계리기호!T79-계리기호!T87)</f>
        <v>5.1121148529001341E-2</v>
      </c>
      <c r="K79" s="124" t="s">
        <v>814</v>
      </c>
      <c r="L79" s="115">
        <v>72</v>
      </c>
      <c r="M79" s="127" t="s">
        <v>790</v>
      </c>
      <c r="N79" s="121">
        <f>$B$3*$H$3*'NHIS 내원횟수'!$L$7*(계리기호!AF79-계리기호!AF$87)/(계리기호!AE79-계리기호!AE87)</f>
        <v>2.6183090108293023E-2</v>
      </c>
      <c r="P79" s="124" t="s">
        <v>815</v>
      </c>
      <c r="Q79" s="115">
        <v>72</v>
      </c>
      <c r="R79" s="127" t="s">
        <v>790</v>
      </c>
      <c r="S79" s="121">
        <f>$B$3*$H$3*'NHIS 내원횟수'!$L$7*(계리기호!AQ79-계리기호!AQ$87)/(계리기호!AP79-계리기호!AP87)</f>
        <v>1.9380253146229279E-2</v>
      </c>
      <c r="U79" s="130" t="s">
        <v>814</v>
      </c>
      <c r="V79" s="115">
        <v>72</v>
      </c>
      <c r="W79" s="133" t="s">
        <v>792</v>
      </c>
      <c r="X79" s="121">
        <f>$B$3*$H$3*'NHIS 내원횟수'!$L$8*(계리기호!BB79-계리기호!BB$87)/(계리기호!BA79-계리기호!BA87)</f>
        <v>3.4854128580147003E-3</v>
      </c>
      <c r="Z79" s="130" t="s">
        <v>815</v>
      </c>
      <c r="AA79" s="115">
        <v>72</v>
      </c>
      <c r="AB79" s="133" t="s">
        <v>792</v>
      </c>
      <c r="AC79" s="121">
        <f>$B$3*$H$3*'NHIS 내원횟수'!$L$8*(계리기호!BM79-계리기호!BM$87)/(계리기호!BL79-계리기호!BL87)</f>
        <v>1.4990578058553525E-3</v>
      </c>
    </row>
    <row r="80" spans="1:29" ht="18" customHeight="1">
      <c r="A80" s="112" t="s">
        <v>814</v>
      </c>
      <c r="B80" s="115">
        <v>73</v>
      </c>
      <c r="C80" s="118" t="s">
        <v>786</v>
      </c>
      <c r="D80" s="121">
        <f>$B$3*$H$3*'NHIS 내원횟수'!$L$6*(계리기호!J80-계리기호!J$87)/(계리기호!I80-계리기호!I87)</f>
        <v>0.11978961165803144</v>
      </c>
      <c r="F80" s="112" t="s">
        <v>815</v>
      </c>
      <c r="G80" s="115">
        <v>73</v>
      </c>
      <c r="H80" s="118" t="s">
        <v>786</v>
      </c>
      <c r="I80" s="121">
        <f>$B$3*$H$3*'NHIS 내원횟수'!$L$6*(계리기호!U80-계리기호!U$87)/(계리기호!T80-계리기호!T87)</f>
        <v>5.1948809140235995E-2</v>
      </c>
      <c r="K80" s="124" t="s">
        <v>814</v>
      </c>
      <c r="L80" s="115">
        <v>73</v>
      </c>
      <c r="M80" s="127" t="s">
        <v>790</v>
      </c>
      <c r="N80" s="121">
        <f>$B$3*$H$3*'NHIS 내원횟수'!$L$7*(계리기호!AF80-계리기호!AF$87)/(계리기호!AE80-계리기호!AE87)</f>
        <v>2.6831376669053473E-2</v>
      </c>
      <c r="P80" s="124" t="s">
        <v>815</v>
      </c>
      <c r="Q80" s="115">
        <v>73</v>
      </c>
      <c r="R80" s="127" t="s">
        <v>790</v>
      </c>
      <c r="S80" s="121">
        <f>$B$3*$H$3*'NHIS 내원횟수'!$L$7*(계리기호!AQ80-계리기호!AQ$87)/(계리기호!AP80-계리기호!AP87)</f>
        <v>2.0031383965138864E-2</v>
      </c>
      <c r="U80" s="130" t="s">
        <v>814</v>
      </c>
      <c r="V80" s="115">
        <v>73</v>
      </c>
      <c r="W80" s="133" t="s">
        <v>792</v>
      </c>
      <c r="X80" s="121">
        <f>$B$3*$H$3*'NHIS 내원횟수'!$L$8*(계리기호!BB80-계리기호!BB$87)/(계리기호!BA80-계리기호!BA87)</f>
        <v>3.5277907007832997E-3</v>
      </c>
      <c r="Z80" s="130" t="s">
        <v>815</v>
      </c>
      <c r="AA80" s="115">
        <v>73</v>
      </c>
      <c r="AB80" s="133" t="s">
        <v>792</v>
      </c>
      <c r="AC80" s="121">
        <f>$B$3*$H$3*'NHIS 내원횟수'!$L$8*(계리기호!BM80-계리기호!BM$87)/(계리기호!BL80-계리기호!BL87)</f>
        <v>1.5519300942359615E-3</v>
      </c>
    </row>
    <row r="81" spans="1:29" ht="18" customHeight="1">
      <c r="A81" s="112" t="s">
        <v>814</v>
      </c>
      <c r="B81" s="115">
        <v>74</v>
      </c>
      <c r="C81" s="118" t="s">
        <v>786</v>
      </c>
      <c r="D81" s="121">
        <f>$B$3*$H$3*'NHIS 내원횟수'!$L$6*(계리기호!J81-계리기호!J$87)/(계리기호!I81-계리기호!I87)</f>
        <v>0.12278036195779909</v>
      </c>
      <c r="F81" s="112" t="s">
        <v>815</v>
      </c>
      <c r="G81" s="115">
        <v>74</v>
      </c>
      <c r="H81" s="118" t="s">
        <v>786</v>
      </c>
      <c r="I81" s="121">
        <f>$B$3*$H$3*'NHIS 내원횟수'!$L$6*(계리기호!U81-계리기호!U$87)/(계리기호!T81-계리기호!T87)</f>
        <v>5.2763890836214578E-2</v>
      </c>
      <c r="K81" s="124" t="s">
        <v>814</v>
      </c>
      <c r="L81" s="115">
        <v>74</v>
      </c>
      <c r="M81" s="127" t="s">
        <v>790</v>
      </c>
      <c r="N81" s="121">
        <f>$B$3*$H$3*'NHIS 내원횟수'!$L$7*(계리기호!AF81-계리기호!AF$87)/(계리기호!AE81-계리기호!AE87)</f>
        <v>2.7469248739322657E-2</v>
      </c>
      <c r="P81" s="124" t="s">
        <v>815</v>
      </c>
      <c r="Q81" s="115">
        <v>74</v>
      </c>
      <c r="R81" s="127" t="s">
        <v>790</v>
      </c>
      <c r="S81" s="121">
        <f>$B$3*$H$3*'NHIS 내원횟수'!$L$7*(계리기호!AQ81-계리기호!AQ$87)/(계리기호!AP81-계리기호!AP87)</f>
        <v>2.0675063781979242E-2</v>
      </c>
      <c r="U81" s="130" t="s">
        <v>814</v>
      </c>
      <c r="V81" s="115">
        <v>74</v>
      </c>
      <c r="W81" s="133" t="s">
        <v>792</v>
      </c>
      <c r="X81" s="121">
        <f>$B$3*$H$3*'NHIS 내원횟수'!$L$8*(계리기호!BB81-계리기호!BB$87)/(계리기호!BA81-계리기호!BA87)</f>
        <v>3.5693482123918146E-3</v>
      </c>
      <c r="Z81" s="130" t="s">
        <v>815</v>
      </c>
      <c r="AA81" s="115">
        <v>74</v>
      </c>
      <c r="AB81" s="133" t="s">
        <v>792</v>
      </c>
      <c r="AC81" s="121">
        <f>$B$3*$H$3*'NHIS 내원횟수'!$L$8*(계리기호!BM81-계리기호!BM$87)/(계리기호!BL81-계리기호!BL87)</f>
        <v>1.6042401618631228E-3</v>
      </c>
    </row>
    <row r="82" spans="1:29" ht="18" customHeight="1">
      <c r="A82" s="112" t="s">
        <v>814</v>
      </c>
      <c r="B82" s="115">
        <v>75</v>
      </c>
      <c r="C82" s="118" t="s">
        <v>786</v>
      </c>
      <c r="D82" s="121">
        <f>$B$3*$H$3*'NHIS 내원횟수'!$L$6*(계리기호!J82-계리기호!J$87)/(계리기호!I82-계리기호!I87)</f>
        <v>0.12570372736235313</v>
      </c>
      <c r="F82" s="112" t="s">
        <v>815</v>
      </c>
      <c r="G82" s="115">
        <v>75</v>
      </c>
      <c r="H82" s="118" t="s">
        <v>786</v>
      </c>
      <c r="I82" s="121">
        <f>$B$3*$H$3*'NHIS 내원횟수'!$L$6*(계리기호!U82-계리기호!U$87)/(계리기호!T82-계리기호!T87)</f>
        <v>5.3563616430628361E-2</v>
      </c>
      <c r="K82" s="124" t="s">
        <v>814</v>
      </c>
      <c r="L82" s="115">
        <v>75</v>
      </c>
      <c r="M82" s="127" t="s">
        <v>790</v>
      </c>
      <c r="N82" s="121">
        <f>$B$3*$H$3*'NHIS 내원횟수'!$L$7*(계리기호!AF82-계리기호!AF$87)/(계리기호!AE82-계리기호!AE87)</f>
        <v>2.8094513686996513E-2</v>
      </c>
      <c r="P82" s="124" t="s">
        <v>815</v>
      </c>
      <c r="Q82" s="115">
        <v>75</v>
      </c>
      <c r="R82" s="127" t="s">
        <v>790</v>
      </c>
      <c r="S82" s="121">
        <f>$B$3*$H$3*'NHIS 내원횟수'!$L$7*(계리기호!AQ82-계리기호!AQ$87)/(계리기호!AP82-계리기호!AP87)</f>
        <v>2.1310017718462949E-2</v>
      </c>
      <c r="U82" s="130" t="s">
        <v>814</v>
      </c>
      <c r="V82" s="115">
        <v>75</v>
      </c>
      <c r="W82" s="133" t="s">
        <v>792</v>
      </c>
      <c r="X82" s="121">
        <f>$B$3*$H$3*'NHIS 내원횟수'!$L$8*(계리기호!BB82-계리기호!BB$87)/(계리기호!BA82-계리기호!BA87)</f>
        <v>3.6098480225562287E-3</v>
      </c>
      <c r="Z82" s="130" t="s">
        <v>815</v>
      </c>
      <c r="AA82" s="115">
        <v>75</v>
      </c>
      <c r="AB82" s="133" t="s">
        <v>792</v>
      </c>
      <c r="AC82" s="121">
        <f>$B$3*$H$3*'NHIS 내원횟수'!$L$8*(계리기호!BM82-계리기호!BM$87)/(계리기호!BL82-계리기호!BL87)</f>
        <v>1.6558955589647383E-3</v>
      </c>
    </row>
    <row r="83" spans="1:29" ht="18" customHeight="1">
      <c r="A83" s="112" t="s">
        <v>814</v>
      </c>
      <c r="B83" s="115">
        <v>76</v>
      </c>
      <c r="C83" s="118" t="s">
        <v>786</v>
      </c>
      <c r="D83" s="121">
        <f>$B$3*$H$3*'NHIS 내원횟수'!$L$6*(계리기호!J83-계리기호!J$87)/(계리기호!I83-계리기호!I87)</f>
        <v>0.12854107249087768</v>
      </c>
      <c r="F83" s="112" t="s">
        <v>815</v>
      </c>
      <c r="G83" s="115">
        <v>76</v>
      </c>
      <c r="H83" s="118" t="s">
        <v>786</v>
      </c>
      <c r="I83" s="121">
        <f>$B$3*$H$3*'NHIS 내원횟수'!$L$6*(계리기호!U83-계리기호!U$87)/(계리기호!T83-계리기호!T87)</f>
        <v>5.4342851185291689E-2</v>
      </c>
      <c r="K83" s="124" t="s">
        <v>814</v>
      </c>
      <c r="L83" s="115">
        <v>76</v>
      </c>
      <c r="M83" s="127" t="s">
        <v>790</v>
      </c>
      <c r="N83" s="121">
        <f>$B$3*$H$3*'NHIS 내원횟수'!$L$7*(계리기호!AF83-계리기호!AF$87)/(계리기호!AE83-계리기호!AE87)</f>
        <v>2.8703365011765906E-2</v>
      </c>
      <c r="P83" s="124" t="s">
        <v>815</v>
      </c>
      <c r="Q83" s="115">
        <v>76</v>
      </c>
      <c r="R83" s="127" t="s">
        <v>790</v>
      </c>
      <c r="S83" s="121">
        <f>$B$3*$H$3*'NHIS 내원횟수'!$L$7*(계리기호!AQ83-계리기호!AQ$87)/(계리기호!AP83-계리기호!AP87)</f>
        <v>2.1934039137728099E-2</v>
      </c>
      <c r="U83" s="130" t="s">
        <v>814</v>
      </c>
      <c r="V83" s="115">
        <v>76</v>
      </c>
      <c r="W83" s="133" t="s">
        <v>792</v>
      </c>
      <c r="X83" s="121">
        <f>$B$3*$H$3*'NHIS 내원횟수'!$L$8*(계리기호!BB83-계리기호!BB$87)/(계리기호!BA83-계리기호!BA87)</f>
        <v>3.6488471795215532E-3</v>
      </c>
      <c r="Z83" s="130" t="s">
        <v>815</v>
      </c>
      <c r="AA83" s="115">
        <v>76</v>
      </c>
      <c r="AB83" s="133" t="s">
        <v>792</v>
      </c>
      <c r="AC83" s="121">
        <f>$B$3*$H$3*'NHIS 내원횟수'!$L$8*(계리기호!BM83-계리기호!BM$87)/(계리기호!BL83-계리기호!BL87)</f>
        <v>1.7067319772084879E-3</v>
      </c>
    </row>
    <row r="84" spans="1:29" ht="18" customHeight="1">
      <c r="A84" s="112" t="s">
        <v>814</v>
      </c>
      <c r="B84" s="115">
        <v>77</v>
      </c>
      <c r="C84" s="118" t="s">
        <v>786</v>
      </c>
      <c r="D84" s="121">
        <f>$B$3*$H$3*'NHIS 내원횟수'!$L$6*(계리기호!J84-계리기호!J$87)/(계리기호!I84-계리기호!I87)</f>
        <v>0.13132182062652911</v>
      </c>
      <c r="F84" s="112" t="s">
        <v>815</v>
      </c>
      <c r="G84" s="115">
        <v>77</v>
      </c>
      <c r="H84" s="118" t="s">
        <v>786</v>
      </c>
      <c r="I84" s="121">
        <f>$B$3*$H$3*'NHIS 내원횟수'!$L$6*(계리기호!U84-계리기호!U$87)/(계리기호!T84-계리기호!T87)</f>
        <v>5.5111858850101413E-2</v>
      </c>
      <c r="K84" s="124" t="s">
        <v>814</v>
      </c>
      <c r="L84" s="115">
        <v>77</v>
      </c>
      <c r="M84" s="127" t="s">
        <v>790</v>
      </c>
      <c r="N84" s="121">
        <f>$B$3*$H$3*'NHIS 내원횟수'!$L$7*(계리기호!AF84-계리기호!AF$87)/(계리기호!AE84-계리기호!AE87)</f>
        <v>2.9302364362342348E-2</v>
      </c>
      <c r="P84" s="124" t="s">
        <v>815</v>
      </c>
      <c r="Q84" s="115">
        <v>77</v>
      </c>
      <c r="R84" s="127" t="s">
        <v>790</v>
      </c>
      <c r="S84" s="121">
        <f>$B$3*$H$3*'NHIS 내원횟수'!$L$7*(계리기호!AQ84-계리기호!AQ$87)/(계리기호!AP84-계리기호!AP87)</f>
        <v>2.2550758962538539E-2</v>
      </c>
      <c r="U84" s="130" t="s">
        <v>814</v>
      </c>
      <c r="V84" s="115">
        <v>77</v>
      </c>
      <c r="W84" s="133" t="s">
        <v>792</v>
      </c>
      <c r="X84" s="121">
        <f>$B$3*$H$3*'NHIS 내원횟수'!$L$8*(계리기호!BB84-계리기호!BB$87)/(계리기호!BA84-계리기호!BA87)</f>
        <v>3.6872539468936201E-3</v>
      </c>
      <c r="Z84" s="130" t="s">
        <v>815</v>
      </c>
      <c r="AA84" s="115">
        <v>77</v>
      </c>
      <c r="AB84" s="133" t="s">
        <v>792</v>
      </c>
      <c r="AC84" s="121">
        <f>$B$3*$H$3*'NHIS 내원횟수'!$L$8*(계리기호!BM84-계리기호!BM$87)/(계리기호!BL84-계리기호!BL87)</f>
        <v>1.7570317344540128E-3</v>
      </c>
    </row>
    <row r="85" spans="1:29" ht="18" customHeight="1">
      <c r="A85" s="112" t="s">
        <v>814</v>
      </c>
      <c r="B85" s="115">
        <v>78</v>
      </c>
      <c r="C85" s="118" t="s">
        <v>786</v>
      </c>
      <c r="D85" s="121">
        <f>$B$3*$H$3*'NHIS 내원횟수'!$L$6*(계리기호!J85-계리기호!J$87)/(계리기호!I85-계리기호!I87)</f>
        <v>0.13404071403617221</v>
      </c>
      <c r="F85" s="112" t="s">
        <v>815</v>
      </c>
      <c r="G85" s="115">
        <v>78</v>
      </c>
      <c r="H85" s="118" t="s">
        <v>786</v>
      </c>
      <c r="I85" s="121">
        <f>$B$3*$H$3*'NHIS 내원횟수'!$L$6*(계리기호!U85-계리기호!U$87)/(계리기호!T85-계리기호!T87)</f>
        <v>5.5869847403566632E-2</v>
      </c>
      <c r="K85" s="124" t="s">
        <v>814</v>
      </c>
      <c r="L85" s="115">
        <v>78</v>
      </c>
      <c r="M85" s="127" t="s">
        <v>790</v>
      </c>
      <c r="N85" s="121">
        <f>$B$3*$H$3*'NHIS 내원횟수'!$L$7*(계리기호!AF85-계리기호!AF$87)/(계리기호!AE85-계리기호!AE87)</f>
        <v>2.9890583006422018E-2</v>
      </c>
      <c r="P85" s="124" t="s">
        <v>815</v>
      </c>
      <c r="Q85" s="115">
        <v>78</v>
      </c>
      <c r="R85" s="127" t="s">
        <v>790</v>
      </c>
      <c r="S85" s="121">
        <f>$B$3*$H$3*'NHIS 내원횟수'!$L$7*(계리기호!AQ85-계리기호!AQ$87)/(계리기호!AP85-계리기호!AP87)</f>
        <v>2.3159524417639236E-2</v>
      </c>
      <c r="U85" s="130" t="s">
        <v>814</v>
      </c>
      <c r="V85" s="115">
        <v>78</v>
      </c>
      <c r="W85" s="133" t="s">
        <v>792</v>
      </c>
      <c r="X85" s="121">
        <f>$B$3*$H$3*'NHIS 내원횟수'!$L$8*(계리기호!BB85-계리기호!BB$87)/(계리기호!BA85-계리기호!BA87)</f>
        <v>3.7250141878610011E-3</v>
      </c>
      <c r="Z85" s="130" t="s">
        <v>815</v>
      </c>
      <c r="AA85" s="115">
        <v>78</v>
      </c>
      <c r="AB85" s="133" t="s">
        <v>792</v>
      </c>
      <c r="AC85" s="121">
        <f>$B$3*$H$3*'NHIS 내원횟수'!$L$8*(계리기호!BM85-계리기호!BM$87)/(계리기호!BL85-계리기호!BL87)</f>
        <v>1.8067482505362878E-3</v>
      </c>
    </row>
    <row r="86" spans="1:29" ht="18" customHeight="1">
      <c r="A86" s="112" t="s">
        <v>814</v>
      </c>
      <c r="B86" s="115">
        <v>79</v>
      </c>
      <c r="C86" s="118" t="s">
        <v>786</v>
      </c>
      <c r="D86" s="121">
        <f>$B$3*$H$3*'NHIS 내원횟수'!$L$6*(계리기호!J86-계리기호!J$87)/(계리기호!I86-계리기호!I87)</f>
        <v>0.13669262374527641</v>
      </c>
      <c r="F86" s="112" t="s">
        <v>815</v>
      </c>
      <c r="G86" s="115">
        <v>79</v>
      </c>
      <c r="H86" s="118" t="s">
        <v>786</v>
      </c>
      <c r="I86" s="121">
        <f>$B$3*$H$3*'NHIS 내원횟수'!$L$6*(계리기호!U86-계리기호!U$87)/(계리기호!T86-계리기호!T87)</f>
        <v>5.6616037437890267E-2</v>
      </c>
      <c r="K86" s="124" t="s">
        <v>814</v>
      </c>
      <c r="L86" s="115">
        <v>79</v>
      </c>
      <c r="M86" s="127" t="s">
        <v>790</v>
      </c>
      <c r="N86" s="121">
        <f>$B$3*$H$3*'NHIS 내원횟수'!$L$7*(계리기호!AF86-계리기호!AF$87)/(계리기호!AE86-계리기호!AE87)</f>
        <v>3.0467111227695735E-2</v>
      </c>
      <c r="P86" s="124" t="s">
        <v>815</v>
      </c>
      <c r="Q86" s="115">
        <v>79</v>
      </c>
      <c r="R86" s="127" t="s">
        <v>790</v>
      </c>
      <c r="S86" s="121">
        <f>$B$3*$H$3*'NHIS 내원횟수'!$L$7*(계리기호!AQ86-계리기호!AQ$87)/(계리기호!AP86-계리기호!AP87)</f>
        <v>2.3759691756027615E-2</v>
      </c>
      <c r="U86" s="130" t="s">
        <v>814</v>
      </c>
      <c r="V86" s="115">
        <v>79</v>
      </c>
      <c r="W86" s="133" t="s">
        <v>792</v>
      </c>
      <c r="X86" s="121">
        <f>$B$3*$H$3*'NHIS 내원횟수'!$L$8*(계리기호!BB86-계리기호!BB$87)/(계리기호!BA86-계리기호!BA87)</f>
        <v>3.7620748592028324E-3</v>
      </c>
      <c r="Z86" s="130" t="s">
        <v>815</v>
      </c>
      <c r="AA86" s="115">
        <v>79</v>
      </c>
      <c r="AB86" s="133" t="s">
        <v>792</v>
      </c>
      <c r="AC86" s="121">
        <f>$B$3*$H$3*'NHIS 내원횟수'!$L$8*(계리기호!BM86-계리기호!BM$87)/(계리기호!BL86-계리기호!BL87)</f>
        <v>1.8558355342021748E-3</v>
      </c>
    </row>
    <row r="87" spans="1:29" ht="18" customHeight="1">
      <c r="A87" s="113" t="s">
        <v>814</v>
      </c>
      <c r="B87" s="116">
        <v>80</v>
      </c>
      <c r="C87" s="119" t="s">
        <v>786</v>
      </c>
      <c r="D87" s="122">
        <f>0</f>
        <v>0</v>
      </c>
      <c r="F87" s="113" t="s">
        <v>815</v>
      </c>
      <c r="G87" s="116">
        <v>80</v>
      </c>
      <c r="H87" s="119" t="s">
        <v>786</v>
      </c>
      <c r="I87" s="122">
        <f>0</f>
        <v>0</v>
      </c>
      <c r="K87" s="125" t="s">
        <v>814</v>
      </c>
      <c r="L87" s="116">
        <v>80</v>
      </c>
      <c r="M87" s="128" t="s">
        <v>790</v>
      </c>
      <c r="N87" s="122">
        <f>0</f>
        <v>0</v>
      </c>
      <c r="P87" s="125" t="s">
        <v>815</v>
      </c>
      <c r="Q87" s="116">
        <v>80</v>
      </c>
      <c r="R87" s="128" t="s">
        <v>790</v>
      </c>
      <c r="S87" s="122">
        <f>0</f>
        <v>0</v>
      </c>
      <c r="U87" s="131" t="s">
        <v>814</v>
      </c>
      <c r="V87" s="116">
        <v>80</v>
      </c>
      <c r="W87" s="134" t="s">
        <v>792</v>
      </c>
      <c r="X87" s="122">
        <f>0</f>
        <v>0</v>
      </c>
      <c r="Z87" s="131" t="s">
        <v>815</v>
      </c>
      <c r="AA87" s="116">
        <v>80</v>
      </c>
      <c r="AB87" s="134" t="s">
        <v>792</v>
      </c>
      <c r="AC87" s="122">
        <f>0</f>
        <v>0</v>
      </c>
    </row>
  </sheetData>
  <mergeCells count="8">
    <mergeCell ref="A1:AC2"/>
    <mergeCell ref="A4:AC4"/>
    <mergeCell ref="A5:D5"/>
    <mergeCell ref="F5:I5"/>
    <mergeCell ref="K5:N5"/>
    <mergeCell ref="P5:S5"/>
    <mergeCell ref="U5:X5"/>
    <mergeCell ref="Z5:AC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지역별 유출률</vt:lpstr>
      <vt:lpstr>시도 요약</vt:lpstr>
      <vt:lpstr>원천데이터</vt:lpstr>
      <vt:lpstr>검증</vt:lpstr>
      <vt:lpstr>메타데이터</vt:lpstr>
      <vt:lpstr>보험개발원 위험률</vt:lpstr>
      <vt:lpstr>보험개발원 위험률(1세)</vt:lpstr>
      <vt:lpstr>계리기호</vt:lpstr>
      <vt:lpstr>NHIS 내원횟수</vt:lpstr>
      <vt:lpstr>연납보험료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오종건</cp:lastModifiedBy>
  <dcterms:modified xsi:type="dcterms:W3CDTF">2026-07-20T12:29:36Z</dcterms:modified>
</cp:coreProperties>
</file>